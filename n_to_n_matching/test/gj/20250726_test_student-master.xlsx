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-touban-master-sample" sheetId="1" state="visible" r:id="rId3"/>
    <sheet name="2023当番マスター(旧)" sheetId="2" state="hidden" r:id="rId4"/>
    <sheet name="20230302Data" sheetId="3" state="hidden" r:id="rId5"/>
    <sheet name="2022当番マスター" sheetId="4" state="hidden" r:id="rId6"/>
  </sheets>
  <definedNames>
    <definedName function="false" hidden="true" localSheetId="3" name="_xlnm._FilterDatabase" vbProcedure="false">2022当番マスター!$A$3:$Z$305</definedName>
    <definedName function="false" hidden="true" localSheetId="2" name="_xlnm._FilterDatabase" vbProcedure="false">20230302Data!$A$1:$M$252</definedName>
    <definedName function="false" hidden="true" localSheetId="1" name="_xlnm._FilterDatabase" vbProcedure="false">'2023当番マスター(旧)'!$A$3:$AI$223</definedName>
    <definedName function="false" hidden="true" localSheetId="0" name="_xlnm._FilterDatabase" vbProcedure="false">'2025-touban-master-sample'!$A$3:$AJ$14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1" authorId="0">
      <text>
        <r>
          <rPr>
            <sz val="10"/>
            <rFont val="Arial"/>
            <family val="2"/>
          </rPr>
          <t xml:space="preserve">======
ID#AAABiygER70
Yoshihiro Kubota    (2023-03-11 16:32:57)
</t>
        </r>
        <r>
          <rPr>
            <sz val="10"/>
            <rFont val="Noto Sans CJK SC"/>
            <family val="2"/>
            <charset val="1"/>
          </rPr>
          <t xml:space="preserve">当番マスターファイル名を</t>
        </r>
        <r>
          <rPr>
            <sz val="10"/>
            <rFont val="Arial"/>
            <family val="2"/>
            <charset val="1"/>
          </rPr>
          <t xml:space="preserve">23</t>
        </r>
        <r>
          <rPr>
            <sz val="10"/>
            <rFont val="Noto Sans CJK SC"/>
            <family val="2"/>
            <charset val="1"/>
          </rPr>
          <t xml:space="preserve">年度に変更しました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1" authorId="0">
      <text>
        <r>
          <rPr>
            <sz val="10"/>
            <rFont val="Arial"/>
            <family val="2"/>
          </rPr>
          <t xml:space="preserve">======
ID#AAAAsonxVbI
Yoshihiro Kubota    (2023-03-11 16:32:57)
</t>
        </r>
        <r>
          <rPr>
            <sz val="10"/>
            <rFont val="Noto Sans CJK SC"/>
            <family val="2"/>
            <charset val="1"/>
          </rPr>
          <t xml:space="preserve">当番マスターファイル名を</t>
        </r>
        <r>
          <rPr>
            <sz val="10"/>
            <rFont val="Arial"/>
            <family val="2"/>
            <charset val="1"/>
          </rPr>
          <t xml:space="preserve">23</t>
        </r>
        <r>
          <rPr>
            <sz val="10"/>
            <rFont val="Noto Sans CJK SC"/>
            <family val="2"/>
            <charset val="1"/>
          </rPr>
          <t xml:space="preserve">年度に変更しました</t>
        </r>
      </text>
    </comment>
  </commentList>
</comments>
</file>

<file path=xl/sharedStrings.xml><?xml version="1.0" encoding="utf-8"?>
<sst xmlns="http://schemas.openxmlformats.org/spreadsheetml/2006/main" count="7260" uniqueCount="2187">
  <si>
    <t xml:space="preserve">@</t>
  </si>
  <si>
    <t xml:space="preserve">グレーのハイライトは当番に該当しない</t>
  </si>
  <si>
    <t xml:space="preserve">メモ：保健図書入力可能先</t>
  </si>
  <si>
    <t xml:space="preserve">黒字が当番作成委員2が使用している欄。</t>
  </si>
  <si>
    <t xml:space="preserve">※3-1図書委員は2名です。1人3回当番になるようにアサインお願いします(ブックフェア含まず)。</t>
  </si>
  <si>
    <r>
      <rPr>
        <b val="true"/>
        <sz val="10"/>
        <color rgb="FFFFFFFF"/>
        <rFont val="Noto Sans CJK SC"/>
        <family val="2"/>
        <charset val="1"/>
      </rPr>
      <t xml:space="preserve">事務局登録</t>
    </r>
    <r>
      <rPr>
        <b val="true"/>
        <sz val="10"/>
        <color rgb="FFFFFFFF"/>
        <rFont val="Meiryo"/>
        <family val="0"/>
        <charset val="1"/>
      </rPr>
      <t xml:space="preserve">TEL</t>
    </r>
  </si>
  <si>
    <t xml:space="preserve">No</t>
  </si>
  <si>
    <t xml:space="preserve">学年組</t>
  </si>
  <si>
    <t xml:space="preserve">氏　名</t>
  </si>
  <si>
    <t xml:space="preserve">保護者名</t>
  </si>
  <si>
    <t xml:space="preserve">当番用TEL</t>
  </si>
  <si>
    <t xml:space="preserve">当番用メール</t>
  </si>
  <si>
    <t xml:space="preserve">兄姉２</t>
  </si>
  <si>
    <t xml:space="preserve">兄姉氏名</t>
  </si>
  <si>
    <t xml:space="preserve">兄姉３</t>
  </si>
  <si>
    <t xml:space="preserve">兄弟　学年　学級</t>
  </si>
  <si>
    <t xml:space="preserve">図書</t>
  </si>
  <si>
    <t xml:space="preserve">保健</t>
  </si>
  <si>
    <t xml:space="preserve">パトロール</t>
  </si>
  <si>
    <t xml:space="preserve">備考</t>
  </si>
  <si>
    <t xml:space="preserve">編入</t>
  </si>
  <si>
    <t xml:space="preserve">退学</t>
  </si>
  <si>
    <t xml:space="preserve">免除対象</t>
  </si>
  <si>
    <r>
      <rPr>
        <b val="true"/>
        <sz val="8"/>
        <color rgb="FFFFFFFF"/>
        <rFont val="Noto Sans CJK SC"/>
        <family val="2"/>
        <charset val="1"/>
      </rPr>
      <t xml:space="preserve">事務局登録</t>
    </r>
    <r>
      <rPr>
        <b val="true"/>
        <sz val="8"/>
        <color rgb="FFFFFFFF"/>
        <rFont val="Meiryo"/>
        <family val="0"/>
        <charset val="1"/>
      </rPr>
      <t xml:space="preserve">TEL</t>
    </r>
    <r>
      <rPr>
        <b val="true"/>
        <sz val="8"/>
        <color rgb="FFFFFFFF"/>
        <rFont val="Noto Sans CJK SC"/>
        <family val="2"/>
        <charset val="1"/>
      </rPr>
      <t xml:space="preserve">数字のみ</t>
    </r>
  </si>
  <si>
    <r>
      <rPr>
        <sz val="8"/>
        <color rgb="FFFFFFFF"/>
        <rFont val="Noto Sans CJK SC"/>
        <family val="2"/>
        <charset val="1"/>
      </rPr>
      <t xml:space="preserve">旧</t>
    </r>
    <r>
      <rPr>
        <sz val="8"/>
        <color rgb="FFFFFFFF"/>
        <rFont val="Meiryo"/>
        <family val="0"/>
        <charset val="1"/>
      </rPr>
      <t xml:space="preserve">TEL</t>
    </r>
  </si>
  <si>
    <t xml:space="preserve">旧メール</t>
  </si>
  <si>
    <t xml:space="preserve">変更履歴</t>
  </si>
  <si>
    <t xml:space="preserve">幼 ゆり</t>
  </si>
  <si>
    <t xml:space="preserve">行列 一蔵</t>
  </si>
  <si>
    <t xml:space="preserve">親一</t>
  </si>
  <si>
    <t xml:space="preserve">123-456-1111</t>
  </si>
  <si>
    <t xml:space="preserve">1111@gmail.com</t>
  </si>
  <si>
    <t xml:space="preserve">A</t>
  </si>
  <si>
    <t xml:space="preserve">運動会委員</t>
  </si>
  <si>
    <t xml:space="preserve">行列 二蔵</t>
  </si>
  <si>
    <t xml:space="preserve">親二</t>
  </si>
  <si>
    <t xml:space="preserve">123-456-2222</t>
  </si>
  <si>
    <t xml:space="preserve">2222@gmail.com</t>
  </si>
  <si>
    <t xml:space="preserve">小4－1</t>
  </si>
  <si>
    <t xml:space="preserve">行列 弟二</t>
  </si>
  <si>
    <t xml:space="preserve">6/7,9/20</t>
  </si>
  <si>
    <t xml:space="preserve">A,A</t>
  </si>
  <si>
    <t xml:space="preserve">安全委員</t>
  </si>
  <si>
    <t xml:space="preserve">行列 三彦</t>
  </si>
  <si>
    <t xml:space="preserve">親三</t>
  </si>
  <si>
    <t xml:space="preserve">123-456-3333</t>
  </si>
  <si>
    <t xml:space="preserve">3333@gmail.com</t>
  </si>
  <si>
    <t xml:space="preserve">小3－1</t>
  </si>
  <si>
    <t xml:space="preserve">行列 妹三</t>
  </si>
  <si>
    <t xml:space="preserve">D</t>
  </si>
  <si>
    <t xml:space="preserve">行列 四志乃</t>
  </si>
  <si>
    <t xml:space="preserve">親四</t>
  </si>
  <si>
    <t xml:space="preserve">123-456-4444</t>
  </si>
  <si>
    <t xml:space="preserve">4444@gmail.com</t>
  </si>
  <si>
    <t xml:space="preserve">行列 妹四</t>
  </si>
  <si>
    <t xml:space="preserve">運営関係者</t>
  </si>
  <si>
    <t xml:space="preserve">行列 五和</t>
  </si>
  <si>
    <t xml:space="preserve">親五</t>
  </si>
  <si>
    <t xml:space="preserve">123-456-5555</t>
  </si>
  <si>
    <t xml:space="preserve">5555@gmail.com</t>
  </si>
  <si>
    <t xml:space="preserve">学級委員</t>
  </si>
  <si>
    <t xml:space="preserve">行列 六郎</t>
  </si>
  <si>
    <t xml:space="preserve">親六</t>
  </si>
  <si>
    <t xml:space="preserve">123-456-6666</t>
  </si>
  <si>
    <t xml:space="preserve">6666@gmail.com</t>
  </si>
  <si>
    <t xml:space="preserve">小2－2</t>
  </si>
  <si>
    <t xml:space="preserve">行列 弟六</t>
  </si>
  <si>
    <t xml:space="preserve">B</t>
  </si>
  <si>
    <t xml:space="preserve">行列 七</t>
  </si>
  <si>
    <t xml:space="preserve">親七</t>
  </si>
  <si>
    <t xml:space="preserve">123-456-7777</t>
  </si>
  <si>
    <t xml:space="preserve">7777@gmail.com</t>
  </si>
  <si>
    <t xml:space="preserve">小3－2</t>
  </si>
  <si>
    <t xml:space="preserve">行列 弟七</t>
  </si>
  <si>
    <t xml:space="preserve">行列 八蟹</t>
  </si>
  <si>
    <t xml:space="preserve">親八</t>
  </si>
  <si>
    <t xml:space="preserve">123-456-8888</t>
  </si>
  <si>
    <t xml:space="preserve">8888@gmail.com</t>
  </si>
  <si>
    <t xml:space="preserve">行列 弟八</t>
  </si>
  <si>
    <t xml:space="preserve">行列 九里</t>
  </si>
  <si>
    <t xml:space="preserve">親九</t>
  </si>
  <si>
    <t xml:space="preserve">123-456-9999</t>
  </si>
  <si>
    <t xml:space="preserve">9999@gmail.com</t>
  </si>
  <si>
    <t xml:space="preserve">行列 十助</t>
  </si>
  <si>
    <t xml:space="preserve">親十</t>
  </si>
  <si>
    <t xml:space="preserve">123-456-0000</t>
  </si>
  <si>
    <t xml:space="preserve">0000@gmail.com</t>
  </si>
  <si>
    <t xml:space="preserve">行列 妹十</t>
  </si>
  <si>
    <r>
      <rPr>
        <sz val="10"/>
        <color rgb="FFFF0000"/>
        <rFont val="Meiryo"/>
        <family val="0"/>
        <charset val="1"/>
      </rPr>
      <t xml:space="preserve">Tel</t>
    </r>
    <r>
      <rPr>
        <sz val="10"/>
        <color rgb="FFFF0000"/>
        <rFont val="Noto Sans CJK SC"/>
        <family val="2"/>
        <charset val="1"/>
      </rPr>
      <t xml:space="preserve">とメール赤字は当番用のみの番号。事務局の登録番号とは異なる</t>
    </r>
  </si>
  <si>
    <r>
      <rPr>
        <sz val="9"/>
        <color rgb="FF000000"/>
        <rFont val="Meiryo"/>
        <family val="0"/>
        <charset val="1"/>
      </rPr>
      <t xml:space="preserve">※3-1</t>
    </r>
    <r>
      <rPr>
        <sz val="9"/>
        <color rgb="FF000000"/>
        <rFont val="Noto Sans CJK SC"/>
        <family val="2"/>
        <charset val="1"/>
      </rPr>
      <t xml:space="preserve">図書委員は</t>
    </r>
    <r>
      <rPr>
        <sz val="9"/>
        <color rgb="FF000000"/>
        <rFont val="Meiryo"/>
        <family val="0"/>
        <charset val="1"/>
      </rPr>
      <t xml:space="preserve">2</t>
    </r>
    <r>
      <rPr>
        <sz val="9"/>
        <color rgb="FF000000"/>
        <rFont val="Noto Sans CJK SC"/>
        <family val="2"/>
        <charset val="1"/>
      </rPr>
      <t xml:space="preserve">名です。</t>
    </r>
    <r>
      <rPr>
        <sz val="9"/>
        <color rgb="FF000000"/>
        <rFont val="Meiryo"/>
        <family val="0"/>
        <charset val="1"/>
      </rPr>
      <t xml:space="preserve">1</t>
    </r>
    <r>
      <rPr>
        <sz val="9"/>
        <color rgb="FF000000"/>
        <rFont val="Noto Sans CJK SC"/>
        <family val="2"/>
        <charset val="1"/>
      </rPr>
      <t xml:space="preserve">人</t>
    </r>
    <r>
      <rPr>
        <sz val="9"/>
        <color rgb="FF000000"/>
        <rFont val="Meiryo"/>
        <family val="0"/>
        <charset val="1"/>
      </rPr>
      <t xml:space="preserve">3</t>
    </r>
    <r>
      <rPr>
        <sz val="9"/>
        <color rgb="FF000000"/>
        <rFont val="Noto Sans CJK SC"/>
        <family val="2"/>
        <charset val="1"/>
      </rPr>
      <t xml:space="preserve">回当番になるようにアサインお願いします</t>
    </r>
    <r>
      <rPr>
        <sz val="9"/>
        <color rgb="FF000000"/>
        <rFont val="Meiryo"/>
        <family val="0"/>
        <charset val="1"/>
      </rPr>
      <t xml:space="preserve">(</t>
    </r>
    <r>
      <rPr>
        <sz val="9"/>
        <color rgb="FF000000"/>
        <rFont val="Noto Sans CJK SC"/>
        <family val="2"/>
        <charset val="1"/>
      </rPr>
      <t xml:space="preserve">ブックフェア含まず</t>
    </r>
    <r>
      <rPr>
        <sz val="9"/>
        <color rgb="FF000000"/>
        <rFont val="Meiryo"/>
        <family val="0"/>
        <charset val="1"/>
      </rPr>
      <t xml:space="preserve">)</t>
    </r>
    <r>
      <rPr>
        <sz val="9"/>
        <color rgb="FF000000"/>
        <rFont val="Noto Sans CJK SC"/>
        <family val="2"/>
        <charset val="1"/>
      </rPr>
      <t xml:space="preserve">。</t>
    </r>
  </si>
  <si>
    <r>
      <rPr>
        <b val="true"/>
        <sz val="10"/>
        <color rgb="FFFF0000"/>
        <rFont val="Noto Sans CJK SC"/>
        <family val="2"/>
        <charset val="1"/>
      </rPr>
      <t xml:space="preserve">当番用</t>
    </r>
    <r>
      <rPr>
        <b val="true"/>
        <sz val="10"/>
        <color rgb="FFFF0000"/>
        <rFont val="Meiryo"/>
        <family val="0"/>
        <charset val="1"/>
      </rPr>
      <t xml:space="preserve">TEL</t>
    </r>
  </si>
  <si>
    <t xml:space="preserve">兄姉４</t>
  </si>
  <si>
    <t xml:space="preserve">選出</t>
  </si>
  <si>
    <t xml:space="preserve">クラス登録メール</t>
  </si>
  <si>
    <r>
      <rPr>
        <sz val="8"/>
        <color rgb="FFFFFFFF"/>
        <rFont val="Meiryo"/>
        <family val="0"/>
        <charset val="1"/>
      </rPr>
      <t xml:space="preserve">3/2</t>
    </r>
    <r>
      <rPr>
        <sz val="8"/>
        <color rgb="FFFFFFFF"/>
        <rFont val="Noto Sans CJK SC"/>
        <family val="2"/>
        <charset val="1"/>
      </rPr>
      <t xml:space="preserve">データ参照</t>
    </r>
  </si>
  <si>
    <r>
      <rPr>
        <b val="true"/>
        <sz val="10"/>
        <color rgb="FFFFFFFF"/>
        <rFont val="Noto Sans CJK SC"/>
        <family val="2"/>
        <charset val="1"/>
      </rPr>
      <t xml:space="preserve">事務局登録</t>
    </r>
    <r>
      <rPr>
        <b val="true"/>
        <sz val="10"/>
        <color rgb="FFFFFFFF"/>
        <rFont val="Meiryo"/>
        <family val="0"/>
        <charset val="1"/>
      </rPr>
      <t xml:space="preserve">TEL</t>
    </r>
    <r>
      <rPr>
        <b val="true"/>
        <sz val="10"/>
        <color rgb="FFFFFFFF"/>
        <rFont val="Noto Sans CJK SC"/>
        <family val="2"/>
        <charset val="1"/>
      </rPr>
      <t xml:space="preserve">数字のみ</t>
    </r>
  </si>
  <si>
    <r>
      <rPr>
        <sz val="8"/>
        <color rgb="FFFFFFFF"/>
        <rFont val="Noto Sans CJK SC"/>
        <family val="2"/>
        <charset val="1"/>
      </rPr>
      <t xml:space="preserve">免除者</t>
    </r>
    <r>
      <rPr>
        <sz val="8"/>
        <color rgb="FFFFFFFF"/>
        <rFont val="Meiryo"/>
        <family val="0"/>
        <charset val="1"/>
      </rPr>
      <t xml:space="preserve">Lookup</t>
    </r>
  </si>
  <si>
    <t xml:space="preserve">(478)228-9270</t>
  </si>
  <si>
    <t xml:space="preserve">高瀬　　 瑛太　　</t>
  </si>
  <si>
    <t xml:space="preserve">良平</t>
  </si>
  <si>
    <t xml:space="preserve">rtakase0921@gmail.com;mtaka523.ktm@gmail.com</t>
  </si>
  <si>
    <r>
      <rPr>
        <sz val="10"/>
        <color theme="1"/>
        <rFont val="Noto Sans CJK SC"/>
        <family val="2"/>
        <charset val="1"/>
      </rPr>
      <t xml:space="preserve">小</t>
    </r>
    <r>
      <rPr>
        <sz val="10"/>
        <color theme="1"/>
        <rFont val="Meiryo"/>
        <family val="0"/>
        <charset val="1"/>
      </rPr>
      <t xml:space="preserve">3</t>
    </r>
    <r>
      <rPr>
        <sz val="10"/>
        <color theme="1"/>
        <rFont val="Noto Sans CJK SC"/>
        <family val="2"/>
        <charset val="1"/>
      </rPr>
      <t xml:space="preserve">－</t>
    </r>
    <r>
      <rPr>
        <sz val="10"/>
        <color theme="1"/>
        <rFont val="Meiryo"/>
        <family val="0"/>
        <charset val="1"/>
      </rPr>
      <t xml:space="preserve">1</t>
    </r>
  </si>
  <si>
    <t xml:space="preserve">高瀬 翔太</t>
  </si>
  <si>
    <t xml:space="preserve">図書委員</t>
  </si>
  <si>
    <t xml:space="preserve">mtaka523.ktm@gmail.com</t>
  </si>
  <si>
    <t xml:space="preserve">(424)201-9432</t>
  </si>
  <si>
    <t xml:space="preserve">清水　　 悠羽　　</t>
  </si>
  <si>
    <t xml:space="preserve">純雄</t>
  </si>
  <si>
    <t xml:space="preserve">yoshikofuse@yahoo.co.jp;sumio79@yahoo.co.jp</t>
  </si>
  <si>
    <t xml:space="preserve">yoshikofuse@yahoo.co.jp</t>
  </si>
  <si>
    <t xml:space="preserve">(678)308-1514</t>
  </si>
  <si>
    <t xml:space="preserve">津田　　 悠真　　</t>
  </si>
  <si>
    <t xml:space="preserve">真矢</t>
  </si>
  <si>
    <t xml:space="preserve">aiko.tda@gmail.com</t>
  </si>
  <si>
    <r>
      <rPr>
        <sz val="10"/>
        <color theme="1"/>
        <rFont val="Noto Sans CJK SC"/>
        <family val="2"/>
        <charset val="1"/>
      </rPr>
      <t xml:space="preserve">小</t>
    </r>
    <r>
      <rPr>
        <sz val="10"/>
        <color theme="1"/>
        <rFont val="Meiryo"/>
        <family val="0"/>
        <charset val="1"/>
      </rPr>
      <t xml:space="preserve">2</t>
    </r>
    <r>
      <rPr>
        <sz val="10"/>
        <color theme="1"/>
        <rFont val="Noto Sans CJK SC"/>
        <family val="2"/>
        <charset val="1"/>
      </rPr>
      <t xml:space="preserve">－</t>
    </r>
    <r>
      <rPr>
        <sz val="10"/>
        <color theme="1"/>
        <rFont val="Meiryo"/>
        <family val="0"/>
        <charset val="1"/>
      </rPr>
      <t xml:space="preserve">2</t>
    </r>
  </si>
  <si>
    <t xml:space="preserve">津田 真咲</t>
  </si>
  <si>
    <t xml:space="preserve">(678)727-6990</t>
  </si>
  <si>
    <t xml:space="preserve">田代　　 匠　　　</t>
  </si>
  <si>
    <t xml:space="preserve">悠一郎</t>
  </si>
  <si>
    <t xml:space="preserve">minorinoaki33@outlook.jp</t>
  </si>
  <si>
    <r>
      <rPr>
        <sz val="10"/>
        <color theme="1"/>
        <rFont val="Noto Sans CJK SC"/>
        <family val="2"/>
        <charset val="1"/>
      </rPr>
      <t xml:space="preserve">小</t>
    </r>
    <r>
      <rPr>
        <sz val="10"/>
        <color theme="1"/>
        <rFont val="Meiryo"/>
        <family val="0"/>
        <charset val="1"/>
      </rPr>
      <t xml:space="preserve">4</t>
    </r>
    <r>
      <rPr>
        <sz val="10"/>
        <color theme="1"/>
        <rFont val="Noto Sans CJK SC"/>
        <family val="2"/>
        <charset val="1"/>
      </rPr>
      <t xml:space="preserve">－</t>
    </r>
    <r>
      <rPr>
        <sz val="10"/>
        <color theme="1"/>
        <rFont val="Meiryo"/>
        <family val="0"/>
        <charset val="1"/>
      </rPr>
      <t xml:space="preserve">1</t>
    </r>
  </si>
  <si>
    <t xml:space="preserve">田代 実</t>
  </si>
  <si>
    <t xml:space="preserve">(646)345-9335</t>
  </si>
  <si>
    <t xml:space="preserve">船戸　　 建志　　</t>
  </si>
  <si>
    <t xml:space="preserve">洸佑</t>
  </si>
  <si>
    <t xml:space="preserve">kosuke.and.saori@gmail.com</t>
  </si>
  <si>
    <t xml:space="preserve">C</t>
  </si>
  <si>
    <t xml:space="preserve">(240)602-4877</t>
  </si>
  <si>
    <t xml:space="preserve">渡部　　 浩市　　</t>
  </si>
  <si>
    <t xml:space="preserve">浩</t>
  </si>
  <si>
    <t xml:space="preserve">kimikoaratani@yahoo.com</t>
  </si>
  <si>
    <r>
      <rPr>
        <sz val="10"/>
        <color theme="1"/>
        <rFont val="Noto Sans CJK SC"/>
        <family val="2"/>
        <charset val="1"/>
      </rPr>
      <t xml:space="preserve">小</t>
    </r>
    <r>
      <rPr>
        <sz val="10"/>
        <color theme="1"/>
        <rFont val="Meiryo"/>
        <family val="0"/>
        <charset val="1"/>
      </rPr>
      <t xml:space="preserve">2</t>
    </r>
    <r>
      <rPr>
        <sz val="10"/>
        <color theme="1"/>
        <rFont val="Noto Sans CJK SC"/>
        <family val="2"/>
        <charset val="1"/>
      </rPr>
      <t xml:space="preserve">－</t>
    </r>
    <r>
      <rPr>
        <sz val="10"/>
        <color theme="1"/>
        <rFont val="Meiryo"/>
        <family val="0"/>
        <charset val="1"/>
      </rPr>
      <t xml:space="preserve">1</t>
    </r>
  </si>
  <si>
    <t xml:space="preserve">渡部 公太</t>
  </si>
  <si>
    <t xml:space="preserve">幼    ゆり</t>
  </si>
  <si>
    <t xml:space="preserve">kimikoaratani@yahoo.com;hiroshi20723@yahoo.co.jp</t>
  </si>
  <si>
    <t xml:space="preserve">(470)488-9747</t>
  </si>
  <si>
    <t xml:space="preserve">冨永　　 奈央　　</t>
  </si>
  <si>
    <t xml:space="preserve">浩平</t>
  </si>
  <si>
    <t xml:space="preserve">tominagakohei7@gmail.com</t>
  </si>
  <si>
    <t xml:space="preserve">冨永 純平</t>
  </si>
  <si>
    <t xml:space="preserve">幼、小２</t>
  </si>
  <si>
    <t xml:space="preserve">(770)235-8197</t>
  </si>
  <si>
    <t xml:space="preserve">岩戸　　 友莉菜　</t>
  </si>
  <si>
    <t xml:space="preserve">友宏</t>
  </si>
  <si>
    <t xml:space="preserve">chika46yuri123tomo927@gmail.com</t>
  </si>
  <si>
    <t xml:space="preserve">(678)575-8187</t>
  </si>
  <si>
    <t xml:space="preserve">江川　　 椎香　　</t>
  </si>
  <si>
    <t xml:space="preserve">良</t>
  </si>
  <si>
    <t xml:space="preserve">(470)461-7192</t>
  </si>
  <si>
    <t xml:space="preserve">makeorbreak.0728@gmail.com</t>
  </si>
  <si>
    <r>
      <rPr>
        <sz val="10"/>
        <color theme="1"/>
        <rFont val="Noto Sans CJK SC"/>
        <family val="2"/>
        <charset val="1"/>
      </rPr>
      <t xml:space="preserve">小</t>
    </r>
    <r>
      <rPr>
        <sz val="10"/>
        <color theme="1"/>
        <rFont val="Meiryo"/>
        <family val="0"/>
        <charset val="1"/>
      </rPr>
      <t xml:space="preserve">2</t>
    </r>
    <r>
      <rPr>
        <sz val="10"/>
        <color theme="1"/>
        <rFont val="Noto Sans CJK SC"/>
        <family val="2"/>
        <charset val="1"/>
      </rPr>
      <t xml:space="preserve">－</t>
    </r>
    <r>
      <rPr>
        <sz val="10"/>
        <color theme="1"/>
        <rFont val="Meiryo"/>
        <family val="0"/>
        <charset val="1"/>
      </rPr>
      <t xml:space="preserve">3</t>
    </r>
  </si>
  <si>
    <t xml:space="preserve">江川 紗彩</t>
  </si>
  <si>
    <t xml:space="preserve">行事委員</t>
  </si>
  <si>
    <t xml:space="preserve">(470)576-0018</t>
  </si>
  <si>
    <t xml:space="preserve">佐藤　　 友紀美　</t>
  </si>
  <si>
    <t xml:space="preserve">清隆</t>
  </si>
  <si>
    <t xml:space="preserve">satofami.kyhsy@gmail.com</t>
  </si>
  <si>
    <t xml:space="preserve">佐藤 清花</t>
  </si>
  <si>
    <t xml:space="preserve">佐藤 ほのか</t>
  </si>
  <si>
    <r>
      <rPr>
        <sz val="10"/>
        <color theme="1"/>
        <rFont val="Noto Sans CJK SC"/>
        <family val="2"/>
        <charset val="1"/>
      </rPr>
      <t xml:space="preserve">幼</t>
    </r>
    <r>
      <rPr>
        <sz val="10"/>
        <color theme="1"/>
        <rFont val="Meiryo"/>
        <family val="0"/>
        <charset val="1"/>
      </rPr>
      <t xml:space="preserve">,</t>
    </r>
    <r>
      <rPr>
        <sz val="10"/>
        <color theme="1"/>
        <rFont val="Noto Sans CJK SC"/>
        <family val="2"/>
        <charset val="1"/>
      </rPr>
      <t xml:space="preserve">小２，小４</t>
    </r>
  </si>
  <si>
    <t xml:space="preserve">(678)464-7084</t>
  </si>
  <si>
    <t xml:space="preserve">川部　　 和紗　　</t>
  </si>
  <si>
    <t xml:space="preserve">亘</t>
  </si>
  <si>
    <t xml:space="preserve">kinokonoyama62.hk@gmail.com;wataru.kawabe@us.panasonic.com</t>
  </si>
  <si>
    <t xml:space="preserve">川部 楓太</t>
  </si>
  <si>
    <t xml:space="preserve">wataru.kawabe@us.panasonic.com</t>
  </si>
  <si>
    <t xml:space="preserve">(678)576-4453</t>
  </si>
  <si>
    <t xml:space="preserve">西島　　 江真　　</t>
  </si>
  <si>
    <t xml:space="preserve">裕介</t>
  </si>
  <si>
    <t xml:space="preserve">n.yusuke0923@gmail.com</t>
  </si>
  <si>
    <t xml:space="preserve">西島 浩貴</t>
  </si>
  <si>
    <t xml:space="preserve">小２－１</t>
  </si>
  <si>
    <t xml:space="preserve">n.yusuke0923@gmail.com;kanayamamoto78@gmail.com</t>
  </si>
  <si>
    <t xml:space="preserve">(678)677-1769</t>
  </si>
  <si>
    <t xml:space="preserve">ホーイ　 碧蘭　　</t>
  </si>
  <si>
    <t xml:space="preserve">テリー</t>
  </si>
  <si>
    <t xml:space="preserve">lumisa22@gmail.com</t>
  </si>
  <si>
    <r>
      <rPr>
        <sz val="10"/>
        <color rgb="FF000000"/>
        <rFont val="Meiryo"/>
        <family val="0"/>
        <charset val="1"/>
      </rPr>
      <t xml:space="preserve">50</t>
    </r>
    <r>
      <rPr>
        <sz val="10"/>
        <color rgb="FF000000"/>
        <rFont val="Noto Sans CJK SC"/>
        <family val="2"/>
        <charset val="1"/>
      </rPr>
      <t xml:space="preserve">周年行事委員</t>
    </r>
  </si>
  <si>
    <t xml:space="preserve">lumisa22@gmail.com;ksakakura07@gmail.com</t>
  </si>
  <si>
    <t xml:space="preserve">(770)235-1224</t>
  </si>
  <si>
    <t xml:space="preserve">六反　　 梛月　　</t>
  </si>
  <si>
    <t xml:space="preserve">耕太</t>
  </si>
  <si>
    <t xml:space="preserve">tsugumirokutan@gmail.com</t>
  </si>
  <si>
    <r>
      <rPr>
        <sz val="10"/>
        <color theme="1"/>
        <rFont val="Noto Sans CJK SC"/>
        <family val="2"/>
        <charset val="1"/>
      </rPr>
      <t xml:space="preserve">小</t>
    </r>
    <r>
      <rPr>
        <sz val="10"/>
        <color theme="1"/>
        <rFont val="Meiryo"/>
        <family val="0"/>
        <charset val="1"/>
      </rPr>
      <t xml:space="preserve">3</t>
    </r>
    <r>
      <rPr>
        <sz val="10"/>
        <color theme="1"/>
        <rFont val="Noto Sans CJK SC"/>
        <family val="2"/>
        <charset val="1"/>
      </rPr>
      <t xml:space="preserve">－</t>
    </r>
    <r>
      <rPr>
        <sz val="10"/>
        <color theme="1"/>
        <rFont val="Meiryo"/>
        <family val="0"/>
        <charset val="1"/>
      </rPr>
      <t xml:space="preserve">2</t>
    </r>
  </si>
  <si>
    <t xml:space="preserve">六反 千遥</t>
  </si>
  <si>
    <r>
      <rPr>
        <sz val="10"/>
        <color theme="1"/>
        <rFont val="Noto Sans CJK SC"/>
        <family val="2"/>
        <charset val="1"/>
      </rPr>
      <t xml:space="preserve">小</t>
    </r>
    <r>
      <rPr>
        <sz val="10"/>
        <color theme="1"/>
        <rFont val="Meiryo"/>
        <family val="0"/>
        <charset val="1"/>
      </rPr>
      <t xml:space="preserve">5</t>
    </r>
    <r>
      <rPr>
        <sz val="10"/>
        <color theme="1"/>
        <rFont val="Noto Sans CJK SC"/>
        <family val="2"/>
        <charset val="1"/>
      </rPr>
      <t xml:space="preserve">－</t>
    </r>
    <r>
      <rPr>
        <sz val="10"/>
        <color theme="1"/>
        <rFont val="Meiryo"/>
        <family val="0"/>
        <charset val="1"/>
      </rPr>
      <t xml:space="preserve">1</t>
    </r>
  </si>
  <si>
    <t xml:space="preserve">六反 智葵</t>
  </si>
  <si>
    <t xml:space="preserve">(470)269-6658</t>
  </si>
  <si>
    <t xml:space="preserve">伊藤　　 みずき　</t>
  </si>
  <si>
    <t xml:space="preserve">敦史</t>
  </si>
  <si>
    <t xml:space="preserve">sunshine.mariko@gmail.com</t>
  </si>
  <si>
    <t xml:space="preserve">伊藤 さくら</t>
  </si>
  <si>
    <t xml:space="preserve">伊藤 あずさ</t>
  </si>
  <si>
    <t xml:space="preserve">sunshine.mariko@gmail.com;atsushi1214meister@gmail.com</t>
  </si>
  <si>
    <t xml:space="preserve">(404)771-9497</t>
  </si>
  <si>
    <t xml:space="preserve">木下　　 さら　　</t>
  </si>
  <si>
    <t xml:space="preserve">郁子</t>
  </si>
  <si>
    <t xml:space="preserve">sunnyikopp@gmail.com</t>
  </si>
  <si>
    <t xml:space="preserve">(470)796-0060</t>
  </si>
  <si>
    <t xml:space="preserve">塚越　　 豊</t>
  </si>
  <si>
    <t xml:space="preserve">肇</t>
  </si>
  <si>
    <t xml:space="preserve">ham_tsuka@yahoo.co.jp</t>
  </si>
  <si>
    <t xml:space="preserve">(513)857-8977</t>
  </si>
  <si>
    <t xml:space="preserve">齋藤　　 翔</t>
  </si>
  <si>
    <t xml:space="preserve">正昭</t>
  </si>
  <si>
    <t xml:space="preserve">mayuyutsu8007@icloud.com</t>
  </si>
  <si>
    <t xml:space="preserve">(706)766-2725</t>
  </si>
  <si>
    <t xml:space="preserve">幼 もも</t>
  </si>
  <si>
    <t xml:space="preserve">山﨑　　 圭悟　　</t>
  </si>
  <si>
    <t xml:space="preserve">智昭</t>
  </si>
  <si>
    <t xml:space="preserve">zaki.tomo.yuka@gmail.com</t>
  </si>
  <si>
    <t xml:space="preserve">(678)237-1373</t>
  </si>
  <si>
    <t xml:space="preserve">山口　　 将太　　</t>
  </si>
  <si>
    <t xml:space="preserve">圭介</t>
  </si>
  <si>
    <t xml:space="preserve">ekus313@yahoo.co.jp;punipuniaiko@gmail.com</t>
  </si>
  <si>
    <r>
      <rPr>
        <sz val="10"/>
        <color theme="1"/>
        <rFont val="Noto Sans CJK SC"/>
        <family val="2"/>
        <charset val="1"/>
      </rPr>
      <t xml:space="preserve">中</t>
    </r>
    <r>
      <rPr>
        <sz val="10"/>
        <color theme="1"/>
        <rFont val="Meiryo"/>
        <family val="0"/>
        <charset val="1"/>
      </rPr>
      <t xml:space="preserve">2</t>
    </r>
    <r>
      <rPr>
        <sz val="10"/>
        <color theme="1"/>
        <rFont val="Noto Sans CJK SC"/>
        <family val="2"/>
        <charset val="1"/>
      </rPr>
      <t xml:space="preserve">－</t>
    </r>
    <r>
      <rPr>
        <sz val="10"/>
        <color theme="1"/>
        <rFont val="Meiryo"/>
        <family val="0"/>
        <charset val="1"/>
      </rPr>
      <t xml:space="preserve">1</t>
    </r>
  </si>
  <si>
    <t xml:space="preserve">山口 美奈子</t>
  </si>
  <si>
    <t xml:space="preserve">中２－１</t>
  </si>
  <si>
    <t xml:space="preserve">punipuniaiko@gmail.com</t>
  </si>
  <si>
    <t xml:space="preserve">(678)371-0304</t>
  </si>
  <si>
    <t xml:space="preserve">池永　　 海生　　</t>
  </si>
  <si>
    <t xml:space="preserve">ジャック</t>
  </si>
  <si>
    <t xml:space="preserve">nikenaga@yahoo.com</t>
  </si>
  <si>
    <t xml:space="preserve">池永 眞弥</t>
  </si>
  <si>
    <t xml:space="preserve">幼　　もも</t>
  </si>
  <si>
    <t xml:space="preserve">(678)296-7245</t>
  </si>
  <si>
    <t xml:space="preserve">小田　　 哲哉　　</t>
  </si>
  <si>
    <t xml:space="preserve">康史</t>
  </si>
  <si>
    <t xml:space="preserve">tomo1129tb3@gmail.com</t>
  </si>
  <si>
    <t xml:space="preserve">小田 彰士</t>
  </si>
  <si>
    <t xml:space="preserve">(704)654-0730</t>
  </si>
  <si>
    <t xml:space="preserve">鈴木　　 康平　　</t>
  </si>
  <si>
    <t xml:space="preserve">秀典</t>
  </si>
  <si>
    <t xml:space="preserve">hsuzuki@live.com;suzuki.mio@outlook.com</t>
  </si>
  <si>
    <t xml:space="preserve">suzuki.mio@outlook.com;Hsuzuki@live.com</t>
  </si>
  <si>
    <t xml:space="preserve">(770)580-9260</t>
  </si>
  <si>
    <t xml:space="preserve">宮嶋　　 悠一郎　</t>
  </si>
  <si>
    <t xml:space="preserve">望</t>
  </si>
  <si>
    <t xml:space="preserve">gongdaowang@hotmail.co.jp;spring_mh@hotmail.com</t>
  </si>
  <si>
    <t xml:space="preserve">宮嶋 希子</t>
  </si>
  <si>
    <t xml:space="preserve">安全対策委員</t>
  </si>
  <si>
    <t xml:space="preserve">spring_mh@hotmail.com</t>
  </si>
  <si>
    <t xml:space="preserve">(352)284-4615</t>
  </si>
  <si>
    <t xml:space="preserve">篠原　　 佳也　　</t>
  </si>
  <si>
    <t xml:space="preserve">マイカ</t>
  </si>
  <si>
    <t xml:space="preserve">hiroko_shinohara@hotmail.com</t>
  </si>
  <si>
    <t xml:space="preserve">(404)429-0867</t>
  </si>
  <si>
    <t xml:space="preserve">綾部　　 櫻　　　</t>
  </si>
  <si>
    <t xml:space="preserve">ファリス</t>
  </si>
  <si>
    <t xml:space="preserve">naoneko38@msn.com</t>
  </si>
  <si>
    <r>
      <rPr>
        <sz val="10"/>
        <color theme="1"/>
        <rFont val="Noto Sans CJK SC"/>
        <family val="2"/>
        <charset val="1"/>
      </rPr>
      <t xml:space="preserve">小</t>
    </r>
    <r>
      <rPr>
        <sz val="10"/>
        <color theme="1"/>
        <rFont val="Meiryo"/>
        <family val="0"/>
        <charset val="1"/>
      </rPr>
      <t xml:space="preserve">1</t>
    </r>
    <r>
      <rPr>
        <sz val="10"/>
        <color theme="1"/>
        <rFont val="Noto Sans CJK SC"/>
        <family val="2"/>
        <charset val="1"/>
      </rPr>
      <t xml:space="preserve">－</t>
    </r>
    <r>
      <rPr>
        <sz val="10"/>
        <color theme="1"/>
        <rFont val="Meiryo"/>
        <family val="0"/>
        <charset val="1"/>
      </rPr>
      <t xml:space="preserve">3</t>
    </r>
  </si>
  <si>
    <t xml:space="preserve">綾部 賢造</t>
  </si>
  <si>
    <t xml:space="preserve">小１－３</t>
  </si>
  <si>
    <t xml:space="preserve">(678)571-3691</t>
  </si>
  <si>
    <t xml:space="preserve">神村　　 咲奈　　</t>
  </si>
  <si>
    <t xml:space="preserve">洋介</t>
  </si>
  <si>
    <t xml:space="preserve">yukainahitorigoto@gmail.com</t>
  </si>
  <si>
    <t xml:space="preserve">(678)200-3387</t>
  </si>
  <si>
    <t xml:space="preserve">近藤　　 さくら　</t>
  </si>
  <si>
    <t xml:space="preserve">政樹</t>
  </si>
  <si>
    <t xml:space="preserve">qiuzi1012@yahoo.co.jp</t>
  </si>
  <si>
    <t xml:space="preserve">近藤 巧</t>
  </si>
  <si>
    <t xml:space="preserve">(404)202-3437</t>
  </si>
  <si>
    <t xml:space="preserve">富澤　　 結衣　　</t>
  </si>
  <si>
    <t xml:space="preserve">明</t>
  </si>
  <si>
    <t xml:space="preserve">ekawa411@gmail.com</t>
  </si>
  <si>
    <t xml:space="preserve">(678)897-3721</t>
  </si>
  <si>
    <t xml:space="preserve">林　　　 美和　　</t>
  </si>
  <si>
    <t xml:space="preserve">悠</t>
  </si>
  <si>
    <t xml:space="preserve">yukkokko.526@gmail.com;yu.hayashi@kubota.com</t>
  </si>
  <si>
    <t xml:space="preserve">林 美桜</t>
  </si>
  <si>
    <t xml:space="preserve">yu.hayashi@kubota.com;yukkokko.526@gmail.com</t>
  </si>
  <si>
    <t xml:space="preserve">(678)315-9092</t>
  </si>
  <si>
    <t xml:space="preserve">益田　　 華　　　</t>
  </si>
  <si>
    <t xml:space="preserve">拓朗</t>
  </si>
  <si>
    <t xml:space="preserve">(404)447-4884</t>
  </si>
  <si>
    <t xml:space="preserve">takuro.masuda@gmail.com</t>
  </si>
  <si>
    <t xml:space="preserve">(706)934-3352</t>
  </si>
  <si>
    <t xml:space="preserve">森本　　 七瀬　　</t>
  </si>
  <si>
    <t xml:space="preserve">祐輔</t>
  </si>
  <si>
    <t xml:space="preserve">yuko_in_nor@yahoo.co.jp</t>
  </si>
  <si>
    <t xml:space="preserve">(470)519-5525</t>
  </si>
  <si>
    <t xml:space="preserve">山根　　 悠希</t>
  </si>
  <si>
    <t xml:space="preserve">聡</t>
  </si>
  <si>
    <t xml:space="preserve">knjys@yahoo.co.jp</t>
  </si>
  <si>
    <t xml:space="preserve">山根 綾乃</t>
  </si>
  <si>
    <r>
      <rPr>
        <sz val="10"/>
        <color theme="1"/>
        <rFont val="Noto Sans CJK SC"/>
        <family val="2"/>
        <charset val="1"/>
      </rPr>
      <t xml:space="preserve">小</t>
    </r>
    <r>
      <rPr>
        <sz val="10"/>
        <color theme="1"/>
        <rFont val="Meiryo"/>
        <family val="0"/>
        <charset val="1"/>
      </rPr>
      <t xml:space="preserve">5</t>
    </r>
    <r>
      <rPr>
        <sz val="10"/>
        <color theme="1"/>
        <rFont val="Noto Sans CJK SC"/>
        <family val="2"/>
        <charset val="1"/>
      </rPr>
      <t xml:space="preserve">－</t>
    </r>
    <r>
      <rPr>
        <sz val="10"/>
        <color theme="1"/>
        <rFont val="Meiryo"/>
        <family val="0"/>
        <charset val="1"/>
      </rPr>
      <t xml:space="preserve">2</t>
    </r>
  </si>
  <si>
    <t xml:space="preserve">山根 陸</t>
  </si>
  <si>
    <t xml:space="preserve">(770)314-7618</t>
  </si>
  <si>
    <t xml:space="preserve">磯部　　 美桜</t>
  </si>
  <si>
    <t xml:space="preserve">大介</t>
  </si>
  <si>
    <t xml:space="preserve">daisuke_isobe@na.honda.com </t>
  </si>
  <si>
    <t xml:space="preserve">磯部 侑理</t>
  </si>
  <si>
    <t xml:space="preserve">(310)809-5341</t>
  </si>
  <si>
    <t xml:space="preserve">西　　　 竜輝　　</t>
  </si>
  <si>
    <t xml:space="preserve">佑樹</t>
  </si>
  <si>
    <t xml:space="preserve">kaoru.mtt@gmail.com</t>
  </si>
  <si>
    <t xml:space="preserve">西 朝輝</t>
  </si>
  <si>
    <t xml:space="preserve">西 美咲</t>
  </si>
  <si>
    <t xml:space="preserve">小４－１</t>
  </si>
  <si>
    <t xml:space="preserve">Kaoru.mtt@gmail.com</t>
  </si>
  <si>
    <t xml:space="preserve">(770)309-3296</t>
  </si>
  <si>
    <r>
      <rPr>
        <sz val="10"/>
        <color theme="1"/>
        <rFont val="Noto Sans CJK SC"/>
        <family val="2"/>
        <charset val="1"/>
      </rPr>
      <t xml:space="preserve">小</t>
    </r>
    <r>
      <rPr>
        <sz val="10"/>
        <color theme="1"/>
        <rFont val="Meiryo"/>
        <family val="0"/>
        <charset val="1"/>
      </rPr>
      <t xml:space="preserve">1</t>
    </r>
    <r>
      <rPr>
        <sz val="10"/>
        <color theme="1"/>
        <rFont val="Noto Sans CJK SC"/>
        <family val="2"/>
        <charset val="1"/>
      </rPr>
      <t xml:space="preserve">－</t>
    </r>
    <r>
      <rPr>
        <sz val="10"/>
        <color theme="1"/>
        <rFont val="Meiryo"/>
        <family val="0"/>
        <charset val="1"/>
      </rPr>
      <t xml:space="preserve">1</t>
    </r>
  </si>
  <si>
    <t xml:space="preserve">上原　　 圭翔　　</t>
  </si>
  <si>
    <t xml:space="preserve">yuehara710@gmail.com;suehara314@gmail.com</t>
  </si>
  <si>
    <t xml:space="preserve">小１－１</t>
  </si>
  <si>
    <t xml:space="preserve">suehara314@gmail.com</t>
  </si>
  <si>
    <t xml:space="preserve">(770)885-5784</t>
  </si>
  <si>
    <t xml:space="preserve">鈴木　　 賢斗　　</t>
  </si>
  <si>
    <t xml:space="preserve">ジェームス</t>
  </si>
  <si>
    <t xml:space="preserve">takayo.witmondt@gmail.com</t>
  </si>
  <si>
    <t xml:space="preserve">(470)323-2313</t>
  </si>
  <si>
    <t xml:space="preserve">齋藤　　 鉄平　　</t>
  </si>
  <si>
    <t xml:space="preserve">甲侍</t>
  </si>
  <si>
    <t xml:space="preserve">(470)323-6855</t>
  </si>
  <si>
    <t xml:space="preserve">chibimaki3110@gmail.com;mk31101125@gmail.com</t>
  </si>
  <si>
    <t xml:space="preserve">齋藤 理子</t>
  </si>
  <si>
    <t xml:space="preserve">mk31101125@gmail.com</t>
  </si>
  <si>
    <t xml:space="preserve">(470)758-0428</t>
  </si>
  <si>
    <t xml:space="preserve">渡辺　　 琳久　　</t>
  </si>
  <si>
    <t xml:space="preserve">哲也</t>
  </si>
  <si>
    <t xml:space="preserve">te2ya.watanabe@gmail.com</t>
  </si>
  <si>
    <r>
      <rPr>
        <sz val="10"/>
        <color theme="1"/>
        <rFont val="Noto Sans CJK SC"/>
        <family val="2"/>
        <charset val="1"/>
      </rPr>
      <t xml:space="preserve">小</t>
    </r>
    <r>
      <rPr>
        <sz val="10"/>
        <color theme="1"/>
        <rFont val="Meiryo"/>
        <family val="0"/>
        <charset val="1"/>
      </rPr>
      <t xml:space="preserve">4</t>
    </r>
    <r>
      <rPr>
        <sz val="10"/>
        <color theme="1"/>
        <rFont val="Noto Sans CJK SC"/>
        <family val="2"/>
        <charset val="1"/>
      </rPr>
      <t xml:space="preserve">－</t>
    </r>
    <r>
      <rPr>
        <sz val="10"/>
        <color theme="1"/>
        <rFont val="Meiryo"/>
        <family val="0"/>
        <charset val="1"/>
      </rPr>
      <t xml:space="preserve">2</t>
    </r>
  </si>
  <si>
    <t xml:space="preserve">渡辺 遼</t>
  </si>
  <si>
    <r>
      <rPr>
        <sz val="10"/>
        <color theme="1"/>
        <rFont val="Noto Sans CJK SC"/>
        <family val="2"/>
        <charset val="1"/>
      </rPr>
      <t xml:space="preserve">小１</t>
    </r>
    <r>
      <rPr>
        <sz val="10"/>
        <color theme="1"/>
        <rFont val="Meiryo"/>
        <family val="0"/>
        <charset val="1"/>
      </rPr>
      <t xml:space="preserve">,</t>
    </r>
    <r>
      <rPr>
        <sz val="10"/>
        <color theme="1"/>
        <rFont val="Noto Sans CJK SC"/>
        <family val="2"/>
        <charset val="1"/>
      </rPr>
      <t xml:space="preserve">小４</t>
    </r>
  </si>
  <si>
    <t xml:space="preserve">(423)309-0395</t>
  </si>
  <si>
    <t xml:space="preserve">井手　　 康平　　</t>
  </si>
  <si>
    <t xml:space="preserve">悟</t>
  </si>
  <si>
    <t xml:space="preserve">27satoru.id@gmail.com;27.ryoko.s@gmail.com</t>
  </si>
  <si>
    <t xml:space="preserve">井手 優花</t>
  </si>
  <si>
    <t xml:space="preserve">27.ryoko.s@gmail.com</t>
  </si>
  <si>
    <t xml:space="preserve">(770)695-4988</t>
  </si>
  <si>
    <t xml:space="preserve">松田　　 悠生　　</t>
  </si>
  <si>
    <t xml:space="preserve">陽介</t>
  </si>
  <si>
    <t xml:space="preserve">nwdds539@gmail.com</t>
  </si>
  <si>
    <t xml:space="preserve">E</t>
  </si>
  <si>
    <t xml:space="preserve">(423)490-5130</t>
  </si>
  <si>
    <t xml:space="preserve">岩田　　 健孟　　</t>
  </si>
  <si>
    <t xml:space="preserve">達則</t>
  </si>
  <si>
    <t xml:space="preserve">cadu.co.recheblue@gmail.com;tatsunori.iwata@gmail.com</t>
  </si>
  <si>
    <t xml:space="preserve">tatsunori.iwata@gmail.com</t>
  </si>
  <si>
    <t xml:space="preserve">(478)484-9636</t>
  </si>
  <si>
    <t xml:space="preserve">髙田　　 昂汰　　</t>
  </si>
  <si>
    <t xml:space="preserve">優吾</t>
  </si>
  <si>
    <t xml:space="preserve">a_little_bit_of_courage_july29@yahoo.co.jp;locolife0403@gmail.com</t>
  </si>
  <si>
    <t xml:space="preserve">髙田 湊介</t>
  </si>
  <si>
    <t xml:space="preserve">小３－１</t>
  </si>
  <si>
    <t xml:space="preserve">locolife0403@gmail.com</t>
  </si>
  <si>
    <t xml:space="preserve">(310)755-9862</t>
  </si>
  <si>
    <t xml:space="preserve">内山　　 綾士　　</t>
  </si>
  <si>
    <t xml:space="preserve">祐紀</t>
  </si>
  <si>
    <t xml:space="preserve">yuki_tx@hotmail.com;rieko.u@hotmail.com</t>
  </si>
  <si>
    <t xml:space="preserve">rieko.u@hotmail.com;yuki_tx@hotmail.com</t>
  </si>
  <si>
    <t xml:space="preserve">(917)860-4899</t>
  </si>
  <si>
    <t xml:space="preserve">ハイマン 多莉明　</t>
  </si>
  <si>
    <t xml:space="preserve">ラリー</t>
  </si>
  <si>
    <t xml:space="preserve">miyo.heiman@gmail.com</t>
  </si>
  <si>
    <t xml:space="preserve">(404)450-8288</t>
  </si>
  <si>
    <t xml:space="preserve">村瀬　　 英奈　　</t>
  </si>
  <si>
    <t xml:space="preserve">友和</t>
  </si>
  <si>
    <t xml:space="preserve">crystalchakkey72@gmail.com;tomokazu.murase@toppan-usa.com</t>
  </si>
  <si>
    <t xml:space="preserve">村瀬 友翔</t>
  </si>
  <si>
    <t xml:space="preserve">crystalchakkey72@gmail.com</t>
  </si>
  <si>
    <t xml:space="preserve">(706)983-7954</t>
  </si>
  <si>
    <t xml:space="preserve">松本　　 佳乃　　</t>
  </si>
  <si>
    <t xml:space="preserve">康宏</t>
  </si>
  <si>
    <t xml:space="preserve">ym020108316@icloud.com;yyyuko.be@gmail.com</t>
  </si>
  <si>
    <t xml:space="preserve">松本 拓己</t>
  </si>
  <si>
    <t xml:space="preserve">yyyuko.be@gmail.com</t>
  </si>
  <si>
    <t xml:space="preserve">(404)983-3953</t>
  </si>
  <si>
    <t xml:space="preserve">梶原　　 杏　　　</t>
  </si>
  <si>
    <t xml:space="preserve">將義</t>
  </si>
  <si>
    <t xml:space="preserve">(706)983-9032</t>
  </si>
  <si>
    <t xml:space="preserve">miisuke0102@gmail.com, Masayoshi.kajiwara@tacg.Toyota-industries.com
</t>
  </si>
  <si>
    <t xml:space="preserve">miisuke0102@gmail.com</t>
  </si>
  <si>
    <t xml:space="preserve">(770)262-0113</t>
  </si>
  <si>
    <t xml:space="preserve">セレン　 にこ　　</t>
  </si>
  <si>
    <t xml:space="preserve">康司</t>
  </si>
  <si>
    <t xml:space="preserve">emysellen@icloud.com,yasushisellen255@gmail.com</t>
  </si>
  <si>
    <t xml:space="preserve">セレン さな</t>
  </si>
  <si>
    <r>
      <rPr>
        <sz val="8"/>
        <color theme="1"/>
        <rFont val="Meiryo"/>
        <family val="0"/>
        <charset val="1"/>
      </rPr>
      <t xml:space="preserve">3/11 </t>
    </r>
    <r>
      <rPr>
        <sz val="8"/>
        <color theme="1"/>
        <rFont val="Noto Sans CJK SC"/>
        <family val="2"/>
        <charset val="1"/>
      </rPr>
      <t xml:space="preserve">電話番号変更、</t>
    </r>
    <r>
      <rPr>
        <sz val="8"/>
        <color theme="1"/>
        <rFont val="Meiryo"/>
        <family val="0"/>
        <charset val="1"/>
      </rPr>
      <t xml:space="preserve">e-mail</t>
    </r>
    <r>
      <rPr>
        <sz val="8"/>
        <color theme="1"/>
        <rFont val="Noto Sans CJK SC"/>
        <family val="2"/>
        <charset val="1"/>
      </rPr>
      <t xml:space="preserve">アドレス追加</t>
    </r>
  </si>
  <si>
    <t xml:space="preserve">(678)857-9876</t>
  </si>
  <si>
    <t xml:space="preserve">emysellen@icloud.com;yasushisellen255@gmail.com</t>
  </si>
  <si>
    <t xml:space="preserve">(401)924-3777</t>
  </si>
  <si>
    <t xml:space="preserve">新谷　　 えみり　</t>
  </si>
  <si>
    <t xml:space="preserve">ハーヴィー</t>
  </si>
  <si>
    <t xml:space="preserve">aloha72nobue@gmail.com</t>
  </si>
  <si>
    <t xml:space="preserve">(470)557-0371</t>
  </si>
  <si>
    <t xml:space="preserve">黒木　　 逢七　　</t>
  </si>
  <si>
    <t xml:space="preserve">泰成</t>
  </si>
  <si>
    <t xml:space="preserve">s.ma.merry.v.v@gmail.com</t>
  </si>
  <si>
    <t xml:space="preserve">(678)882-6834</t>
  </si>
  <si>
    <t xml:space="preserve">良原　　 渓太</t>
  </si>
  <si>
    <t xml:space="preserve">伸幸</t>
  </si>
  <si>
    <t xml:space="preserve">yoshimakimail9@gmail.com</t>
  </si>
  <si>
    <r>
      <rPr>
        <sz val="10"/>
        <color theme="1"/>
        <rFont val="Noto Sans CJK SC"/>
        <family val="2"/>
        <charset val="1"/>
      </rPr>
      <t xml:space="preserve">小</t>
    </r>
    <r>
      <rPr>
        <sz val="10"/>
        <color theme="1"/>
        <rFont val="Meiryo"/>
        <family val="0"/>
        <charset val="1"/>
      </rPr>
      <t xml:space="preserve">6</t>
    </r>
    <r>
      <rPr>
        <sz val="10"/>
        <color theme="1"/>
        <rFont val="Noto Sans CJK SC"/>
        <family val="2"/>
        <charset val="1"/>
      </rPr>
      <t xml:space="preserve">－</t>
    </r>
    <r>
      <rPr>
        <sz val="10"/>
        <color theme="1"/>
        <rFont val="Meiryo"/>
        <family val="0"/>
        <charset val="1"/>
      </rPr>
      <t xml:space="preserve">1</t>
    </r>
  </si>
  <si>
    <t xml:space="preserve">良原 康太</t>
  </si>
  <si>
    <t xml:space="preserve">(614)623-8213</t>
  </si>
  <si>
    <r>
      <rPr>
        <sz val="10"/>
        <color rgb="FF000000"/>
        <rFont val="Noto Sans CJK SC"/>
        <family val="2"/>
        <charset val="1"/>
      </rPr>
      <t xml:space="preserve">小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Noto Sans CJK SC"/>
        <family val="2"/>
        <charset val="1"/>
      </rPr>
      <t xml:space="preserve">－</t>
    </r>
    <r>
      <rPr>
        <sz val="10"/>
        <color rgb="FF000000"/>
        <rFont val="Meiryo"/>
        <family val="0"/>
        <charset val="1"/>
      </rPr>
      <t xml:space="preserve">1</t>
    </r>
  </si>
  <si>
    <t xml:space="preserve">小島　　 蒔人</t>
  </si>
  <si>
    <t xml:space="preserve">薫</t>
  </si>
  <si>
    <t xml:space="preserve">r.i.peace.love12@gmail.com</t>
  </si>
  <si>
    <r>
      <rPr>
        <sz val="10"/>
        <color rgb="FF000000"/>
        <rFont val="Noto Sans CJK SC"/>
        <family val="2"/>
        <charset val="1"/>
      </rPr>
      <t xml:space="preserve">中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Noto Sans CJK SC"/>
        <family val="2"/>
        <charset val="1"/>
      </rPr>
      <t xml:space="preserve">－</t>
    </r>
    <r>
      <rPr>
        <sz val="10"/>
        <color rgb="FF000000"/>
        <rFont val="Meiryo"/>
        <family val="0"/>
        <charset val="1"/>
      </rPr>
      <t xml:space="preserve">1</t>
    </r>
  </si>
  <si>
    <t xml:space="preserve">小島 蒼</t>
  </si>
  <si>
    <t xml:space="preserve">(678)283-3556</t>
  </si>
  <si>
    <r>
      <rPr>
        <sz val="10"/>
        <color theme="1"/>
        <rFont val="Noto Sans CJK SC"/>
        <family val="2"/>
        <charset val="1"/>
      </rPr>
      <t xml:space="preserve">小</t>
    </r>
    <r>
      <rPr>
        <sz val="10"/>
        <color theme="1"/>
        <rFont val="Meiryo"/>
        <family val="0"/>
        <charset val="1"/>
      </rPr>
      <t xml:space="preserve">1</t>
    </r>
    <r>
      <rPr>
        <sz val="10"/>
        <color theme="1"/>
        <rFont val="Noto Sans CJK SC"/>
        <family val="2"/>
        <charset val="1"/>
      </rPr>
      <t xml:space="preserve">－</t>
    </r>
    <r>
      <rPr>
        <sz val="10"/>
        <color theme="1"/>
        <rFont val="Meiryo"/>
        <family val="0"/>
        <charset val="1"/>
      </rPr>
      <t xml:space="preserve">2</t>
    </r>
  </si>
  <si>
    <t xml:space="preserve">塚本　　 凌久　　</t>
  </si>
  <si>
    <t xml:space="preserve">孝徳</t>
  </si>
  <si>
    <t xml:space="preserve">rvesrkt0106@gmail.com</t>
  </si>
  <si>
    <t xml:space="preserve">(678)431-8111</t>
  </si>
  <si>
    <t xml:space="preserve">二村　　 貫太　　</t>
  </si>
  <si>
    <t xml:space="preserve">裕治</t>
  </si>
  <si>
    <t xml:space="preserve">gaoxiuai@gmail.com;y-nimura@ykk.com</t>
  </si>
  <si>
    <t xml:space="preserve">gaoxiuai@gmail.com</t>
  </si>
  <si>
    <t xml:space="preserve">(470)589-0483</t>
  </si>
  <si>
    <t xml:space="preserve">薮田　　 大輝　　</t>
  </si>
  <si>
    <t xml:space="preserve">豊大</t>
  </si>
  <si>
    <t xml:space="preserve">satoko7211@yahoo.co.jp;atsuhiro0221@yahoo.co.jp</t>
  </si>
  <si>
    <r>
      <rPr>
        <sz val="10"/>
        <color theme="1"/>
        <rFont val="Noto Sans CJK SC"/>
        <family val="2"/>
        <charset val="1"/>
      </rPr>
      <t xml:space="preserve">小</t>
    </r>
    <r>
      <rPr>
        <sz val="10"/>
        <color theme="1"/>
        <rFont val="Meiryo"/>
        <family val="0"/>
        <charset val="1"/>
      </rPr>
      <t xml:space="preserve">6</t>
    </r>
    <r>
      <rPr>
        <sz val="10"/>
        <color theme="1"/>
        <rFont val="Noto Sans CJK SC"/>
        <family val="2"/>
        <charset val="1"/>
      </rPr>
      <t xml:space="preserve">－</t>
    </r>
    <r>
      <rPr>
        <sz val="10"/>
        <color theme="1"/>
        <rFont val="Meiryo"/>
        <family val="0"/>
        <charset val="1"/>
      </rPr>
      <t xml:space="preserve">2</t>
    </r>
  </si>
  <si>
    <t xml:space="preserve">薮田 愛子</t>
  </si>
  <si>
    <t xml:space="preserve">satoko7211@yahoo.co.jp</t>
  </si>
  <si>
    <t xml:space="preserve">(478)877-8054</t>
  </si>
  <si>
    <t xml:space="preserve">加藤　　 大河　　</t>
  </si>
  <si>
    <t xml:space="preserve">大地</t>
  </si>
  <si>
    <t xml:space="preserve">sakusaku1742@yahoo.co.jp;cazz0611@yahoo.co.jp</t>
  </si>
  <si>
    <t xml:space="preserve">小１－２</t>
  </si>
  <si>
    <t xml:space="preserve">cazz0611@yahoo.co.jp</t>
  </si>
  <si>
    <t xml:space="preserve">(404)245-9823</t>
  </si>
  <si>
    <t xml:space="preserve">中村　　 光太　　</t>
  </si>
  <si>
    <t xml:space="preserve">剛</t>
  </si>
  <si>
    <t xml:space="preserve">home.dora@gmail.com;aichikaw@hotmail.com</t>
  </si>
  <si>
    <t xml:space="preserve">home.dora@gmail.com</t>
  </si>
  <si>
    <t xml:space="preserve">(470)859-9798</t>
  </si>
  <si>
    <t xml:space="preserve">北井　　 匠　　　</t>
  </si>
  <si>
    <t xml:space="preserve">大樹</t>
  </si>
  <si>
    <t xml:space="preserve">life__is__beautiful@hotmail.com;kitai_atl_2022@yahoo.com</t>
  </si>
  <si>
    <t xml:space="preserve">北井 大和</t>
  </si>
  <si>
    <r>
      <rPr>
        <sz val="8"/>
        <color theme="1"/>
        <rFont val="Meiryo"/>
        <family val="0"/>
        <charset val="1"/>
      </rPr>
      <t xml:space="preserve">3/11</t>
    </r>
    <r>
      <rPr>
        <sz val="8"/>
        <color theme="1"/>
        <rFont val="Noto Sans CJK SC"/>
        <family val="2"/>
        <charset val="1"/>
      </rPr>
      <t xml:space="preserve">電話番号変更</t>
    </r>
  </si>
  <si>
    <t xml:space="preserve">小６－２　　</t>
  </si>
  <si>
    <t xml:space="preserve">(770)778-5098</t>
  </si>
  <si>
    <t xml:space="preserve">kitai_atl_2022@yahoo.com</t>
  </si>
  <si>
    <t xml:space="preserve">(213)925-2174</t>
  </si>
  <si>
    <t xml:space="preserve">宮田　　 來怜　　</t>
  </si>
  <si>
    <t xml:space="preserve">大輝</t>
  </si>
  <si>
    <t xml:space="preserve">kuboasa817@hotmail.com</t>
  </si>
  <si>
    <t xml:space="preserve">宮田 亜美</t>
  </si>
  <si>
    <r>
      <rPr>
        <sz val="10"/>
        <color theme="1"/>
        <rFont val="Noto Sans CJK SC"/>
        <family val="2"/>
        <charset val="1"/>
      </rPr>
      <t xml:space="preserve">小１</t>
    </r>
    <r>
      <rPr>
        <sz val="10"/>
        <color theme="1"/>
        <rFont val="Meiryo"/>
        <family val="0"/>
        <charset val="1"/>
      </rPr>
      <t xml:space="preserve">,</t>
    </r>
    <r>
      <rPr>
        <sz val="10"/>
        <color theme="1"/>
        <rFont val="Noto Sans CJK SC"/>
        <family val="2"/>
        <charset val="1"/>
      </rPr>
      <t xml:space="preserve">小３</t>
    </r>
  </si>
  <si>
    <t xml:space="preserve">(404)908-5543</t>
  </si>
  <si>
    <t xml:space="preserve">モリソン 晴信　　</t>
  </si>
  <si>
    <t xml:space="preserve">ジョシュア</t>
  </si>
  <si>
    <t xml:space="preserve">afurukaw@gmail.com</t>
  </si>
  <si>
    <r>
      <rPr>
        <sz val="10"/>
        <color theme="1"/>
        <rFont val="Noto Sans CJK SC"/>
        <family val="2"/>
        <charset val="1"/>
      </rPr>
      <t xml:space="preserve">小１</t>
    </r>
    <r>
      <rPr>
        <sz val="10"/>
        <color theme="1"/>
        <rFont val="Meiryo"/>
        <family val="0"/>
        <charset val="1"/>
      </rPr>
      <t xml:space="preserve">,</t>
    </r>
    <r>
      <rPr>
        <sz val="10"/>
        <color theme="1"/>
        <rFont val="Noto Sans CJK SC"/>
        <family val="2"/>
        <charset val="1"/>
      </rPr>
      <t xml:space="preserve">小６</t>
    </r>
  </si>
  <si>
    <t xml:space="preserve">(470)755-9116</t>
  </si>
  <si>
    <t xml:space="preserve">山崎　　 瑛美　　</t>
  </si>
  <si>
    <t xml:space="preserve">寿也</t>
  </si>
  <si>
    <t xml:space="preserve">mln.08077120495@icloud.com;nozoyama0724@icloud.com</t>
  </si>
  <si>
    <t xml:space="preserve">山崎 玲奈</t>
  </si>
  <si>
    <t xml:space="preserve">mln.08077120495@icloud.com</t>
  </si>
  <si>
    <t xml:space="preserve">(770)235-8724</t>
  </si>
  <si>
    <t xml:space="preserve">井上　　 柚羽　　</t>
  </si>
  <si>
    <t xml:space="preserve">雄一郎</t>
  </si>
  <si>
    <t xml:space="preserve">yook.yoo.mee.0417@gmail.com</t>
  </si>
  <si>
    <t xml:space="preserve">井上 柚乃</t>
  </si>
  <si>
    <t xml:space="preserve">(470)882-5907</t>
  </si>
  <si>
    <t xml:space="preserve">大河内　 彩恵　　</t>
  </si>
  <si>
    <t xml:space="preserve">一輝</t>
  </si>
  <si>
    <t xml:space="preserve">(470)-882-5907</t>
  </si>
  <si>
    <t xml:space="preserve">kokochi@hvac.mea.com;mermaid5070@gmail.com</t>
  </si>
  <si>
    <t xml:space="preserve">kokochi@hvac.mea.com</t>
  </si>
  <si>
    <t xml:space="preserve">(770)364-6300</t>
  </si>
  <si>
    <t xml:space="preserve">ラザラス スカーレット</t>
  </si>
  <si>
    <t xml:space="preserve">クリス</t>
  </si>
  <si>
    <t xml:space="preserve">dr.celinelazarus@gmail.com</t>
  </si>
  <si>
    <t xml:space="preserve">ラザラス ジェームス</t>
  </si>
  <si>
    <t xml:space="preserve">(470)807-0696</t>
  </si>
  <si>
    <t xml:space="preserve">石井　　 希歩　　</t>
  </si>
  <si>
    <t xml:space="preserve">喜大</t>
  </si>
  <si>
    <t xml:space="preserve">bigjoy.1414416@gmail.com</t>
  </si>
  <si>
    <t xml:space="preserve">石井 佑典</t>
  </si>
  <si>
    <t xml:space="preserve">(470)755-9695</t>
  </si>
  <si>
    <r>
      <rPr>
        <sz val="10"/>
        <color theme="1"/>
        <rFont val="Noto Sans CJK SC"/>
        <family val="2"/>
        <charset val="1"/>
      </rPr>
      <t xml:space="preserve">小</t>
    </r>
    <r>
      <rPr>
        <sz val="10"/>
        <color theme="1"/>
        <rFont val="Meiryo"/>
        <family val="0"/>
        <charset val="1"/>
      </rPr>
      <t xml:space="preserve">1</t>
    </r>
    <r>
      <rPr>
        <sz val="10"/>
        <color theme="1"/>
        <rFont val="Noto Sans CJK SC"/>
        <family val="2"/>
        <charset val="1"/>
      </rPr>
      <t xml:space="preserve">ー</t>
    </r>
    <r>
      <rPr>
        <sz val="10"/>
        <color theme="1"/>
        <rFont val="Meiryo"/>
        <family val="0"/>
        <charset val="1"/>
      </rPr>
      <t xml:space="preserve">2</t>
    </r>
  </si>
  <si>
    <t xml:space="preserve">川嶋　　 琉生</t>
  </si>
  <si>
    <t xml:space="preserve">祐貴</t>
  </si>
  <si>
    <t xml:space="preserve">ayari_kawashima@yahoo.co.jp</t>
  </si>
  <si>
    <t xml:space="preserve">川嶋 優維</t>
  </si>
  <si>
    <t xml:space="preserve">(470)430-8281</t>
  </si>
  <si>
    <t xml:space="preserve">レビン     海斗</t>
  </si>
  <si>
    <t xml:space="preserve">ベンジャミン</t>
  </si>
  <si>
    <t xml:space="preserve">chikosancute@gmail.com</t>
  </si>
  <si>
    <t xml:space="preserve">(678)704-9168</t>
  </si>
  <si>
    <t xml:space="preserve">松井　　 一真　　</t>
  </si>
  <si>
    <t xml:space="preserve">甲並</t>
  </si>
  <si>
    <t xml:space="preserve">sato.kom.1128@gmail.com</t>
  </si>
  <si>
    <t xml:space="preserve">松井 真優</t>
  </si>
  <si>
    <t xml:space="preserve">(469)688-9008</t>
  </si>
  <si>
    <t xml:space="preserve">柳沢　　 彪功　　</t>
  </si>
  <si>
    <t xml:space="preserve">功</t>
  </si>
  <si>
    <t xml:space="preserve">30y130s@gmail.com</t>
  </si>
  <si>
    <t xml:space="preserve">(770)733-7815</t>
  </si>
  <si>
    <t xml:space="preserve">ハリソン 倖　　　</t>
  </si>
  <si>
    <t xml:space="preserve">nodokaharrison@gmail.com</t>
  </si>
  <si>
    <t xml:space="preserve">(470)836-2904</t>
  </si>
  <si>
    <t xml:space="preserve">作佐部　 岳　　　</t>
  </si>
  <si>
    <t xml:space="preserve">将</t>
  </si>
  <si>
    <t xml:space="preserve">gakuyuno1098@gmail.com</t>
  </si>
  <si>
    <t xml:space="preserve">(470)925-1574</t>
  </si>
  <si>
    <t xml:space="preserve">松本　　 悠生　　</t>
  </si>
  <si>
    <t xml:space="preserve">伸治</t>
  </si>
  <si>
    <t xml:space="preserve">shinji.m@hotmail.co.jp</t>
  </si>
  <si>
    <t xml:space="preserve">松本 大輝</t>
  </si>
  <si>
    <t xml:space="preserve">当番作成委員</t>
  </si>
  <si>
    <t xml:space="preserve">(404)901-4603</t>
  </si>
  <si>
    <t xml:space="preserve">稲森　　 杏奈　　</t>
  </si>
  <si>
    <t xml:space="preserve">礼次郎</t>
  </si>
  <si>
    <t xml:space="preserve">rijun12@gmail.com</t>
  </si>
  <si>
    <t xml:space="preserve">稲森 新太郎</t>
  </si>
  <si>
    <r>
      <rPr>
        <sz val="10"/>
        <color theme="1"/>
        <rFont val="Noto Sans CJK SC"/>
        <family val="2"/>
        <charset val="1"/>
      </rPr>
      <t xml:space="preserve">中</t>
    </r>
    <r>
      <rPr>
        <sz val="10"/>
        <color theme="1"/>
        <rFont val="Meiryo"/>
        <family val="0"/>
        <charset val="1"/>
      </rPr>
      <t xml:space="preserve">3</t>
    </r>
    <r>
      <rPr>
        <sz val="10"/>
        <color theme="1"/>
        <rFont val="Noto Sans CJK SC"/>
        <family val="2"/>
        <charset val="1"/>
      </rPr>
      <t xml:space="preserve">－</t>
    </r>
    <r>
      <rPr>
        <sz val="10"/>
        <color theme="1"/>
        <rFont val="Meiryo"/>
        <family val="0"/>
        <charset val="1"/>
      </rPr>
      <t xml:space="preserve">1</t>
    </r>
  </si>
  <si>
    <t xml:space="preserve">稲森 恵理子</t>
  </si>
  <si>
    <t xml:space="preserve">(678)682-1604</t>
  </si>
  <si>
    <t xml:space="preserve">並木　　 楓　　　</t>
  </si>
  <si>
    <t xml:space="preserve">ポールジョセフ</t>
  </si>
  <si>
    <t xml:space="preserve">maikosargent@gmail.com</t>
  </si>
  <si>
    <t xml:space="preserve">(678)622-9764</t>
  </si>
  <si>
    <t xml:space="preserve">松野　　 海咲　　</t>
  </si>
  <si>
    <t xml:space="preserve">雅信</t>
  </si>
  <si>
    <t xml:space="preserve">kao.1221.non@gmail.com;msko0621@gmail.com</t>
  </si>
  <si>
    <t xml:space="preserve">松野 宮臥</t>
  </si>
  <si>
    <t xml:space="preserve">kao.1221.non@gmail.com</t>
  </si>
  <si>
    <t xml:space="preserve">(404)450-3671</t>
  </si>
  <si>
    <t xml:space="preserve">森川　　 咲空　　</t>
  </si>
  <si>
    <t xml:space="preserve">康一</t>
  </si>
  <si>
    <t xml:space="preserve">saoko.1135@gmail.com</t>
  </si>
  <si>
    <t xml:space="preserve">森川 美桜</t>
  </si>
  <si>
    <r>
      <rPr>
        <sz val="10"/>
        <color theme="1"/>
        <rFont val="Noto Sans CJK SC"/>
        <family val="2"/>
        <charset val="1"/>
      </rPr>
      <t xml:space="preserve">中</t>
    </r>
    <r>
      <rPr>
        <sz val="10"/>
        <color theme="1"/>
        <rFont val="Meiryo"/>
        <family val="0"/>
        <charset val="1"/>
      </rPr>
      <t xml:space="preserve">1</t>
    </r>
    <r>
      <rPr>
        <sz val="10"/>
        <color theme="1"/>
        <rFont val="Noto Sans CJK SC"/>
        <family val="2"/>
        <charset val="1"/>
      </rPr>
      <t xml:space="preserve">－</t>
    </r>
    <r>
      <rPr>
        <sz val="10"/>
        <color theme="1"/>
        <rFont val="Meiryo"/>
        <family val="0"/>
        <charset val="1"/>
      </rPr>
      <t xml:space="preserve">1</t>
    </r>
  </si>
  <si>
    <t xml:space="preserve">森川 礼美</t>
  </si>
  <si>
    <t xml:space="preserve">4/15.5/27</t>
  </si>
  <si>
    <t xml:space="preserve">C.A</t>
  </si>
  <si>
    <t xml:space="preserve">(404)764-0966</t>
  </si>
  <si>
    <t xml:space="preserve">二村　　 美玲　　</t>
  </si>
  <si>
    <t xml:space="preserve">公崇</t>
  </si>
  <si>
    <t xml:space="preserve">s.a.y.u.r.i.ftmr@gmail.com</t>
  </si>
  <si>
    <t xml:space="preserve">(478)342-6818</t>
  </si>
  <si>
    <t xml:space="preserve">繁泉　　 凪　　　</t>
  </si>
  <si>
    <t xml:space="preserve">健</t>
  </si>
  <si>
    <t xml:space="preserve">akkunnmoi@yahoo.co.jp</t>
  </si>
  <si>
    <t xml:space="preserve">(478)319-3212</t>
  </si>
  <si>
    <t xml:space="preserve">藤田　　 虹夕</t>
  </si>
  <si>
    <t xml:space="preserve">俊介</t>
  </si>
  <si>
    <t xml:space="preserve">86nikoniko@gmail.com</t>
  </si>
  <si>
    <t xml:space="preserve">藤田 虹南</t>
  </si>
  <si>
    <t xml:space="preserve">藤田 虹光</t>
  </si>
  <si>
    <t xml:space="preserve">(404)397-3762</t>
  </si>
  <si>
    <t xml:space="preserve">橋本　　 彩月</t>
  </si>
  <si>
    <t xml:space="preserve">佳周</t>
  </si>
  <si>
    <t xml:space="preserve">nachichi726@gmail.com</t>
  </si>
  <si>
    <t xml:space="preserve">橋本 典沙</t>
  </si>
  <si>
    <t xml:space="preserve">(404)499-4949</t>
  </si>
  <si>
    <t xml:space="preserve">ハチンズ 桜華</t>
  </si>
  <si>
    <t xml:space="preserve">カール</t>
  </si>
  <si>
    <t xml:space="preserve">yuminator81@gmail.com</t>
  </si>
  <si>
    <t xml:space="preserve">(423)637-2242</t>
  </si>
  <si>
    <t xml:space="preserve">中村　　 詩</t>
  </si>
  <si>
    <t xml:space="preserve">mikas1986@icloud.com</t>
  </si>
  <si>
    <t xml:space="preserve">中村 色</t>
  </si>
  <si>
    <t xml:space="preserve">(470)363-3036</t>
  </si>
  <si>
    <t xml:space="preserve">牟田　　 悠人　　</t>
  </si>
  <si>
    <t xml:space="preserve">隆平</t>
  </si>
  <si>
    <t xml:space="preserve">muttanoie@icloud.com</t>
  </si>
  <si>
    <t xml:space="preserve">(404)649-1474</t>
  </si>
  <si>
    <t xml:space="preserve">中村　　 一覚　　</t>
  </si>
  <si>
    <t xml:space="preserve">一公</t>
  </si>
  <si>
    <t xml:space="preserve">ofurosuky@gmail.com</t>
  </si>
  <si>
    <t xml:space="preserve">中村 慧</t>
  </si>
  <si>
    <t xml:space="preserve">(678)313-7184</t>
  </si>
  <si>
    <t xml:space="preserve">山田　　 梅　　　</t>
  </si>
  <si>
    <t xml:space="preserve">パルンガオ</t>
  </si>
  <si>
    <t xml:space="preserve">yfukiko@gmail.com</t>
  </si>
  <si>
    <t xml:space="preserve">(678)308-3389</t>
  </si>
  <si>
    <t xml:space="preserve">持田　　 莉子　　</t>
  </si>
  <si>
    <t xml:space="preserve">紘徳</t>
  </si>
  <si>
    <t xml:space="preserve">2020mochida@gmail.com</t>
  </si>
  <si>
    <t xml:space="preserve">(770)547-2230</t>
  </si>
  <si>
    <t xml:space="preserve">渡辺　　 日加里　</t>
  </si>
  <si>
    <t xml:space="preserve">亮</t>
  </si>
  <si>
    <t xml:space="preserve">nobitalian.naomism703@gmail.com</t>
  </si>
  <si>
    <t xml:space="preserve">(404)324-2239</t>
  </si>
  <si>
    <t xml:space="preserve">福田　　 光希　　</t>
  </si>
  <si>
    <t xml:space="preserve">孝志</t>
  </si>
  <si>
    <t xml:space="preserve">mrkfk12819@gmail.com</t>
  </si>
  <si>
    <t xml:space="preserve">(859)619-9062</t>
  </si>
  <si>
    <t xml:space="preserve">鈴木　　 蘭　　　</t>
  </si>
  <si>
    <t xml:space="preserve">壮平</t>
  </si>
  <si>
    <t xml:space="preserve">sohei_suzuki1983@yahoo.co.jp</t>
  </si>
  <si>
    <t xml:space="preserve">(404)861-3735</t>
  </si>
  <si>
    <t xml:space="preserve">大竹　　 愛子　　</t>
  </si>
  <si>
    <t xml:space="preserve">MABRY</t>
  </si>
  <si>
    <t xml:space="preserve">biggreenbamboo@gmail.com</t>
  </si>
  <si>
    <t xml:space="preserve">(423)237-4248</t>
  </si>
  <si>
    <t xml:space="preserve">鈴木        梨央</t>
  </si>
  <si>
    <t xml:space="preserve">弘樹</t>
  </si>
  <si>
    <t xml:space="preserve">s.a.k.i.k.o2933@gmail.com</t>
  </si>
  <si>
    <t xml:space="preserve">鈴木 煌生</t>
  </si>
  <si>
    <t xml:space="preserve">(404)640-9700</t>
  </si>
  <si>
    <t xml:space="preserve">大嶋        希海</t>
  </si>
  <si>
    <t xml:space="preserve">仁海</t>
  </si>
  <si>
    <t xml:space="preserve">piyoko119@icloud.com</t>
  </si>
  <si>
    <t xml:space="preserve">大嶋 七海</t>
  </si>
  <si>
    <t xml:space="preserve">(734)233-8911</t>
  </si>
  <si>
    <t xml:space="preserve">髙木　　 武蔵　　</t>
  </si>
  <si>
    <t xml:space="preserve">慶一郎</t>
  </si>
  <si>
    <t xml:space="preserve">hirokororin65@gmail.com</t>
  </si>
  <si>
    <t xml:space="preserve">髙木 凌磨</t>
  </si>
  <si>
    <r>
      <rPr>
        <sz val="10"/>
        <color theme="1"/>
        <rFont val="Noto Sans CJK SC"/>
        <family val="2"/>
        <charset val="1"/>
      </rPr>
      <t xml:space="preserve">小２</t>
    </r>
    <r>
      <rPr>
        <sz val="10"/>
        <color theme="1"/>
        <rFont val="Meiryo"/>
        <family val="0"/>
        <charset val="1"/>
      </rPr>
      <t xml:space="preserve">,</t>
    </r>
    <r>
      <rPr>
        <sz val="10"/>
        <color theme="1"/>
        <rFont val="Noto Sans CJK SC"/>
        <family val="2"/>
        <charset val="1"/>
      </rPr>
      <t xml:space="preserve">小４</t>
    </r>
  </si>
  <si>
    <t xml:space="preserve">(770)689-9122</t>
  </si>
  <si>
    <t xml:space="preserve">川西　　 哲人　　</t>
  </si>
  <si>
    <t xml:space="preserve">洋平</t>
  </si>
  <si>
    <t xml:space="preserve">yuzuiro1210.ga@gmail.com;yohei.k@ryosho.com</t>
  </si>
  <si>
    <t xml:space="preserve">川西 悠斗</t>
  </si>
  <si>
    <t xml:space="preserve">川西 葵</t>
  </si>
  <si>
    <t xml:space="preserve">yuzuiro1210.ga@gmail.com</t>
  </si>
  <si>
    <t xml:space="preserve">(470)409-4230</t>
  </si>
  <si>
    <t xml:space="preserve">重久　　 睦斉　　</t>
  </si>
  <si>
    <t xml:space="preserve">義幸</t>
  </si>
  <si>
    <t xml:space="preserve">rrk.shige@gmail.com</t>
  </si>
  <si>
    <t xml:space="preserve">重久 瑚奈</t>
  </si>
  <si>
    <r>
      <rPr>
        <sz val="10"/>
        <color theme="1"/>
        <rFont val="Noto Sans CJK SC"/>
        <family val="2"/>
        <charset val="1"/>
      </rPr>
      <t xml:space="preserve">小２</t>
    </r>
    <r>
      <rPr>
        <sz val="10"/>
        <color theme="1"/>
        <rFont val="Meiryo"/>
        <family val="0"/>
        <charset val="1"/>
      </rPr>
      <t xml:space="preserve">,</t>
    </r>
    <r>
      <rPr>
        <sz val="10"/>
        <color theme="1"/>
        <rFont val="Noto Sans CJK SC"/>
        <family val="2"/>
        <charset val="1"/>
      </rPr>
      <t xml:space="preserve">中１ー１</t>
    </r>
  </si>
  <si>
    <t xml:space="preserve">(770)573-9604</t>
  </si>
  <si>
    <t xml:space="preserve">田中　　 宏弥　　</t>
  </si>
  <si>
    <t xml:space="preserve">正則</t>
  </si>
  <si>
    <t xml:space="preserve">mrs.reiko@gmail.com</t>
  </si>
  <si>
    <t xml:space="preserve">田中 伸弥</t>
  </si>
  <si>
    <t xml:space="preserve">田中 孝治</t>
  </si>
  <si>
    <r>
      <rPr>
        <sz val="10"/>
        <color theme="1"/>
        <rFont val="Noto Sans CJK SC"/>
        <family val="2"/>
        <charset val="1"/>
      </rPr>
      <t xml:space="preserve">小２－２</t>
    </r>
    <r>
      <rPr>
        <sz val="10"/>
        <color theme="1"/>
        <rFont val="Meiryo"/>
        <family val="0"/>
        <charset val="1"/>
      </rPr>
      <t xml:space="preserve">,</t>
    </r>
    <r>
      <rPr>
        <sz val="10"/>
        <color theme="1"/>
        <rFont val="Noto Sans CJK SC"/>
        <family val="2"/>
        <charset val="1"/>
      </rPr>
      <t xml:space="preserve">小２－３</t>
    </r>
    <r>
      <rPr>
        <sz val="10"/>
        <color theme="1"/>
        <rFont val="Meiryo"/>
        <family val="0"/>
        <charset val="1"/>
      </rPr>
      <t xml:space="preserve">,</t>
    </r>
    <r>
      <rPr>
        <sz val="10"/>
        <color theme="1"/>
        <rFont val="Noto Sans CJK SC"/>
        <family val="2"/>
        <charset val="1"/>
      </rPr>
      <t xml:space="preserve">中１－１</t>
    </r>
  </si>
  <si>
    <t xml:space="preserve">(770)946-6929</t>
  </si>
  <si>
    <t xml:space="preserve">矢田　　 遥花　　</t>
  </si>
  <si>
    <t xml:space="preserve">裕一</t>
  </si>
  <si>
    <t xml:space="preserve">noguyuki.77@gmail.com</t>
  </si>
  <si>
    <t xml:space="preserve">矢田 夏樹</t>
  </si>
  <si>
    <t xml:space="preserve">小２ー２</t>
  </si>
  <si>
    <t xml:space="preserve">(478)538-8206</t>
  </si>
  <si>
    <t xml:space="preserve">中井　　 美晴　　</t>
  </si>
  <si>
    <t xml:space="preserve">孝</t>
  </si>
  <si>
    <t xml:space="preserve">(678)816-6777</t>
  </si>
  <si>
    <t xml:space="preserve">salon_aurora@icloud.com</t>
  </si>
  <si>
    <t xml:space="preserve">(770)238-2781</t>
  </si>
  <si>
    <t xml:space="preserve">岡崎　　 文香　　</t>
  </si>
  <si>
    <t xml:space="preserve">博行</t>
  </si>
  <si>
    <t xml:space="preserve">tainappuru0512@gmail.com</t>
  </si>
  <si>
    <t xml:space="preserve">(678)800-4316</t>
  </si>
  <si>
    <t xml:space="preserve">菅　　　 陽詩　　</t>
  </si>
  <si>
    <t xml:space="preserve">etyhnt1123@gmail.com</t>
  </si>
  <si>
    <t xml:space="preserve">小２－２</t>
  </si>
  <si>
    <t xml:space="preserve">(770)313-2094</t>
  </si>
  <si>
    <t xml:space="preserve">多胡　　 綾乃　　</t>
  </si>
  <si>
    <t xml:space="preserve">文彰</t>
  </si>
  <si>
    <t xml:space="preserve">(404)337-5746</t>
  </si>
  <si>
    <t xml:space="preserve">epicapica@gmail.com</t>
  </si>
  <si>
    <t xml:space="preserve">(678)235-4278</t>
  </si>
  <si>
    <t xml:space="preserve">松本　　 美月　　</t>
  </si>
  <si>
    <t xml:space="preserve">ルーク</t>
  </si>
  <si>
    <t xml:space="preserve">meowsandesu@gmail.com</t>
  </si>
  <si>
    <t xml:space="preserve">(770)533-2343</t>
  </si>
  <si>
    <r>
      <rPr>
        <sz val="10"/>
        <color rgb="FF000000"/>
        <rFont val="Noto Sans CJK SC"/>
        <family val="2"/>
        <charset val="1"/>
      </rPr>
      <t xml:space="preserve">小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Noto Sans CJK SC"/>
        <family val="2"/>
        <charset val="1"/>
      </rPr>
      <t xml:space="preserve">－</t>
    </r>
    <r>
      <rPr>
        <sz val="10"/>
        <color rgb="FF000000"/>
        <rFont val="Meiryo"/>
        <family val="0"/>
        <charset val="1"/>
      </rPr>
      <t xml:space="preserve">2</t>
    </r>
  </si>
  <si>
    <t xml:space="preserve">太田　　 恵麻</t>
  </si>
  <si>
    <t xml:space="preserve">美和</t>
  </si>
  <si>
    <t xml:space="preserve">lady_m54@hotmail.com</t>
  </si>
  <si>
    <t xml:space="preserve">(678)675-3950</t>
  </si>
  <si>
    <t xml:space="preserve">丹羽 　　駿輔</t>
  </si>
  <si>
    <t xml:space="preserve">健輔</t>
  </si>
  <si>
    <t xml:space="preserve">niwakako.627@gmail.com</t>
  </si>
  <si>
    <t xml:space="preserve">(470)399-2304</t>
  </si>
  <si>
    <t xml:space="preserve">市橋　　 優治　　</t>
  </si>
  <si>
    <t xml:space="preserve">尚</t>
  </si>
  <si>
    <t xml:space="preserve">ichi840603@gmail.com</t>
  </si>
  <si>
    <t xml:space="preserve">(770)776-8390</t>
  </si>
  <si>
    <t xml:space="preserve">村見　　 蒼空　　</t>
  </si>
  <si>
    <t xml:space="preserve">拓哉</t>
  </si>
  <si>
    <t xml:space="preserve">emi.murami@gmail.com</t>
  </si>
  <si>
    <t xml:space="preserve">村見 晴琉</t>
  </si>
  <si>
    <t xml:space="preserve">(470)836-9121</t>
  </si>
  <si>
    <t xml:space="preserve">金野　　 慧一朗　</t>
  </si>
  <si>
    <t xml:space="preserve">翔太</t>
  </si>
  <si>
    <t xml:space="preserve">kunimitsuterry@hotmail.co.jp</t>
  </si>
  <si>
    <t xml:space="preserve">(781)552-0458</t>
  </si>
  <si>
    <t xml:space="preserve">大西　　 芽生　　</t>
  </si>
  <si>
    <t xml:space="preserve">純</t>
  </si>
  <si>
    <t xml:space="preserve">harumei0502@gmail.com</t>
  </si>
  <si>
    <t xml:space="preserve">(404)272-8018</t>
  </si>
  <si>
    <t xml:space="preserve">難波　　 寿羽　　</t>
  </si>
  <si>
    <t xml:space="preserve">孝洋</t>
  </si>
  <si>
    <t xml:space="preserve">asokeplace32f@gmail.com</t>
  </si>
  <si>
    <t xml:space="preserve">難波 香羽</t>
  </si>
  <si>
    <t xml:space="preserve">難波 孝太朗</t>
  </si>
  <si>
    <t xml:space="preserve">小５－２</t>
  </si>
  <si>
    <t xml:space="preserve">(404)245-9767</t>
  </si>
  <si>
    <t xml:space="preserve">山中　　 萌衣　　</t>
  </si>
  <si>
    <t xml:space="preserve">tomoko.h.80@gmail.com</t>
  </si>
  <si>
    <t xml:space="preserve">山中 嵩</t>
  </si>
  <si>
    <t xml:space="preserve">(470)883-5900</t>
  </si>
  <si>
    <t xml:space="preserve">佐久間　 一嘉</t>
  </si>
  <si>
    <t xml:space="preserve">kumamama0605@gmail.com</t>
  </si>
  <si>
    <t xml:space="preserve">佐久間 瑛心</t>
  </si>
  <si>
    <t xml:space="preserve">佐久間 千智</t>
  </si>
  <si>
    <t xml:space="preserve">(470)627-8145</t>
  </si>
  <si>
    <t xml:space="preserve">黒岩　　 和真</t>
  </si>
  <si>
    <t xml:space="preserve">洋佑</t>
  </si>
  <si>
    <t xml:space="preserve">pontagon09518@gmail.com</t>
  </si>
  <si>
    <t xml:space="preserve">(770)866-2376</t>
  </si>
  <si>
    <t xml:space="preserve">鈴木　　 可偉</t>
  </si>
  <si>
    <t xml:space="preserve">篤士</t>
  </si>
  <si>
    <t xml:space="preserve">belltreefamily.82@gmail.com </t>
  </si>
  <si>
    <t xml:space="preserve">鈴木 莉央</t>
  </si>
  <si>
    <t xml:space="preserve">(470)954-0038</t>
  </si>
  <si>
    <r>
      <rPr>
        <sz val="10"/>
        <color rgb="FF000000"/>
        <rFont val="Noto Sans CJK SC"/>
        <family val="2"/>
        <charset val="1"/>
      </rPr>
      <t xml:space="preserve">小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Noto Sans CJK SC"/>
        <family val="2"/>
        <charset val="1"/>
      </rPr>
      <t xml:space="preserve">－</t>
    </r>
    <r>
      <rPr>
        <sz val="10"/>
        <color rgb="FF000000"/>
        <rFont val="Meiryo"/>
        <family val="0"/>
        <charset val="1"/>
      </rPr>
      <t xml:space="preserve">3</t>
    </r>
  </si>
  <si>
    <t xml:space="preserve">日尾野     美桜</t>
  </si>
  <si>
    <t xml:space="preserve">誠</t>
  </si>
  <si>
    <t xml:space="preserve">cvs.hibino@gmail.com</t>
  </si>
  <si>
    <t xml:space="preserve">(404)797-1975</t>
  </si>
  <si>
    <t xml:space="preserve">パニシバタナ 憲汰　　</t>
  </si>
  <si>
    <t xml:space="preserve">AEK</t>
  </si>
  <si>
    <t xml:space="preserve">kiyoka05@gmail.com</t>
  </si>
  <si>
    <t xml:space="preserve">パニシバタナ 果憐</t>
  </si>
  <si>
    <t xml:space="preserve">小３−１①</t>
  </si>
  <si>
    <t xml:space="preserve">(470)328-1225</t>
  </si>
  <si>
    <t xml:space="preserve">菊地　　 正光　　</t>
  </si>
  <si>
    <t xml:space="preserve">光伸</t>
  </si>
  <si>
    <t xml:space="preserve">jkikuchi1122@gmail.com</t>
  </si>
  <si>
    <t xml:space="preserve">(678)488-7692</t>
  </si>
  <si>
    <t xml:space="preserve">藤沢　　 怜生　　</t>
  </si>
  <si>
    <t xml:space="preserve">達也</t>
  </si>
  <si>
    <t xml:space="preserve">tatsuyaf@hotmail.com;kazumitamura@yahoo.com
kazumi@japaneseembroidery.com</t>
  </si>
  <si>
    <t xml:space="preserve">kazumitamura@yahoo.com</t>
  </si>
  <si>
    <t xml:space="preserve">(757)753-2303</t>
  </si>
  <si>
    <t xml:space="preserve">矢島　　 敬士　　</t>
  </si>
  <si>
    <t xml:space="preserve">敬朗</t>
  </si>
  <si>
    <t xml:space="preserve">nekko_ey@hotmail.com</t>
  </si>
  <si>
    <t xml:space="preserve">矢島 真理恵</t>
  </si>
  <si>
    <t xml:space="preserve">(404)695-2367</t>
  </si>
  <si>
    <t xml:space="preserve">竹内　　 遥希　　</t>
  </si>
  <si>
    <t xml:space="preserve">裕喜</t>
  </si>
  <si>
    <t xml:space="preserve">ziamaki0418@gmail.com;ziohiroki0504@gmail.com</t>
  </si>
  <si>
    <t xml:space="preserve">ziohiroki0504@gmail.com</t>
  </si>
  <si>
    <t xml:space="preserve">(470)580-3403</t>
  </si>
  <si>
    <t xml:space="preserve">張　　　 友和</t>
  </si>
  <si>
    <t xml:space="preserve">チーチェン</t>
  </si>
  <si>
    <t xml:space="preserve">kaorinishimurazhang@gmail.com</t>
  </si>
  <si>
    <t xml:space="preserve">(770)298-7551</t>
  </si>
  <si>
    <t xml:space="preserve">武藤　　 寛太朗　</t>
  </si>
  <si>
    <t xml:space="preserve">庸平</t>
  </si>
  <si>
    <t xml:space="preserve">taro.m.akane@icloud.com</t>
  </si>
  <si>
    <t xml:space="preserve">武藤 直太朗</t>
  </si>
  <si>
    <t xml:space="preserve">(470)437-0780</t>
  </si>
  <si>
    <t xml:space="preserve">朝西　　 美結　　</t>
  </si>
  <si>
    <t xml:space="preserve">英文</t>
  </si>
  <si>
    <t xml:space="preserve">asakao91107@gmail.com</t>
  </si>
  <si>
    <t xml:space="preserve">朝西 崇文</t>
  </si>
  <si>
    <t xml:space="preserve">(762)448-8329</t>
  </si>
  <si>
    <t xml:space="preserve">柳川　　 七愛　　</t>
  </si>
  <si>
    <t xml:space="preserve">スケリー</t>
  </si>
  <si>
    <t xml:space="preserve">sachiyanagawa@gmail.com</t>
  </si>
  <si>
    <t xml:space="preserve">(404)729-9933</t>
  </si>
  <si>
    <t xml:space="preserve">ヴェントゥラ ゼナ　　</t>
  </si>
  <si>
    <t xml:space="preserve">イスラエル</t>
  </si>
  <si>
    <t xml:space="preserve">anliito@gmail.com</t>
  </si>
  <si>
    <t xml:space="preserve">(478)841-0681</t>
  </si>
  <si>
    <t xml:space="preserve">吉澤　　 希海　　</t>
  </si>
  <si>
    <t xml:space="preserve">満</t>
  </si>
  <si>
    <t xml:space="preserve">kao.mny622@gmail.com</t>
  </si>
  <si>
    <t xml:space="preserve">(301)302-5415</t>
  </si>
  <si>
    <t xml:space="preserve">ジョーンズ 芹愛　　</t>
  </si>
  <si>
    <t xml:space="preserve">ジェファーソン</t>
  </si>
  <si>
    <t xml:space="preserve">jones.keiko@gmail.com</t>
  </si>
  <si>
    <t xml:space="preserve">ジョーンズ 真悟</t>
  </si>
  <si>
    <t xml:space="preserve">ジョーンズ 泰成</t>
  </si>
  <si>
    <t xml:space="preserve">小５－１</t>
  </si>
  <si>
    <t xml:space="preserve">(470)350-3445</t>
  </si>
  <si>
    <t xml:space="preserve">杉野　　 蓮</t>
  </si>
  <si>
    <t xml:space="preserve">透</t>
  </si>
  <si>
    <t xml:space="preserve">g12yuka18g@gmail.com</t>
  </si>
  <si>
    <t xml:space="preserve">(470)279-9208</t>
  </si>
  <si>
    <t xml:space="preserve">南條　　 結衣</t>
  </si>
  <si>
    <t xml:space="preserve">盛彦</t>
  </si>
  <si>
    <t xml:space="preserve">mack_nanjo@yamaha-motor.com</t>
  </si>
  <si>
    <t xml:space="preserve">(770)771-9152</t>
  </si>
  <si>
    <r>
      <rPr>
        <sz val="10"/>
        <color rgb="FF000000"/>
        <rFont val="Noto Sans CJK SC"/>
        <family val="2"/>
        <charset val="1"/>
      </rPr>
      <t xml:space="preserve">小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Noto Sans CJK SC"/>
        <family val="2"/>
        <charset val="1"/>
      </rPr>
      <t xml:space="preserve">－</t>
    </r>
    <r>
      <rPr>
        <sz val="10"/>
        <color rgb="FF000000"/>
        <rFont val="Meiryo"/>
        <family val="0"/>
        <charset val="1"/>
      </rPr>
      <t xml:space="preserve">1</t>
    </r>
  </si>
  <si>
    <t xml:space="preserve">佐藤         莉愛</t>
  </si>
  <si>
    <t xml:space="preserve">晴樹</t>
  </si>
  <si>
    <t xml:space="preserve">miho_fine@yahoo.co.jp</t>
  </si>
  <si>
    <t xml:space="preserve">(404)821-0133</t>
  </si>
  <si>
    <t xml:space="preserve">松尾　　 知樹　　</t>
  </si>
  <si>
    <t xml:space="preserve">健司</t>
  </si>
  <si>
    <t xml:space="preserve">keikeimode@hotmail.com</t>
  </si>
  <si>
    <t xml:space="preserve">(404)519-8937</t>
  </si>
  <si>
    <t xml:space="preserve">マティチャック スティーヴン幸市郎</t>
  </si>
  <si>
    <t xml:space="preserve">チャックスティーブンダナポール</t>
  </si>
  <si>
    <t xml:space="preserve">fiveoh.mai@gmail.com</t>
  </si>
  <si>
    <t xml:space="preserve">(646)345-2262</t>
  </si>
  <si>
    <t xml:space="preserve">シューベルト ケン　　</t>
  </si>
  <si>
    <t xml:space="preserve">スコット</t>
  </si>
  <si>
    <t xml:space="preserve">chihomatsudaira@gmail.com</t>
  </si>
  <si>
    <t xml:space="preserve">(706)483-0393</t>
  </si>
  <si>
    <t xml:space="preserve">渡部　　 登吾　　</t>
  </si>
  <si>
    <t xml:space="preserve">哲史</t>
  </si>
  <si>
    <t xml:space="preserve">cotomoxsmile@gmail.com</t>
  </si>
  <si>
    <t xml:space="preserve">渡部 音羽</t>
  </si>
  <si>
    <r>
      <rPr>
        <sz val="10"/>
        <color theme="1"/>
        <rFont val="Noto Sans CJK SC"/>
        <family val="2"/>
        <charset val="1"/>
      </rPr>
      <t xml:space="preserve">小３</t>
    </r>
    <r>
      <rPr>
        <sz val="10"/>
        <color theme="1"/>
        <rFont val="Meiryo"/>
        <family val="0"/>
        <charset val="1"/>
      </rPr>
      <t xml:space="preserve">,</t>
    </r>
    <r>
      <rPr>
        <sz val="10"/>
        <color theme="1"/>
        <rFont val="Noto Sans CJK SC"/>
        <family val="2"/>
        <charset val="1"/>
      </rPr>
      <t xml:space="preserve">小５</t>
    </r>
  </si>
  <si>
    <t xml:space="preserve">(614)369-6126</t>
  </si>
  <si>
    <t xml:space="preserve">中島　　 小春　　</t>
  </si>
  <si>
    <t xml:space="preserve">克</t>
  </si>
  <si>
    <t xml:space="preserve">y.h.nakajima@gmail.com</t>
  </si>
  <si>
    <t xml:space="preserve">小３－２</t>
  </si>
  <si>
    <t xml:space="preserve">(720)737-1537</t>
  </si>
  <si>
    <t xml:space="preserve">紙谷　　 桜　　　</t>
  </si>
  <si>
    <t xml:space="preserve">m.kamidani@gmail.com</t>
  </si>
  <si>
    <r>
      <rPr>
        <sz val="10"/>
        <color theme="1"/>
        <rFont val="Noto Sans CJK SC"/>
        <family val="2"/>
        <charset val="1"/>
      </rPr>
      <t xml:space="preserve">小３</t>
    </r>
    <r>
      <rPr>
        <sz val="10"/>
        <color theme="1"/>
        <rFont val="Meiryo"/>
        <family val="0"/>
        <charset val="1"/>
      </rPr>
      <t xml:space="preserve">,</t>
    </r>
    <r>
      <rPr>
        <sz val="10"/>
        <color theme="1"/>
        <rFont val="Noto Sans CJK SC"/>
        <family val="2"/>
        <charset val="1"/>
      </rPr>
      <t xml:space="preserve">小６</t>
    </r>
  </si>
  <si>
    <t xml:space="preserve">(470)366-5126</t>
  </si>
  <si>
    <t xml:space="preserve">西川　　 結梨　　</t>
  </si>
  <si>
    <t xml:space="preserve">修一</t>
  </si>
  <si>
    <t xml:space="preserve">emichin2.1472@gmail.com</t>
  </si>
  <si>
    <t xml:space="preserve">西川 美羽</t>
  </si>
  <si>
    <t xml:space="preserve">(347)366-1648</t>
  </si>
  <si>
    <t xml:space="preserve">近藤　　 結衣　　</t>
  </si>
  <si>
    <t xml:space="preserve">進一</t>
  </si>
  <si>
    <t xml:space="preserve">sayuri3473661648@yahoo.co.jp</t>
  </si>
  <si>
    <t xml:space="preserve">(770)371-3141</t>
  </si>
  <si>
    <t xml:space="preserve">山本　　 晴子　　</t>
  </si>
  <si>
    <t xml:space="preserve">遼平</t>
  </si>
  <si>
    <t xml:space="preserve">torikko0618@gmail.com</t>
  </si>
  <si>
    <t xml:space="preserve">山本 静香</t>
  </si>
  <si>
    <t xml:space="preserve">(404)229-1551</t>
  </si>
  <si>
    <t xml:space="preserve">鬟谷　　 京香　　</t>
  </si>
  <si>
    <t xml:space="preserve">kattsu218@gmail.com</t>
  </si>
  <si>
    <t xml:space="preserve">(310)650-1346</t>
  </si>
  <si>
    <t xml:space="preserve">伊藤　　 瑛太</t>
  </si>
  <si>
    <t xml:space="preserve">誠規</t>
  </si>
  <si>
    <t xml:space="preserve">seikiito@meikoamerica.com</t>
  </si>
  <si>
    <t xml:space="preserve">伊藤 心和</t>
  </si>
  <si>
    <t xml:space="preserve">(770)688-5680</t>
  </si>
  <si>
    <t xml:space="preserve">藤原　　 夏菜</t>
  </si>
  <si>
    <t xml:space="preserve">t-k_fujiwara@hotmail.co.jp</t>
  </si>
  <si>
    <t xml:space="preserve">藤原 結花</t>
  </si>
  <si>
    <t xml:space="preserve">(470)428-1663</t>
  </si>
  <si>
    <t xml:space="preserve">今川 　　晃成</t>
  </si>
  <si>
    <t xml:space="preserve">克也</t>
  </si>
  <si>
    <t xml:space="preserve">mbeib178@gmail.com</t>
  </si>
  <si>
    <t xml:space="preserve">(470)962-4585</t>
  </si>
  <si>
    <t xml:space="preserve">堂野 　　千颯</t>
  </si>
  <si>
    <t xml:space="preserve">千晶</t>
  </si>
  <si>
    <t xml:space="preserve">donoyuriko@gmail.com</t>
  </si>
  <si>
    <t xml:space="preserve">(470)349-9060</t>
  </si>
  <si>
    <t xml:space="preserve">岩村　　 遼　　　</t>
  </si>
  <si>
    <t xml:space="preserve">朗</t>
  </si>
  <si>
    <t xml:space="preserve">gunchan4612@gmail.com</t>
  </si>
  <si>
    <t xml:space="preserve">岩村 杏</t>
  </si>
  <si>
    <t xml:space="preserve">(516)776-6037</t>
  </si>
  <si>
    <t xml:space="preserve">青園　　 炎三　　</t>
  </si>
  <si>
    <t xml:space="preserve">アレサンドロ</t>
  </si>
  <si>
    <t xml:space="preserve">tomomiaozono@gmail.com</t>
  </si>
  <si>
    <t xml:space="preserve">青園 毬愛</t>
  </si>
  <si>
    <r>
      <rPr>
        <sz val="10"/>
        <color theme="1"/>
        <rFont val="Noto Sans CJK SC"/>
        <family val="2"/>
        <charset val="1"/>
      </rPr>
      <t xml:space="preserve">当番作成委員</t>
    </r>
    <r>
      <rPr>
        <sz val="10"/>
        <color theme="1"/>
        <rFont val="Meiryo"/>
        <family val="0"/>
        <charset val="1"/>
      </rPr>
      <t xml:space="preserve">(2022)</t>
    </r>
  </si>
  <si>
    <t xml:space="preserve">(404)709-9951</t>
  </si>
  <si>
    <t xml:space="preserve">増田　　 卓矩　　</t>
  </si>
  <si>
    <t xml:space="preserve">有周</t>
  </si>
  <si>
    <t xml:space="preserve">arichikako@gmail.com;thais8133@gmail.com</t>
  </si>
  <si>
    <t xml:space="preserve">増田 朱姫</t>
  </si>
  <si>
    <t xml:space="preserve">thais8133@gmail.com</t>
  </si>
  <si>
    <t xml:space="preserve">(470)399-6477</t>
  </si>
  <si>
    <t xml:space="preserve">平野　　 莉央　　</t>
  </si>
  <si>
    <t xml:space="preserve">元悟</t>
  </si>
  <si>
    <t xml:space="preserve">asari11611@gmail.com;ghirano@hoshizaki.com</t>
  </si>
  <si>
    <t xml:space="preserve">平野 彩織</t>
  </si>
  <si>
    <t xml:space="preserve">ghirano@hoshizaki.com</t>
  </si>
  <si>
    <t xml:space="preserve">(478)290-2406</t>
  </si>
  <si>
    <t xml:space="preserve">大久保　 結月　　</t>
  </si>
  <si>
    <t xml:space="preserve">佳結</t>
  </si>
  <si>
    <t xml:space="preserve">ma_kanzume@hotmail.com</t>
  </si>
  <si>
    <t xml:space="preserve">大久保 湊音</t>
  </si>
  <si>
    <t xml:space="preserve">(470)215-9994</t>
  </si>
  <si>
    <t xml:space="preserve">久保田　 圭織　　</t>
  </si>
  <si>
    <t xml:space="preserve">佳宏</t>
  </si>
  <si>
    <t xml:space="preserve">nyanjira7265@gmail.com</t>
  </si>
  <si>
    <t xml:space="preserve">久保田 詩織</t>
  </si>
  <si>
    <t xml:space="preserve">(646)525-4066</t>
  </si>
  <si>
    <t xml:space="preserve">竹嶋　　 柚稀　　</t>
  </si>
  <si>
    <t xml:space="preserve">孝則</t>
  </si>
  <si>
    <t xml:space="preserve">t.natsu0730428.t@gmail.com</t>
  </si>
  <si>
    <t xml:space="preserve">竹嶋 夏希</t>
  </si>
  <si>
    <r>
      <rPr>
        <sz val="10"/>
        <color theme="1"/>
        <rFont val="Noto Sans CJK SC"/>
        <family val="2"/>
        <charset val="1"/>
      </rPr>
      <t xml:space="preserve">小</t>
    </r>
    <r>
      <rPr>
        <sz val="10"/>
        <color theme="1"/>
        <rFont val="Meiryo"/>
        <family val="0"/>
        <charset val="1"/>
      </rPr>
      <t xml:space="preserve">4</t>
    </r>
    <r>
      <rPr>
        <sz val="10"/>
        <color theme="1"/>
        <rFont val="Noto Sans CJK SC"/>
        <family val="2"/>
        <charset val="1"/>
      </rPr>
      <t xml:space="preserve">ー</t>
    </r>
    <r>
      <rPr>
        <sz val="10"/>
        <color theme="1"/>
        <rFont val="Meiryo"/>
        <family val="0"/>
        <charset val="1"/>
      </rPr>
      <t xml:space="preserve">1</t>
    </r>
  </si>
  <si>
    <t xml:space="preserve">(706)983-9752</t>
  </si>
  <si>
    <t xml:space="preserve">田中　　 萌彩　　</t>
  </si>
  <si>
    <t xml:space="preserve">元樹</t>
  </si>
  <si>
    <t xml:space="preserve">motussy@gmail.com</t>
  </si>
  <si>
    <t xml:space="preserve">田中 陽翔</t>
  </si>
  <si>
    <t xml:space="preserve">田中 翔真</t>
  </si>
  <si>
    <t xml:space="preserve">(404)824-7220</t>
  </si>
  <si>
    <t xml:space="preserve">馬場　　 日向子　　</t>
  </si>
  <si>
    <t xml:space="preserve">(678)216-6977</t>
  </si>
  <si>
    <t xml:space="preserve">ayakobaba1028@gmail.com;barbara.yohei@gmail.com</t>
  </si>
  <si>
    <t xml:space="preserve">(678)586-5250</t>
  </si>
  <si>
    <t xml:space="preserve">藤田　　 涼太郎　</t>
  </si>
  <si>
    <t xml:space="preserve">耕治</t>
  </si>
  <si>
    <t xml:space="preserve">(678)709-1965</t>
  </si>
  <si>
    <t xml:space="preserve">38ryotaro@gmail.com</t>
  </si>
  <si>
    <t xml:space="preserve">小４－２</t>
  </si>
  <si>
    <t xml:space="preserve">(706)483-9451</t>
  </si>
  <si>
    <t xml:space="preserve">長生　　 萌百花　</t>
  </si>
  <si>
    <t xml:space="preserve">大作</t>
  </si>
  <si>
    <t xml:space="preserve">ryokonagaike@gmail.com</t>
  </si>
  <si>
    <t xml:space="preserve">(770)549-4172</t>
  </si>
  <si>
    <t xml:space="preserve">藤田　　 瑞葵　　</t>
  </si>
  <si>
    <t xml:space="preserve">久生</t>
  </si>
  <si>
    <t xml:space="preserve">mizifuji@gmail.com</t>
  </si>
  <si>
    <t xml:space="preserve">藤田 瑞星</t>
  </si>
  <si>
    <t xml:space="preserve">(731)499-2288</t>
  </si>
  <si>
    <t xml:space="preserve">富賀見　 芽依　　</t>
  </si>
  <si>
    <t xml:space="preserve">竜</t>
  </si>
  <si>
    <t xml:space="preserve">yumifukami1024@gmail.com</t>
  </si>
  <si>
    <t xml:space="preserve">富賀見 佳</t>
  </si>
  <si>
    <t xml:space="preserve">中１－１</t>
  </si>
  <si>
    <t xml:space="preserve">(470)309-5640</t>
  </si>
  <si>
    <t xml:space="preserve">国分寺　 美優　　</t>
  </si>
  <si>
    <t xml:space="preserve">俊和</t>
  </si>
  <si>
    <t xml:space="preserve">(678)431-5447</t>
  </si>
  <si>
    <t xml:space="preserve">noritupe0818@yahoo.co.jp</t>
  </si>
  <si>
    <t xml:space="preserve">(478)233-7684</t>
  </si>
  <si>
    <t xml:space="preserve">西宮　　 壮亮</t>
  </si>
  <si>
    <t xml:space="preserve">雄亮</t>
  </si>
  <si>
    <t xml:space="preserve">yusuke.nishimiya@ykk.com</t>
  </si>
  <si>
    <t xml:space="preserve">(706)671-0837</t>
  </si>
  <si>
    <t xml:space="preserve">村瀬　　 羽菜</t>
  </si>
  <si>
    <t xml:space="preserve">拓未</t>
  </si>
  <si>
    <t xml:space="preserve">o.a.ichigo.0522@gmail.com</t>
  </si>
  <si>
    <t xml:space="preserve">(770)876-5852</t>
  </si>
  <si>
    <r>
      <rPr>
        <sz val="10"/>
        <color theme="1"/>
        <rFont val="Noto Sans CJK SC"/>
        <family val="2"/>
        <charset val="1"/>
      </rPr>
      <t xml:space="preserve">小</t>
    </r>
    <r>
      <rPr>
        <sz val="10"/>
        <color theme="1"/>
        <rFont val="Meiryo"/>
        <family val="0"/>
        <charset val="1"/>
      </rPr>
      <t xml:space="preserve">4</t>
    </r>
    <r>
      <rPr>
        <sz val="10"/>
        <color theme="1"/>
        <rFont val="Noto Sans CJK SC"/>
        <family val="2"/>
        <charset val="1"/>
      </rPr>
      <t xml:space="preserve">ー</t>
    </r>
    <r>
      <rPr>
        <sz val="10"/>
        <color theme="1"/>
        <rFont val="Meiryo"/>
        <family val="0"/>
        <charset val="1"/>
      </rPr>
      <t xml:space="preserve">2</t>
    </r>
  </si>
  <si>
    <t xml:space="preserve">中島　　 実玲</t>
  </si>
  <si>
    <t xml:space="preserve">良大</t>
  </si>
  <si>
    <t xml:space="preserve">yoshitaka-nakajiima@outlook.jp</t>
  </si>
  <si>
    <t xml:space="preserve">中島 玲耶</t>
  </si>
  <si>
    <t xml:space="preserve">(470)479-1628</t>
  </si>
  <si>
    <r>
      <rPr>
        <sz val="10"/>
        <color rgb="FF000000"/>
        <rFont val="Noto Sans CJK SC"/>
        <family val="2"/>
        <charset val="1"/>
      </rPr>
      <t xml:space="preserve">小</t>
    </r>
    <r>
      <rPr>
        <sz val="10"/>
        <color rgb="FF000000"/>
        <rFont val="Meiryo"/>
        <family val="0"/>
        <charset val="1"/>
      </rPr>
      <t xml:space="preserve">4</t>
    </r>
    <r>
      <rPr>
        <sz val="10"/>
        <color rgb="FF000000"/>
        <rFont val="Noto Sans CJK SC"/>
        <family val="2"/>
        <charset val="1"/>
      </rPr>
      <t xml:space="preserve">－</t>
    </r>
    <r>
      <rPr>
        <sz val="10"/>
        <color rgb="FF000000"/>
        <rFont val="Meiryo"/>
        <family val="0"/>
        <charset val="1"/>
      </rPr>
      <t xml:space="preserve">2</t>
    </r>
  </si>
  <si>
    <t xml:space="preserve">人見         梨里衣</t>
  </si>
  <si>
    <t xml:space="preserve">亮平</t>
  </si>
  <si>
    <t xml:space="preserve">misuzu.hitomi1@gmail.com</t>
  </si>
  <si>
    <r>
      <rPr>
        <sz val="10"/>
        <color rgb="FF000000"/>
        <rFont val="Noto Sans CJK SC"/>
        <family val="2"/>
        <charset val="1"/>
      </rPr>
      <t xml:space="preserve">小</t>
    </r>
    <r>
      <rPr>
        <sz val="10"/>
        <color rgb="FF000000"/>
        <rFont val="Meiryo"/>
        <family val="0"/>
        <charset val="1"/>
      </rPr>
      <t xml:space="preserve">6</t>
    </r>
    <r>
      <rPr>
        <sz val="10"/>
        <color rgb="FF000000"/>
        <rFont val="Noto Sans CJK SC"/>
        <family val="2"/>
        <charset val="1"/>
      </rPr>
      <t xml:space="preserve">－</t>
    </r>
    <r>
      <rPr>
        <sz val="10"/>
        <color rgb="FF000000"/>
        <rFont val="Meiryo"/>
        <family val="0"/>
        <charset val="1"/>
      </rPr>
      <t xml:space="preserve">2</t>
    </r>
  </si>
  <si>
    <t xml:space="preserve">人見 龍芯</t>
  </si>
  <si>
    <t xml:space="preserve">(614)400-4489</t>
  </si>
  <si>
    <t xml:space="preserve">菊地 　　奏太</t>
  </si>
  <si>
    <t xml:space="preserve">信介</t>
  </si>
  <si>
    <t xml:space="preserve">s-kikuchi@globe.ocn.ne.jp</t>
  </si>
  <si>
    <r>
      <rPr>
        <sz val="10"/>
        <color theme="1"/>
        <rFont val="Noto Sans CJK SC"/>
        <family val="2"/>
        <charset val="1"/>
      </rPr>
      <t xml:space="preserve">高</t>
    </r>
    <r>
      <rPr>
        <sz val="10"/>
        <color theme="1"/>
        <rFont val="Meiryo"/>
        <family val="0"/>
        <charset val="1"/>
      </rPr>
      <t xml:space="preserve">1</t>
    </r>
  </si>
  <si>
    <t xml:space="preserve">菊地 啓太</t>
  </si>
  <si>
    <t xml:space="preserve">(678)862-2772</t>
  </si>
  <si>
    <t xml:space="preserve">武田　　 慧　　　</t>
  </si>
  <si>
    <t xml:space="preserve">俊宏</t>
  </si>
  <si>
    <t xml:space="preserve">ukulelepanda3@gmail.com</t>
  </si>
  <si>
    <t xml:space="preserve">武田 要</t>
  </si>
  <si>
    <r>
      <rPr>
        <sz val="10"/>
        <color theme="1"/>
        <rFont val="Meiryo"/>
        <family val="0"/>
        <charset val="1"/>
      </rPr>
      <t xml:space="preserve">50</t>
    </r>
    <r>
      <rPr>
        <sz val="10"/>
        <color theme="1"/>
        <rFont val="Noto Sans CJK SC"/>
        <family val="2"/>
        <charset val="1"/>
      </rPr>
      <t xml:space="preserve">周年行事委員</t>
    </r>
  </si>
  <si>
    <t xml:space="preserve">小５、小５</t>
  </si>
  <si>
    <t xml:space="preserve">(818)934-7003</t>
  </si>
  <si>
    <t xml:space="preserve">日野　　 開翔　　</t>
  </si>
  <si>
    <t xml:space="preserve">成雄</t>
  </si>
  <si>
    <t xml:space="preserve">erikosunfield@gmail.com</t>
  </si>
  <si>
    <t xml:space="preserve">(678)216-5937</t>
  </si>
  <si>
    <t xml:space="preserve">黒田　　 遼介　　</t>
  </si>
  <si>
    <t xml:space="preserve">将吾</t>
  </si>
  <si>
    <t xml:space="preserve">skuroda@murata.com</t>
  </si>
  <si>
    <t xml:space="preserve">黒田 陽花</t>
  </si>
  <si>
    <t xml:space="preserve">(404)808-8594</t>
  </si>
  <si>
    <t xml:space="preserve">日栁　　 沙彩　　</t>
  </si>
  <si>
    <t xml:space="preserve">真一</t>
  </si>
  <si>
    <t xml:space="preserve">kusanagic@gmail.com;chiekusanagi2013@gmail.com</t>
  </si>
  <si>
    <t xml:space="preserve">日栁 宗士</t>
  </si>
  <si>
    <t xml:space="preserve">chiekusanagi2013@gmail.com</t>
  </si>
  <si>
    <t xml:space="preserve">(770)235-0429</t>
  </si>
  <si>
    <t xml:space="preserve">江嵜　　 璃海　　</t>
  </si>
  <si>
    <t xml:space="preserve">英剛</t>
  </si>
  <si>
    <t xml:space="preserve">(404)775-2152</t>
  </si>
  <si>
    <t xml:space="preserve">maririnaurora@gmail.com</t>
  </si>
  <si>
    <t xml:space="preserve">江嵜 璃空</t>
  </si>
  <si>
    <t xml:space="preserve">(714)609-2318</t>
  </si>
  <si>
    <t xml:space="preserve">古畑　　 生織　　</t>
  </si>
  <si>
    <t xml:space="preserve">正樹</t>
  </si>
  <si>
    <t xml:space="preserve">karimeroganmo@gmail.com</t>
  </si>
  <si>
    <t xml:space="preserve">古畑 蒼生</t>
  </si>
  <si>
    <t xml:space="preserve">(770)680-6591</t>
  </si>
  <si>
    <t xml:space="preserve">糟谷　　 環太　　</t>
  </si>
  <si>
    <t xml:space="preserve">陽一</t>
  </si>
  <si>
    <t xml:space="preserve">kasuyaga@gmail.com</t>
  </si>
  <si>
    <t xml:space="preserve">糟谷 武志</t>
  </si>
  <si>
    <t xml:space="preserve">中３－１</t>
  </si>
  <si>
    <t xml:space="preserve">(404)694-4857</t>
  </si>
  <si>
    <t xml:space="preserve">スワンソン 海渡　　</t>
  </si>
  <si>
    <t xml:space="preserve">クリストファー</t>
  </si>
  <si>
    <t xml:space="preserve">chris.w.swanson@gmail.com;akimushi@hotmail.com</t>
  </si>
  <si>
    <t xml:space="preserve">akimushi@hotmail.com</t>
  </si>
  <si>
    <t xml:space="preserve">(404)780-6390</t>
  </si>
  <si>
    <t xml:space="preserve">名和田　 大輝　　</t>
  </si>
  <si>
    <t xml:space="preserve">正志</t>
  </si>
  <si>
    <t xml:space="preserve">nawatakanako@gmail.com</t>
  </si>
  <si>
    <t xml:space="preserve">名和田 一輝</t>
  </si>
  <si>
    <t xml:space="preserve">(478)508-4604</t>
  </si>
  <si>
    <t xml:space="preserve">田中　　 公香　　</t>
  </si>
  <si>
    <t xml:space="preserve">光一</t>
  </si>
  <si>
    <t xml:space="preserve">kotokoto334@gmail.com</t>
  </si>
  <si>
    <t xml:space="preserve">田中 朋喜</t>
  </si>
  <si>
    <t xml:space="preserve">(404)576-5740</t>
  </si>
  <si>
    <t xml:space="preserve">シールズ 桜　　　</t>
  </si>
  <si>
    <t xml:space="preserve">チャールズ</t>
  </si>
  <si>
    <t xml:space="preserve">atsy4eva@gmail.com</t>
  </si>
  <si>
    <t xml:space="preserve">(310)956-7817</t>
  </si>
  <si>
    <r>
      <rPr>
        <sz val="10"/>
        <color rgb="FF000000"/>
        <rFont val="Noto Sans CJK SC"/>
        <family val="2"/>
        <charset val="1"/>
      </rPr>
      <t xml:space="preserve">小</t>
    </r>
    <r>
      <rPr>
        <sz val="10"/>
        <color rgb="FF000000"/>
        <rFont val="Meiryo"/>
        <family val="0"/>
        <charset val="1"/>
      </rPr>
      <t xml:space="preserve">5</t>
    </r>
    <r>
      <rPr>
        <sz val="10"/>
        <color rgb="FF000000"/>
        <rFont val="Noto Sans CJK SC"/>
        <family val="2"/>
        <charset val="1"/>
      </rPr>
      <t xml:space="preserve">－</t>
    </r>
    <r>
      <rPr>
        <sz val="10"/>
        <color rgb="FF000000"/>
        <rFont val="Meiryo"/>
        <family val="0"/>
        <charset val="1"/>
      </rPr>
      <t xml:space="preserve">2</t>
    </r>
  </si>
  <si>
    <t xml:space="preserve">山田　　 悠人　</t>
  </si>
  <si>
    <t xml:space="preserve">泰之</t>
  </si>
  <si>
    <t xml:space="preserve">qp373qp@gmail.com</t>
  </si>
  <si>
    <r>
      <rPr>
        <sz val="10"/>
        <color rgb="FF000000"/>
        <rFont val="Meiryo"/>
        <family val="0"/>
        <charset val="1"/>
      </rPr>
      <t xml:space="preserve">3/16 </t>
    </r>
    <r>
      <rPr>
        <sz val="10"/>
        <color rgb="FF000000"/>
        <rFont val="Noto Sans CJK SC"/>
        <family val="2"/>
        <charset val="1"/>
      </rPr>
      <t xml:space="preserve">当番表作成委員から削除</t>
    </r>
  </si>
  <si>
    <t xml:space="preserve">(770)658-4991</t>
  </si>
  <si>
    <t xml:space="preserve">堀内        漣</t>
  </si>
  <si>
    <t xml:space="preserve">千穂</t>
  </si>
  <si>
    <t xml:space="preserve">chiho_h212@hotmail.com</t>
  </si>
  <si>
    <r>
      <rPr>
        <sz val="10"/>
        <color rgb="FF000000"/>
        <rFont val="Meiryo"/>
        <family val="0"/>
        <charset val="1"/>
      </rPr>
      <t xml:space="preserve">2/23/2023 </t>
    </r>
    <r>
      <rPr>
        <sz val="10"/>
        <color rgb="FF000000"/>
        <rFont val="Noto Sans CJK SC"/>
        <family val="2"/>
        <charset val="1"/>
      </rPr>
      <t xml:space="preserve">図書委員名簿から追加</t>
    </r>
  </si>
  <si>
    <t xml:space="preserve">(678)206-8519</t>
  </si>
  <si>
    <t xml:space="preserve">濱岡　　 尚裕　　</t>
  </si>
  <si>
    <t xml:space="preserve">寛裕</t>
  </si>
  <si>
    <t xml:space="preserve">yone@degus.jp</t>
  </si>
  <si>
    <t xml:space="preserve">濱岡 柚里子</t>
  </si>
  <si>
    <t xml:space="preserve">(404)360-1177</t>
  </si>
  <si>
    <t xml:space="preserve">前田　　 康喜　　</t>
  </si>
  <si>
    <t xml:space="preserve">直斗</t>
  </si>
  <si>
    <t xml:space="preserve">naotomae@gmail.com;hisaemae@gmail.com</t>
  </si>
  <si>
    <t xml:space="preserve">小６－１　　</t>
  </si>
  <si>
    <t xml:space="preserve">naotomae@gmail.com</t>
  </si>
  <si>
    <t xml:space="preserve">(470)461-4993</t>
  </si>
  <si>
    <t xml:space="preserve">太田　　 理仁　　</t>
  </si>
  <si>
    <t xml:space="preserve">浩二</t>
  </si>
  <si>
    <t xml:space="preserve">ootanana@icloud.com</t>
  </si>
  <si>
    <t xml:space="preserve">太田 絢梧</t>
  </si>
  <si>
    <t xml:space="preserve">(770)547-8194</t>
  </si>
  <si>
    <t xml:space="preserve">莅戸　　 利紗　　</t>
  </si>
  <si>
    <t xml:space="preserve">法夫</t>
  </si>
  <si>
    <t xml:space="preserve">rio.112.lisa.918@gmail.com</t>
  </si>
  <si>
    <t xml:space="preserve">(714)280-3924</t>
  </si>
  <si>
    <t xml:space="preserve">大瀧　　 陽葵　　</t>
  </si>
  <si>
    <t xml:space="preserve">林威</t>
  </si>
  <si>
    <t xml:space="preserve">keiko.otaki1@gmail.com</t>
  </si>
  <si>
    <t xml:space="preserve">(470)455-4421</t>
  </si>
  <si>
    <t xml:space="preserve">川口　　 恵里佳　</t>
  </si>
  <si>
    <t xml:space="preserve">慎太郎</t>
  </si>
  <si>
    <t xml:space="preserve">yoshikosugawa@hotmail.com</t>
  </si>
  <si>
    <t xml:space="preserve">川口 航生</t>
  </si>
  <si>
    <t xml:space="preserve">(404)951-6586</t>
  </si>
  <si>
    <t xml:space="preserve">森川　　 千凪　　</t>
  </si>
  <si>
    <t xml:space="preserve">智之</t>
  </si>
  <si>
    <t xml:space="preserve">mo77us@outlook.com</t>
  </si>
  <si>
    <t xml:space="preserve">(678)451-6436</t>
  </si>
  <si>
    <t xml:space="preserve">大塚　　 ルビー　</t>
  </si>
  <si>
    <t xml:space="preserve">マイケル</t>
  </si>
  <si>
    <t xml:space="preserve">mayumicampbell@hotmail.com</t>
  </si>
  <si>
    <t xml:space="preserve">小６－２</t>
  </si>
  <si>
    <t xml:space="preserve">(404)936-0165</t>
  </si>
  <si>
    <t xml:space="preserve">アリガンバリ シーナ　</t>
  </si>
  <si>
    <t xml:space="preserve">アミア</t>
  </si>
  <si>
    <t xml:space="preserve">juriali0201@gmail.com</t>
  </si>
  <si>
    <t xml:space="preserve">アリガンバリ レザ</t>
  </si>
  <si>
    <t xml:space="preserve">(201)753-0671</t>
  </si>
  <si>
    <t xml:space="preserve">山川　　 陽大　　</t>
  </si>
  <si>
    <t xml:space="preserve">将人</t>
  </si>
  <si>
    <t xml:space="preserve">yamakawa.atl@gmail.com</t>
  </si>
  <si>
    <t xml:space="preserve">(404)444-5497</t>
  </si>
  <si>
    <t xml:space="preserve">古田　　 輝朗　　</t>
  </si>
  <si>
    <t xml:space="preserve">富正</t>
  </si>
  <si>
    <t xml:space="preserve">tommyfuruta@gmail.com</t>
  </si>
  <si>
    <t xml:space="preserve">小６、中３－１</t>
  </si>
  <si>
    <t xml:space="preserve">(478)488-7135</t>
  </si>
  <si>
    <t xml:space="preserve">小川　　 結愛　　</t>
  </si>
  <si>
    <t xml:space="preserve">拓俊</t>
  </si>
  <si>
    <t xml:space="preserve">oga_ayano@yahoo.co.jp</t>
  </si>
  <si>
    <t xml:space="preserve">(770)401-0518</t>
  </si>
  <si>
    <t xml:space="preserve">デイサッター アメリア</t>
  </si>
  <si>
    <t xml:space="preserve">ウィム</t>
  </si>
  <si>
    <t xml:space="preserve">shoko.izena@gmail.com</t>
  </si>
  <si>
    <t xml:space="preserve">(770)545-7018</t>
  </si>
  <si>
    <t xml:space="preserve">久留　　 綾夏　　</t>
  </si>
  <si>
    <t xml:space="preserve">勇</t>
  </si>
  <si>
    <t xml:space="preserve">mik935kumi@gmail.com</t>
  </si>
  <si>
    <t xml:space="preserve">(470)509-2767</t>
  </si>
  <si>
    <t xml:space="preserve">木谷　　 優治　　</t>
  </si>
  <si>
    <t xml:space="preserve">wan.mack.vector@gmail.com</t>
  </si>
  <si>
    <t xml:space="preserve">(513)903-3075</t>
  </si>
  <si>
    <t xml:space="preserve">辻　　　 海澄　　</t>
  </si>
  <si>
    <t xml:space="preserve">有樹</t>
  </si>
  <si>
    <t xml:space="preserve">ytsuji@iwatabolt.com;pinkhighgate@yahoo.co.jp</t>
  </si>
  <si>
    <t xml:space="preserve">pinkhighgate@yahoo.co.jp</t>
  </si>
  <si>
    <t xml:space="preserve">(706)936-4707</t>
  </si>
  <si>
    <t xml:space="preserve">鈴木　　 想来　　</t>
  </si>
  <si>
    <t xml:space="preserve">良仁</t>
  </si>
  <si>
    <t xml:space="preserve">kazuesuzuki8@gmail.com</t>
  </si>
  <si>
    <t xml:space="preserve">鈴木 紗和</t>
  </si>
  <si>
    <t xml:space="preserve">高等部１</t>
  </si>
  <si>
    <t xml:space="preserve">(678)300-1756</t>
  </si>
  <si>
    <t xml:space="preserve">横垣　　 雪菜　　</t>
  </si>
  <si>
    <t xml:space="preserve">俊秀</t>
  </si>
  <si>
    <t xml:space="preserve">tomocoykg@gmail.com</t>
  </si>
  <si>
    <t xml:space="preserve">(478)213-6177</t>
  </si>
  <si>
    <t xml:space="preserve">辻田　　 美桜　　</t>
  </si>
  <si>
    <t xml:space="preserve">卓治</t>
  </si>
  <si>
    <t xml:space="preserve">emy.310719@gmail.com</t>
  </si>
  <si>
    <t xml:space="preserve">emy.3107.19@gmail.com</t>
  </si>
  <si>
    <t xml:space="preserve">(470)334-4767</t>
  </si>
  <si>
    <t xml:space="preserve">山﨑　　 美宙　　</t>
  </si>
  <si>
    <t xml:space="preserve">勇治</t>
  </si>
  <si>
    <t xml:space="preserve">ryoooko.20.veinte@gmail.com</t>
  </si>
  <si>
    <t xml:space="preserve">(602)517-2619</t>
  </si>
  <si>
    <r>
      <rPr>
        <sz val="10"/>
        <color theme="1"/>
        <rFont val="Noto Sans CJK SC"/>
        <family val="2"/>
        <charset val="1"/>
      </rPr>
      <t xml:space="preserve">中</t>
    </r>
    <r>
      <rPr>
        <sz val="10"/>
        <color theme="1"/>
        <rFont val="Meiryo"/>
        <family val="0"/>
        <charset val="1"/>
      </rPr>
      <t xml:space="preserve">1</t>
    </r>
    <r>
      <rPr>
        <sz val="10"/>
        <color theme="1"/>
        <rFont val="Noto Sans CJK SC"/>
        <family val="2"/>
        <charset val="1"/>
      </rPr>
      <t xml:space="preserve">ー</t>
    </r>
    <r>
      <rPr>
        <sz val="10"/>
        <color theme="1"/>
        <rFont val="Meiryo"/>
        <family val="0"/>
        <charset val="1"/>
      </rPr>
      <t xml:space="preserve">1</t>
    </r>
  </si>
  <si>
    <t xml:space="preserve">柳田　　 唯花</t>
  </si>
  <si>
    <t xml:space="preserve">大輔</t>
  </si>
  <si>
    <t xml:space="preserve">yanagitaasami@yahoo.co.jp</t>
  </si>
  <si>
    <t xml:space="preserve">(770)878-2463</t>
  </si>
  <si>
    <t xml:space="preserve">鎌田　　 空　　　</t>
  </si>
  <si>
    <t xml:space="preserve">俊一郎</t>
  </si>
  <si>
    <t xml:space="preserve">momoka.k627@gmail.com</t>
  </si>
  <si>
    <t xml:space="preserve">(770)797-5731</t>
  </si>
  <si>
    <t xml:space="preserve">永田　　 圭　　　</t>
  </si>
  <si>
    <t xml:space="preserve">秀二</t>
  </si>
  <si>
    <t xml:space="preserve">(470)365-9797</t>
  </si>
  <si>
    <t xml:space="preserve">keinagata0609@gmail.com;tomoaonagata4105@gmail.com</t>
  </si>
  <si>
    <t xml:space="preserve">tomoaonagata4105@gmail.com</t>
  </si>
  <si>
    <t xml:space="preserve">(404)259-0142</t>
  </si>
  <si>
    <t xml:space="preserve">堂園　　 玲士　　</t>
  </si>
  <si>
    <t xml:space="preserve">覚ニ</t>
  </si>
  <si>
    <t xml:space="preserve">yavapai.lodge@gmail.com;arizona.route66jp@gmail.com</t>
  </si>
  <si>
    <r>
      <rPr>
        <sz val="10"/>
        <color theme="1"/>
        <rFont val="Noto Sans CJK SC"/>
        <family val="2"/>
        <charset val="1"/>
      </rPr>
      <t xml:space="preserve">高</t>
    </r>
    <r>
      <rPr>
        <sz val="10"/>
        <color theme="1"/>
        <rFont val="Meiryo"/>
        <family val="0"/>
        <charset val="1"/>
      </rPr>
      <t xml:space="preserve">2</t>
    </r>
  </si>
  <si>
    <t xml:space="preserve">堂園 遼馬</t>
  </si>
  <si>
    <t xml:space="preserve">yavapai.lodge@gmail.com</t>
  </si>
  <si>
    <t xml:space="preserve">(470)503-9520</t>
  </si>
  <si>
    <t xml:space="preserve">森　　　 海聖　　</t>
  </si>
  <si>
    <t xml:space="preserve">derek.mori0310@gmail.com</t>
  </si>
  <si>
    <t xml:space="preserve">(404)213-9658</t>
  </si>
  <si>
    <t xml:space="preserve">清水　　 太一　　</t>
  </si>
  <si>
    <t xml:space="preserve">一宏</t>
  </si>
  <si>
    <t xml:space="preserve">nozomishimizu88@gmail.com</t>
  </si>
  <si>
    <t xml:space="preserve">清水 一誠</t>
  </si>
  <si>
    <t xml:space="preserve">高等部２</t>
  </si>
  <si>
    <t xml:space="preserve">(770)778-7351</t>
  </si>
  <si>
    <t xml:space="preserve">ロンドノ 花　　　</t>
  </si>
  <si>
    <t xml:space="preserve">フィッシャージオバー二</t>
  </si>
  <si>
    <t xml:space="preserve">murakami770@gmail.com</t>
  </si>
  <si>
    <t xml:space="preserve">(706)604-9952</t>
  </si>
  <si>
    <t xml:space="preserve">髙木　　 美良　　</t>
  </si>
  <si>
    <t xml:space="preserve">洋治</t>
  </si>
  <si>
    <t xml:space="preserve">rara1404t@gmail.com</t>
  </si>
  <si>
    <t xml:space="preserve">(404)323-4728</t>
  </si>
  <si>
    <t xml:space="preserve">髙田　　 彩也子　</t>
  </si>
  <si>
    <t xml:space="preserve">ングホー</t>
  </si>
  <si>
    <t xml:space="preserve">majumoju@gmail.com</t>
  </si>
  <si>
    <t xml:space="preserve">(812)525-4862</t>
  </si>
  <si>
    <t xml:space="preserve">降矢　　 瑚々　　</t>
  </si>
  <si>
    <t xml:space="preserve">雅士</t>
  </si>
  <si>
    <t xml:space="preserve">mommykf2016@gmail.com;mfuruya@jsc-ga.com</t>
  </si>
  <si>
    <t xml:space="preserve">降矢 夏希</t>
  </si>
  <si>
    <t xml:space="preserve">mfuruya@jsc-ga.com</t>
  </si>
  <si>
    <t xml:space="preserve">(470)557-6096</t>
  </si>
  <si>
    <t xml:space="preserve">中井　　 架</t>
  </si>
  <si>
    <t xml:space="preserve">隆介</t>
  </si>
  <si>
    <t xml:space="preserve">ryusukenakai@hotmail.com</t>
  </si>
  <si>
    <t xml:space="preserve">(404)432-2345</t>
  </si>
  <si>
    <t xml:space="preserve">加藤　　 愛梨花</t>
  </si>
  <si>
    <t xml:space="preserve">WELLS</t>
  </si>
  <si>
    <t xml:space="preserve">erikazko@gmail.com</t>
  </si>
  <si>
    <t xml:space="preserve">(678)608-7394</t>
  </si>
  <si>
    <t xml:space="preserve">平田　　 健太郎　</t>
  </si>
  <si>
    <t xml:space="preserve">雅史</t>
  </si>
  <si>
    <t xml:space="preserve">mamipan127@gmail.com</t>
  </si>
  <si>
    <t xml:space="preserve">(404)217-3719</t>
  </si>
  <si>
    <t xml:space="preserve">ピローン 弘樹　　</t>
  </si>
  <si>
    <t xml:space="preserve">グレゴリー</t>
  </si>
  <si>
    <t xml:space="preserve">katsuyo11@gmail.com</t>
  </si>
  <si>
    <t xml:space="preserve">(770)232-1039</t>
  </si>
  <si>
    <t xml:space="preserve">斧　　　 理美　　</t>
  </si>
  <si>
    <t xml:space="preserve">正一郎</t>
  </si>
  <si>
    <t xml:space="preserve">SONO@EMORY.EDU</t>
  </si>
  <si>
    <t xml:space="preserve">(770)329-2102</t>
  </si>
  <si>
    <t xml:space="preserve">矢崎　　 晃子　　</t>
  </si>
  <si>
    <t xml:space="preserve">保雄</t>
  </si>
  <si>
    <t xml:space="preserve">miii819@me.com</t>
  </si>
  <si>
    <t xml:space="preserve">矢崎 菜々子</t>
  </si>
  <si>
    <t xml:space="preserve">(404)740-6814</t>
  </si>
  <si>
    <t xml:space="preserve">加藤　　 夕奈斗</t>
  </si>
  <si>
    <t xml:space="preserve">和昭</t>
  </si>
  <si>
    <t xml:space="preserve">kt-k-z@infoseek.jp </t>
  </si>
  <si>
    <t xml:space="preserve">(470)957-3316</t>
  </si>
  <si>
    <r>
      <rPr>
        <sz val="10"/>
        <color rgb="FF000000"/>
        <rFont val="Noto Sans CJK SC"/>
        <family val="2"/>
        <charset val="1"/>
      </rPr>
      <t xml:space="preserve">中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Noto Sans CJK SC"/>
        <family val="2"/>
        <charset val="1"/>
      </rPr>
      <t xml:space="preserve">－</t>
    </r>
    <r>
      <rPr>
        <sz val="10"/>
        <color rgb="FF000000"/>
        <rFont val="Meiryo"/>
        <family val="0"/>
        <charset val="1"/>
      </rPr>
      <t xml:space="preserve">1</t>
    </r>
  </si>
  <si>
    <t xml:space="preserve">藤澤　　 奏</t>
  </si>
  <si>
    <t xml:space="preserve">隆史</t>
  </si>
  <si>
    <t xml:space="preserve">(470)957-3316
</t>
  </si>
  <si>
    <t xml:space="preserve">reikoalbany@gmail.com</t>
  </si>
  <si>
    <t xml:space="preserve">(470)249-9236</t>
  </si>
  <si>
    <r>
      <rPr>
        <sz val="10"/>
        <color rgb="FF000000"/>
        <rFont val="Noto Sans CJK SC"/>
        <family val="2"/>
        <charset val="1"/>
      </rPr>
      <t xml:space="preserve">中</t>
    </r>
    <r>
      <rPr>
        <sz val="10"/>
        <color rgb="FF000000"/>
        <rFont val="Meiryo"/>
        <family val="0"/>
        <charset val="1"/>
      </rPr>
      <t xml:space="preserve">3</t>
    </r>
  </si>
  <si>
    <t xml:space="preserve">岡部        佳衣</t>
  </si>
  <si>
    <t xml:space="preserve">知花</t>
  </si>
  <si>
    <t xml:space="preserve">chikaokabe@gmail.com</t>
  </si>
  <si>
    <t xml:space="preserve">岡部 快居</t>
  </si>
  <si>
    <r>
      <rPr>
        <sz val="10"/>
        <color rgb="FF000000"/>
        <rFont val="Meiryo"/>
        <family val="0"/>
        <charset val="1"/>
      </rPr>
      <t xml:space="preserve">2/23/2023 </t>
    </r>
    <r>
      <rPr>
        <sz val="10"/>
        <color rgb="FF000000"/>
        <rFont val="Noto Sans CJK SC"/>
        <family val="2"/>
        <charset val="1"/>
      </rPr>
      <t xml:space="preserve">運動会委員名簿から追加</t>
    </r>
  </si>
  <si>
    <t xml:space="preserve">(404)387-1279</t>
  </si>
  <si>
    <t xml:space="preserve">執行　　 創志朗　</t>
  </si>
  <si>
    <t xml:space="preserve">拓宇</t>
  </si>
  <si>
    <t xml:space="preserve">asukashigyo@gmail.com</t>
  </si>
  <si>
    <t xml:space="preserve">(470)270-9693</t>
  </si>
  <si>
    <t xml:space="preserve">日栁　　 杏花　　</t>
  </si>
  <si>
    <t xml:space="preserve">章彦</t>
  </si>
  <si>
    <t xml:space="preserve">makikusanagi@gmail.com</t>
  </si>
  <si>
    <t xml:space="preserve">(201)403-5684</t>
  </si>
  <si>
    <t xml:space="preserve">三島　　 芽愛　　</t>
  </si>
  <si>
    <t xml:space="preserve">孝史</t>
  </si>
  <si>
    <t xml:space="preserve">junkomishim@gmail.com</t>
  </si>
  <si>
    <t xml:space="preserve">(202)498-5081</t>
  </si>
  <si>
    <t xml:space="preserve">バークス レイラニ華子</t>
  </si>
  <si>
    <t xml:space="preserve">リッキー</t>
  </si>
  <si>
    <t xml:space="preserve">mwb.143jp@gmail.com</t>
  </si>
  <si>
    <t xml:space="preserve">(470)628-3728</t>
  </si>
  <si>
    <t xml:space="preserve">宅野　　 希生</t>
  </si>
  <si>
    <t xml:space="preserve">智</t>
  </si>
  <si>
    <t xml:space="preserve">anc03771@nifty.com</t>
  </si>
  <si>
    <r>
      <rPr>
        <sz val="10"/>
        <color theme="1"/>
        <rFont val="Noto Sans CJK SC"/>
        <family val="2"/>
        <charset val="1"/>
      </rPr>
      <t xml:space="preserve">変更の最新版は常にハンプトンさん</t>
    </r>
    <r>
      <rPr>
        <sz val="10"/>
        <color theme="1"/>
        <rFont val="Meiryo"/>
        <family val="0"/>
        <charset val="1"/>
      </rPr>
      <t xml:space="preserve">CC</t>
    </r>
    <r>
      <rPr>
        <sz val="10"/>
        <color theme="1"/>
        <rFont val="Noto Sans CJK SC"/>
        <family val="2"/>
        <charset val="1"/>
      </rPr>
      <t xml:space="preserve">で高木さんに送っておく。</t>
    </r>
  </si>
  <si>
    <r>
      <rPr>
        <sz val="10"/>
        <color theme="1"/>
        <rFont val="Noto Sans CJK SC"/>
        <family val="2"/>
        <charset val="1"/>
      </rPr>
      <t xml:space="preserve">ゲラができたらまず、ハンプトンさんと高木さんに送って確認してもらって、</t>
    </r>
    <r>
      <rPr>
        <sz val="10"/>
        <color theme="1"/>
        <rFont val="Meiryo"/>
        <family val="0"/>
        <charset val="1"/>
      </rPr>
      <t xml:space="preserve">OK</t>
    </r>
    <r>
      <rPr>
        <sz val="10"/>
        <color theme="1"/>
        <rFont val="Noto Sans CJK SC"/>
        <family val="2"/>
        <charset val="1"/>
      </rPr>
      <t xml:space="preserve">もらった後で、掲載。</t>
    </r>
  </si>
  <si>
    <r>
      <rPr>
        <sz val="10"/>
        <color theme="1"/>
        <rFont val="Noto Sans CJK SC"/>
        <family val="2"/>
        <charset val="1"/>
      </rPr>
      <t xml:space="preserve">正規版第一号は電話番号抜きのやつを　</t>
    </r>
    <r>
      <rPr>
        <sz val="10"/>
        <color theme="1"/>
        <rFont val="Meiryo"/>
        <family val="0"/>
        <charset val="1"/>
      </rPr>
      <t xml:space="preserve">GAKYU</t>
    </r>
    <r>
      <rPr>
        <sz val="10"/>
        <color theme="1"/>
        <rFont val="Noto Sans CJK SC"/>
        <family val="2"/>
        <charset val="1"/>
      </rPr>
      <t xml:space="preserve">＠</t>
    </r>
    <r>
      <rPr>
        <sz val="10"/>
        <color theme="1"/>
        <rFont val="Meiryo"/>
        <family val="0"/>
        <charset val="1"/>
      </rPr>
      <t xml:space="preserve">GJLS.ORG </t>
    </r>
    <r>
      <rPr>
        <sz val="10"/>
        <color theme="1"/>
        <rFont val="Noto Sans CJK SC"/>
        <family val="2"/>
        <charset val="1"/>
      </rPr>
      <t xml:space="preserve">におくると各クラスの学級委員が受け取る。</t>
    </r>
  </si>
  <si>
    <t xml:space="preserve">正規版電話入りはハンプトンさんと高木さん</t>
  </si>
  <si>
    <r>
      <rPr>
        <sz val="10"/>
        <color theme="1"/>
        <rFont val="Noto Sans CJK SC"/>
        <family val="2"/>
        <charset val="1"/>
      </rPr>
      <t xml:space="preserve">正規版電話番号なしは、</t>
    </r>
    <r>
      <rPr>
        <sz val="10"/>
        <color theme="1"/>
        <rFont val="Meiryo"/>
        <family val="0"/>
        <charset val="1"/>
      </rPr>
      <t xml:space="preserve">gakyu@gjls.org</t>
    </r>
    <r>
      <rPr>
        <sz val="10"/>
        <color theme="1"/>
        <rFont val="Noto Sans CJK SC"/>
        <family val="2"/>
        <charset val="1"/>
      </rPr>
      <t xml:space="preserve">と</t>
    </r>
    <r>
      <rPr>
        <sz val="10"/>
        <color theme="1"/>
        <rFont val="Meiryo"/>
        <family val="0"/>
        <charset val="1"/>
      </rPr>
      <t xml:space="preserve">Dojo</t>
    </r>
    <r>
      <rPr>
        <sz val="10"/>
        <color theme="1"/>
        <rFont val="Noto Sans CJK SC"/>
        <family val="2"/>
        <charset val="1"/>
      </rPr>
      <t xml:space="preserve">に掲載</t>
    </r>
  </si>
  <si>
    <r>
      <rPr>
        <sz val="10"/>
        <color theme="1"/>
        <rFont val="Meiryo"/>
        <family val="0"/>
        <charset val="1"/>
      </rPr>
      <t xml:space="preserve">Dojo</t>
    </r>
    <r>
      <rPr>
        <sz val="10"/>
        <color theme="1"/>
        <rFont val="Noto Sans CJK SC"/>
        <family val="2"/>
        <charset val="1"/>
      </rPr>
      <t xml:space="preserve">に掲載は初回盤だけで</t>
    </r>
    <r>
      <rPr>
        <sz val="10"/>
        <color theme="1"/>
        <rFont val="Meiryo"/>
        <family val="0"/>
        <charset val="1"/>
      </rPr>
      <t xml:space="preserve">ok</t>
    </r>
    <r>
      <rPr>
        <sz val="10"/>
        <color theme="1"/>
        <rFont val="Noto Sans CJK SC"/>
        <family val="2"/>
        <charset val="1"/>
      </rPr>
      <t xml:space="preserve">！！</t>
    </r>
  </si>
  <si>
    <t xml:space="preserve">全員が要返信になるまで電話やメールで</t>
  </si>
  <si>
    <r>
      <rPr>
        <sz val="10"/>
        <color rgb="FF000000"/>
        <rFont val="&quot;ｍｓ 明朝&quot;"/>
        <family val="0"/>
        <charset val="1"/>
      </rPr>
      <t xml:space="preserve">TEL</t>
    </r>
    <r>
      <rPr>
        <sz val="10"/>
        <color rgb="FF000000"/>
        <rFont val="Noto Sans CJK SC"/>
        <family val="2"/>
        <charset val="1"/>
      </rPr>
      <t xml:space="preserve">番号</t>
    </r>
  </si>
  <si>
    <t xml:space="preserve">氏 名</t>
  </si>
  <si>
    <t xml:space="preserve">vlookup with Master2023</t>
  </si>
  <si>
    <t xml:space="preserve">vlookup with Master2022</t>
  </si>
  <si>
    <t xml:space="preserve">田代 匠</t>
  </si>
  <si>
    <r>
      <rPr>
        <sz val="10"/>
        <color rgb="FF000000"/>
        <rFont val="Noto Sans CJK SC"/>
        <family val="2"/>
        <charset val="1"/>
      </rPr>
      <t xml:space="preserve">小</t>
    </r>
    <r>
      <rPr>
        <sz val="10"/>
        <color rgb="FF000000"/>
        <rFont val="&quot;ｍｓ 明朝&quot;"/>
        <family val="0"/>
        <charset val="1"/>
      </rPr>
      <t xml:space="preserve">4</t>
    </r>
    <r>
      <rPr>
        <sz val="10"/>
        <color rgb="FF000000"/>
        <rFont val="Noto Sans CJK SC"/>
        <family val="2"/>
        <charset val="1"/>
      </rPr>
      <t xml:space="preserve">－</t>
    </r>
    <r>
      <rPr>
        <sz val="10"/>
        <color rgb="FF000000"/>
        <rFont val="&quot;ｍｓ 明朝&quot;"/>
        <family val="0"/>
        <charset val="1"/>
      </rPr>
      <t xml:space="preserve">1</t>
    </r>
  </si>
  <si>
    <t xml:space="preserve">高瀬 瑛太</t>
  </si>
  <si>
    <r>
      <rPr>
        <sz val="10"/>
        <color rgb="FF000000"/>
        <rFont val="Noto Sans CJK SC"/>
        <family val="2"/>
        <charset val="1"/>
      </rPr>
      <t xml:space="preserve">小</t>
    </r>
    <r>
      <rPr>
        <sz val="10"/>
        <color rgb="FF000000"/>
        <rFont val="&quot;ｍｓ 明朝&quot;"/>
        <family val="0"/>
        <charset val="1"/>
      </rPr>
      <t xml:space="preserve">3</t>
    </r>
    <r>
      <rPr>
        <sz val="10"/>
        <color rgb="FF000000"/>
        <rFont val="Noto Sans CJK SC"/>
        <family val="2"/>
        <charset val="1"/>
      </rPr>
      <t xml:space="preserve">－</t>
    </r>
    <r>
      <rPr>
        <sz val="10"/>
        <color rgb="FF000000"/>
        <rFont val="&quot;ｍｓ 明朝&quot;"/>
        <family val="0"/>
        <charset val="1"/>
      </rPr>
      <t xml:space="preserve">1</t>
    </r>
  </si>
  <si>
    <t xml:space="preserve">船戸 建志</t>
  </si>
  <si>
    <t xml:space="preserve">津田 悠真</t>
  </si>
  <si>
    <r>
      <rPr>
        <sz val="10"/>
        <color rgb="FF000000"/>
        <rFont val="Noto Sans CJK SC"/>
        <family val="2"/>
        <charset val="1"/>
      </rPr>
      <t xml:space="preserve">小</t>
    </r>
    <r>
      <rPr>
        <sz val="10"/>
        <color rgb="FF000000"/>
        <rFont val="&quot;ｍｓ 明朝&quot;"/>
        <family val="0"/>
        <charset val="1"/>
      </rPr>
      <t xml:space="preserve">2</t>
    </r>
    <r>
      <rPr>
        <sz val="10"/>
        <color rgb="FF000000"/>
        <rFont val="Noto Sans CJK SC"/>
        <family val="2"/>
        <charset val="1"/>
      </rPr>
      <t xml:space="preserve">－</t>
    </r>
    <r>
      <rPr>
        <sz val="10"/>
        <color rgb="FF000000"/>
        <rFont val="&quot;ｍｓ 明朝&quot;"/>
        <family val="0"/>
        <charset val="1"/>
      </rPr>
      <t xml:space="preserve">2</t>
    </r>
  </si>
  <si>
    <t xml:space="preserve">渡部 浩市</t>
  </si>
  <si>
    <r>
      <rPr>
        <sz val="10"/>
        <color rgb="FF000000"/>
        <rFont val="Noto Sans CJK SC"/>
        <family val="2"/>
        <charset val="1"/>
      </rPr>
      <t xml:space="preserve">小</t>
    </r>
    <r>
      <rPr>
        <sz val="10"/>
        <color rgb="FF000000"/>
        <rFont val="&quot;ｍｓ 明朝&quot;"/>
        <family val="0"/>
        <charset val="1"/>
      </rPr>
      <t xml:space="preserve">2</t>
    </r>
    <r>
      <rPr>
        <sz val="10"/>
        <color rgb="FF000000"/>
        <rFont val="Noto Sans CJK SC"/>
        <family val="2"/>
        <charset val="1"/>
      </rPr>
      <t xml:space="preserve">－</t>
    </r>
    <r>
      <rPr>
        <sz val="10"/>
        <color rgb="FF000000"/>
        <rFont val="&quot;ｍｓ 明朝&quot;"/>
        <family val="0"/>
        <charset val="1"/>
      </rPr>
      <t xml:space="preserve">1</t>
    </r>
  </si>
  <si>
    <t xml:space="preserve">塚越 豊</t>
  </si>
  <si>
    <t xml:space="preserve">齋藤 翔</t>
  </si>
  <si>
    <t xml:space="preserve">清水 悠羽</t>
  </si>
  <si>
    <t xml:space="preserve">西島 江真</t>
  </si>
  <si>
    <t xml:space="preserve">岩戸 友莉菜</t>
  </si>
  <si>
    <t xml:space="preserve">江川 椎香</t>
  </si>
  <si>
    <r>
      <rPr>
        <sz val="10"/>
        <color rgb="FF000000"/>
        <rFont val="Noto Sans CJK SC"/>
        <family val="2"/>
        <charset val="1"/>
      </rPr>
      <t xml:space="preserve">小</t>
    </r>
    <r>
      <rPr>
        <sz val="10"/>
        <color rgb="FF000000"/>
        <rFont val="&quot;ｍｓ 明朝&quot;"/>
        <family val="0"/>
        <charset val="1"/>
      </rPr>
      <t xml:space="preserve">2</t>
    </r>
    <r>
      <rPr>
        <sz val="10"/>
        <color rgb="FF000000"/>
        <rFont val="Noto Sans CJK SC"/>
        <family val="2"/>
        <charset val="1"/>
      </rPr>
      <t xml:space="preserve">－</t>
    </r>
    <r>
      <rPr>
        <sz val="10"/>
        <color rgb="FF000000"/>
        <rFont val="&quot;ｍｓ 明朝&quot;"/>
        <family val="0"/>
        <charset val="1"/>
      </rPr>
      <t xml:space="preserve">3</t>
    </r>
  </si>
  <si>
    <t xml:space="preserve">木下 さら</t>
  </si>
  <si>
    <t xml:space="preserve">博登</t>
  </si>
  <si>
    <t xml:space="preserve">冨永 奈央</t>
  </si>
  <si>
    <t xml:space="preserve">ホーイ 碧蘭</t>
  </si>
  <si>
    <t xml:space="preserve">六反 梛月</t>
  </si>
  <si>
    <r>
      <rPr>
        <sz val="10"/>
        <color rgb="FF000000"/>
        <rFont val="Noto Sans CJK SC"/>
        <family val="2"/>
        <charset val="1"/>
      </rPr>
      <t xml:space="preserve">小</t>
    </r>
    <r>
      <rPr>
        <sz val="10"/>
        <color rgb="FF000000"/>
        <rFont val="&quot;ｍｓ 明朝&quot;"/>
        <family val="0"/>
        <charset val="1"/>
      </rPr>
      <t xml:space="preserve">3</t>
    </r>
    <r>
      <rPr>
        <sz val="10"/>
        <color rgb="FF000000"/>
        <rFont val="Noto Sans CJK SC"/>
        <family val="2"/>
        <charset val="1"/>
      </rPr>
      <t xml:space="preserve">－</t>
    </r>
    <r>
      <rPr>
        <sz val="10"/>
        <color rgb="FF000000"/>
        <rFont val="&quot;ｍｓ 明朝&quot;"/>
        <family val="0"/>
        <charset val="1"/>
      </rPr>
      <t xml:space="preserve">2</t>
    </r>
  </si>
  <si>
    <r>
      <rPr>
        <sz val="10"/>
        <color rgb="FF000000"/>
        <rFont val="Noto Sans CJK SC"/>
        <family val="2"/>
        <charset val="1"/>
      </rPr>
      <t xml:space="preserve">小</t>
    </r>
    <r>
      <rPr>
        <sz val="10"/>
        <color rgb="FF000000"/>
        <rFont val="&quot;ｍｓ 明朝&quot;"/>
        <family val="0"/>
        <charset val="1"/>
      </rPr>
      <t xml:space="preserve">5</t>
    </r>
    <r>
      <rPr>
        <sz val="10"/>
        <color rgb="FF000000"/>
        <rFont val="Noto Sans CJK SC"/>
        <family val="2"/>
        <charset val="1"/>
      </rPr>
      <t xml:space="preserve">－</t>
    </r>
    <r>
      <rPr>
        <sz val="10"/>
        <color rgb="FF000000"/>
        <rFont val="&quot;ｍｓ 明朝&quot;"/>
        <family val="0"/>
        <charset val="1"/>
      </rPr>
      <t xml:space="preserve">1</t>
    </r>
  </si>
  <si>
    <t xml:space="preserve">伊藤 みずき</t>
  </si>
  <si>
    <t xml:space="preserve">川部 和紗</t>
  </si>
  <si>
    <t xml:space="preserve">佐藤 友紀美</t>
  </si>
  <si>
    <t xml:space="preserve">山﨑 圭悟</t>
  </si>
  <si>
    <t xml:space="preserve">宮嶋 悠一郎</t>
  </si>
  <si>
    <t xml:space="preserve">山口 将太</t>
  </si>
  <si>
    <r>
      <rPr>
        <sz val="10"/>
        <color rgb="FF000000"/>
        <rFont val="Noto Sans CJK SC"/>
        <family val="2"/>
        <charset val="1"/>
      </rPr>
      <t xml:space="preserve">中</t>
    </r>
    <r>
      <rPr>
        <sz val="10"/>
        <color rgb="FF000000"/>
        <rFont val="&quot;ｍｓ 明朝&quot;"/>
        <family val="0"/>
        <charset val="1"/>
      </rPr>
      <t xml:space="preserve">2</t>
    </r>
    <r>
      <rPr>
        <sz val="10"/>
        <color rgb="FF000000"/>
        <rFont val="Noto Sans CJK SC"/>
        <family val="2"/>
        <charset val="1"/>
      </rPr>
      <t xml:space="preserve">－</t>
    </r>
    <r>
      <rPr>
        <sz val="10"/>
        <color rgb="FF000000"/>
        <rFont val="&quot;ｍｓ 明朝&quot;"/>
        <family val="0"/>
        <charset val="1"/>
      </rPr>
      <t xml:space="preserve">1</t>
    </r>
  </si>
  <si>
    <t xml:space="preserve">池永 海生</t>
  </si>
  <si>
    <t xml:space="preserve">小田 哲哉</t>
  </si>
  <si>
    <t xml:space="preserve">(706)980-3859</t>
  </si>
  <si>
    <t xml:space="preserve">作元 瑛太</t>
  </si>
  <si>
    <t xml:space="preserve">正和</t>
  </si>
  <si>
    <t xml:space="preserve">作元 要太</t>
  </si>
  <si>
    <t xml:space="preserve">西 竜輝</t>
  </si>
  <si>
    <t xml:space="preserve">鈴木 康平</t>
  </si>
  <si>
    <t xml:space="preserve">山根 悠希</t>
  </si>
  <si>
    <r>
      <rPr>
        <sz val="10"/>
        <color rgb="FF000000"/>
        <rFont val="Noto Sans CJK SC"/>
        <family val="2"/>
        <charset val="1"/>
      </rPr>
      <t xml:space="preserve">小</t>
    </r>
    <r>
      <rPr>
        <sz val="10"/>
        <color rgb="FF000000"/>
        <rFont val="&quot;ｍｓ 明朝&quot;"/>
        <family val="0"/>
        <charset val="1"/>
      </rPr>
      <t xml:space="preserve">5</t>
    </r>
    <r>
      <rPr>
        <sz val="10"/>
        <color rgb="FF000000"/>
        <rFont val="Noto Sans CJK SC"/>
        <family val="2"/>
        <charset val="1"/>
      </rPr>
      <t xml:space="preserve">－</t>
    </r>
    <r>
      <rPr>
        <sz val="10"/>
        <color rgb="FF000000"/>
        <rFont val="&quot;ｍｓ 明朝&quot;"/>
        <family val="0"/>
        <charset val="1"/>
      </rPr>
      <t xml:space="preserve">2</t>
    </r>
  </si>
  <si>
    <t xml:space="preserve">篠原 佳也</t>
  </si>
  <si>
    <t xml:space="preserve">近藤 さくら</t>
  </si>
  <si>
    <t xml:space="preserve">富澤 結衣</t>
  </si>
  <si>
    <t xml:space="preserve">林 美和</t>
  </si>
  <si>
    <t xml:space="preserve">益田 華</t>
  </si>
  <si>
    <t xml:space="preserve">森本 七瀬</t>
  </si>
  <si>
    <t xml:space="preserve">綾部 櫻</t>
  </si>
  <si>
    <r>
      <rPr>
        <sz val="10"/>
        <color rgb="FF000000"/>
        <rFont val="Noto Sans CJK SC"/>
        <family val="2"/>
        <charset val="1"/>
      </rPr>
      <t xml:space="preserve">小</t>
    </r>
    <r>
      <rPr>
        <sz val="10"/>
        <color rgb="FF000000"/>
        <rFont val="&quot;ｍｓ 明朝&quot;"/>
        <family val="0"/>
        <charset val="1"/>
      </rPr>
      <t xml:space="preserve">1</t>
    </r>
    <r>
      <rPr>
        <sz val="10"/>
        <color rgb="FF000000"/>
        <rFont val="Noto Sans CJK SC"/>
        <family val="2"/>
        <charset val="1"/>
      </rPr>
      <t xml:space="preserve">－</t>
    </r>
    <r>
      <rPr>
        <sz val="10"/>
        <color rgb="FF000000"/>
        <rFont val="&quot;ｍｓ 明朝&quot;"/>
        <family val="0"/>
        <charset val="1"/>
      </rPr>
      <t xml:space="preserve">3</t>
    </r>
  </si>
  <si>
    <t xml:space="preserve">(678)446-9466</t>
  </si>
  <si>
    <t xml:space="preserve">木本 咲衣</t>
  </si>
  <si>
    <t xml:space="preserve">匠</t>
  </si>
  <si>
    <t xml:space="preserve">木本 陽真</t>
  </si>
  <si>
    <t xml:space="preserve">磯部 美桜</t>
  </si>
  <si>
    <t xml:space="preserve">神村 咲奈</t>
  </si>
  <si>
    <r>
      <rPr>
        <sz val="10"/>
        <color rgb="FF000000"/>
        <rFont val="Noto Sans CJK SC"/>
        <family val="2"/>
        <charset val="1"/>
      </rPr>
      <t xml:space="preserve">小</t>
    </r>
    <r>
      <rPr>
        <sz val="10"/>
        <color rgb="FF000000"/>
        <rFont val="&quot;ｍｓ 明朝&quot;"/>
        <family val="0"/>
        <charset val="1"/>
      </rPr>
      <t xml:space="preserve">1</t>
    </r>
    <r>
      <rPr>
        <sz val="10"/>
        <color rgb="FF000000"/>
        <rFont val="Noto Sans CJK SC"/>
        <family val="2"/>
        <charset val="1"/>
      </rPr>
      <t xml:space="preserve">－</t>
    </r>
    <r>
      <rPr>
        <sz val="10"/>
        <color rgb="FF000000"/>
        <rFont val="&quot;ｍｓ 明朝&quot;"/>
        <family val="0"/>
        <charset val="1"/>
      </rPr>
      <t xml:space="preserve">1</t>
    </r>
  </si>
  <si>
    <t xml:space="preserve">上原 圭翔</t>
  </si>
  <si>
    <t xml:space="preserve">鈴木 賢斗</t>
  </si>
  <si>
    <t xml:space="preserve">齋藤 鉄平</t>
  </si>
  <si>
    <t xml:space="preserve">渡辺 琳久</t>
  </si>
  <si>
    <r>
      <rPr>
        <sz val="10"/>
        <color rgb="FF000000"/>
        <rFont val="Noto Sans CJK SC"/>
        <family val="2"/>
        <charset val="1"/>
      </rPr>
      <t xml:space="preserve">小</t>
    </r>
    <r>
      <rPr>
        <sz val="10"/>
        <color rgb="FF000000"/>
        <rFont val="&quot;ｍｓ 明朝&quot;"/>
        <family val="0"/>
        <charset val="1"/>
      </rPr>
      <t xml:space="preserve">4</t>
    </r>
    <r>
      <rPr>
        <sz val="10"/>
        <color rgb="FF000000"/>
        <rFont val="Noto Sans CJK SC"/>
        <family val="2"/>
        <charset val="1"/>
      </rPr>
      <t xml:space="preserve">－</t>
    </r>
    <r>
      <rPr>
        <sz val="10"/>
        <color rgb="FF000000"/>
        <rFont val="&quot;ｍｓ 明朝&quot;"/>
        <family val="0"/>
        <charset val="1"/>
      </rPr>
      <t xml:space="preserve">2</t>
    </r>
  </si>
  <si>
    <t xml:space="preserve">井手 康平</t>
  </si>
  <si>
    <t xml:space="preserve">小島 蒔人</t>
  </si>
  <si>
    <r>
      <rPr>
        <sz val="10"/>
        <color rgb="FF000000"/>
        <rFont val="Noto Sans CJK SC"/>
        <family val="2"/>
        <charset val="1"/>
      </rPr>
      <t xml:space="preserve">中</t>
    </r>
    <r>
      <rPr>
        <sz val="10"/>
        <color rgb="FF000000"/>
        <rFont val="&quot;ｍｓ 明朝&quot;"/>
        <family val="0"/>
        <charset val="1"/>
      </rPr>
      <t xml:space="preserve">1</t>
    </r>
    <r>
      <rPr>
        <sz val="10"/>
        <color rgb="FF000000"/>
        <rFont val="Noto Sans CJK SC"/>
        <family val="2"/>
        <charset val="1"/>
      </rPr>
      <t xml:space="preserve">－</t>
    </r>
    <r>
      <rPr>
        <sz val="10"/>
        <color rgb="FF000000"/>
        <rFont val="&quot;ｍｓ 明朝&quot;"/>
        <family val="0"/>
        <charset val="1"/>
      </rPr>
      <t xml:space="preserve">1</t>
    </r>
  </si>
  <si>
    <t xml:space="preserve">松田 悠生</t>
  </si>
  <si>
    <t xml:space="preserve">良原 渓太</t>
  </si>
  <si>
    <r>
      <rPr>
        <sz val="10"/>
        <color rgb="FF000000"/>
        <rFont val="Noto Sans CJK SC"/>
        <family val="2"/>
        <charset val="1"/>
      </rPr>
      <t xml:space="preserve">小</t>
    </r>
    <r>
      <rPr>
        <sz val="10"/>
        <color rgb="FF000000"/>
        <rFont val="&quot;ｍｓ 明朝&quot;"/>
        <family val="0"/>
        <charset val="1"/>
      </rPr>
      <t xml:space="preserve">6</t>
    </r>
    <r>
      <rPr>
        <sz val="10"/>
        <color rgb="FF000000"/>
        <rFont val="Noto Sans CJK SC"/>
        <family val="2"/>
        <charset val="1"/>
      </rPr>
      <t xml:space="preserve">－</t>
    </r>
    <r>
      <rPr>
        <sz val="10"/>
        <color rgb="FF000000"/>
        <rFont val="&quot;ｍｓ 明朝&quot;"/>
        <family val="0"/>
        <charset val="1"/>
      </rPr>
      <t xml:space="preserve">1</t>
    </r>
  </si>
  <si>
    <t xml:space="preserve">髙田 昂汰</t>
  </si>
  <si>
    <t xml:space="preserve">岩田 健孟</t>
  </si>
  <si>
    <t xml:space="preserve">内山 綾士</t>
  </si>
  <si>
    <t xml:space="preserve">ハイマン 多莉明</t>
  </si>
  <si>
    <t xml:space="preserve">村瀬 英奈</t>
  </si>
  <si>
    <t xml:space="preserve">黒木 逢七</t>
  </si>
  <si>
    <t xml:space="preserve">セレン にこ</t>
  </si>
  <si>
    <t xml:space="preserve">新谷 えみり</t>
  </si>
  <si>
    <t xml:space="preserve">梶原 杏</t>
  </si>
  <si>
    <t xml:space="preserve">松本 佳乃</t>
  </si>
  <si>
    <r>
      <rPr>
        <sz val="10"/>
        <color rgb="FF000000"/>
        <rFont val="Noto Sans CJK SC"/>
        <family val="2"/>
        <charset val="1"/>
      </rPr>
      <t xml:space="preserve">小</t>
    </r>
    <r>
      <rPr>
        <sz val="10"/>
        <color rgb="FF000000"/>
        <rFont val="&quot;ｍｓ 明朝&quot;"/>
        <family val="0"/>
        <charset val="1"/>
      </rPr>
      <t xml:space="preserve">1</t>
    </r>
    <r>
      <rPr>
        <sz val="10"/>
        <color rgb="FF000000"/>
        <rFont val="Noto Sans CJK SC"/>
        <family val="2"/>
        <charset val="1"/>
      </rPr>
      <t xml:space="preserve">－</t>
    </r>
    <r>
      <rPr>
        <sz val="10"/>
        <color rgb="FF000000"/>
        <rFont val="&quot;ｍｓ 明朝&quot;"/>
        <family val="0"/>
        <charset val="1"/>
      </rPr>
      <t xml:space="preserve">2</t>
    </r>
  </si>
  <si>
    <t xml:space="preserve">塚本 凌久</t>
  </si>
  <si>
    <t xml:space="preserve">二村 貫太</t>
  </si>
  <si>
    <t xml:space="preserve">薮田 大輝</t>
  </si>
  <si>
    <r>
      <rPr>
        <sz val="10"/>
        <color rgb="FF000000"/>
        <rFont val="Noto Sans CJK SC"/>
        <family val="2"/>
        <charset val="1"/>
      </rPr>
      <t xml:space="preserve">小</t>
    </r>
    <r>
      <rPr>
        <sz val="10"/>
        <color rgb="FF000000"/>
        <rFont val="&quot;ｍｓ 明朝&quot;"/>
        <family val="0"/>
        <charset val="1"/>
      </rPr>
      <t xml:space="preserve">6</t>
    </r>
    <r>
      <rPr>
        <sz val="10"/>
        <color rgb="FF000000"/>
        <rFont val="Noto Sans CJK SC"/>
        <family val="2"/>
        <charset val="1"/>
      </rPr>
      <t xml:space="preserve">－</t>
    </r>
    <r>
      <rPr>
        <sz val="10"/>
        <color rgb="FF000000"/>
        <rFont val="&quot;ｍｓ 明朝&quot;"/>
        <family val="0"/>
        <charset val="1"/>
      </rPr>
      <t xml:space="preserve">2</t>
    </r>
  </si>
  <si>
    <t xml:space="preserve">レビン 海斗</t>
  </si>
  <si>
    <t xml:space="preserve">加藤 大河</t>
  </si>
  <si>
    <t xml:space="preserve">(470)240-7365</t>
  </si>
  <si>
    <t xml:space="preserve">岡本 祥弥</t>
  </si>
  <si>
    <t xml:space="preserve">雅雄</t>
  </si>
  <si>
    <t xml:space="preserve">岡本 啓吾</t>
  </si>
  <si>
    <t xml:space="preserve">中村 光太</t>
  </si>
  <si>
    <t xml:space="preserve">川嶋 琉生</t>
  </si>
  <si>
    <t xml:space="preserve">宮田 來怜</t>
  </si>
  <si>
    <t xml:space="preserve">モリソン 晴信</t>
  </si>
  <si>
    <t xml:space="preserve">北井 匠</t>
  </si>
  <si>
    <t xml:space="preserve">山崎 瑛美</t>
  </si>
  <si>
    <t xml:space="preserve">井上 柚羽</t>
  </si>
  <si>
    <t xml:space="preserve">大河内 彩恵</t>
  </si>
  <si>
    <t xml:space="preserve">(706)461-1800</t>
  </si>
  <si>
    <t xml:space="preserve">シェルナット 莉彩</t>
  </si>
  <si>
    <t xml:space="preserve">アダム</t>
  </si>
  <si>
    <t xml:space="preserve">シェルナット 流圭</t>
  </si>
  <si>
    <t xml:space="preserve">石井 希歩</t>
  </si>
  <si>
    <t xml:space="preserve">柳沢 彪功</t>
  </si>
  <si>
    <t xml:space="preserve">松本 悠生</t>
  </si>
  <si>
    <t xml:space="preserve">作佐部 岳</t>
  </si>
  <si>
    <t xml:space="preserve">中村 詩</t>
  </si>
  <si>
    <t xml:space="preserve">松井 一真</t>
  </si>
  <si>
    <t xml:space="preserve">ハリソン 倖</t>
  </si>
  <si>
    <t xml:space="preserve">松野 海咲</t>
  </si>
  <si>
    <t xml:space="preserve">稲森 杏奈</t>
  </si>
  <si>
    <r>
      <rPr>
        <sz val="10"/>
        <color rgb="FF000000"/>
        <rFont val="Noto Sans CJK SC"/>
        <family val="2"/>
        <charset val="1"/>
      </rPr>
      <t xml:space="preserve">中</t>
    </r>
    <r>
      <rPr>
        <sz val="10"/>
        <color rgb="FF000000"/>
        <rFont val="&quot;ｍｓ 明朝&quot;"/>
        <family val="0"/>
        <charset val="1"/>
      </rPr>
      <t xml:space="preserve">3</t>
    </r>
    <r>
      <rPr>
        <sz val="10"/>
        <color rgb="FF000000"/>
        <rFont val="Noto Sans CJK SC"/>
        <family val="2"/>
        <charset val="1"/>
      </rPr>
      <t xml:space="preserve">－</t>
    </r>
    <r>
      <rPr>
        <sz val="10"/>
        <color rgb="FF000000"/>
        <rFont val="&quot;ｍｓ 明朝&quot;"/>
        <family val="0"/>
        <charset val="1"/>
      </rPr>
      <t xml:space="preserve">1</t>
    </r>
  </si>
  <si>
    <t xml:space="preserve">並木 楓</t>
  </si>
  <si>
    <t xml:space="preserve">繁泉 凪</t>
  </si>
  <si>
    <t xml:space="preserve">二村 美玲</t>
  </si>
  <si>
    <t xml:space="preserve">森川 咲空</t>
  </si>
  <si>
    <t xml:space="preserve">藤田 虹夕</t>
  </si>
  <si>
    <t xml:space="preserve">橋本 彩月</t>
  </si>
  <si>
    <t xml:space="preserve">中村 一覚</t>
  </si>
  <si>
    <t xml:space="preserve">大嶋 希海</t>
  </si>
  <si>
    <t xml:space="preserve">牟田 悠人</t>
  </si>
  <si>
    <t xml:space="preserve">大竹 愛子</t>
  </si>
  <si>
    <t xml:space="preserve">(470)553-0462</t>
  </si>
  <si>
    <t xml:space="preserve">滝田 莉子</t>
  </si>
  <si>
    <t xml:space="preserve">広一</t>
  </si>
  <si>
    <t xml:space="preserve">鈴木 蘭</t>
  </si>
  <si>
    <t xml:space="preserve">(678)431-5562</t>
  </si>
  <si>
    <t xml:space="preserve">中井 志帆</t>
  </si>
  <si>
    <t xml:space="preserve">哲郎</t>
  </si>
  <si>
    <t xml:space="preserve">中井 航太郎</t>
  </si>
  <si>
    <t xml:space="preserve">鈴木 梨央</t>
  </si>
  <si>
    <t xml:space="preserve">持田 莉子</t>
  </si>
  <si>
    <t xml:space="preserve">渡辺 日加里</t>
  </si>
  <si>
    <t xml:space="preserve">福田 光希</t>
  </si>
  <si>
    <t xml:space="preserve">山田 梅</t>
  </si>
  <si>
    <t xml:space="preserve">髙木 武蔵</t>
  </si>
  <si>
    <t xml:space="preserve">川西 哲人</t>
  </si>
  <si>
    <t xml:space="preserve">重久 睦斉</t>
  </si>
  <si>
    <r>
      <rPr>
        <sz val="10"/>
        <color rgb="FF000000"/>
        <rFont val="Noto Sans CJK SC"/>
        <family val="2"/>
        <charset val="1"/>
      </rPr>
      <t xml:space="preserve">高</t>
    </r>
    <r>
      <rPr>
        <sz val="10"/>
        <color rgb="FF000000"/>
        <rFont val="&quot;ｍｓ 明朝&quot;"/>
        <family val="0"/>
        <charset val="1"/>
      </rPr>
      <t xml:space="preserve">1</t>
    </r>
  </si>
  <si>
    <t xml:space="preserve">重久 凜乃</t>
  </si>
  <si>
    <t xml:space="preserve">丹羽 駿輔</t>
  </si>
  <si>
    <t xml:space="preserve">駿輔</t>
  </si>
  <si>
    <t xml:space="preserve">(470)367-3579</t>
  </si>
  <si>
    <t xml:space="preserve">中島 快</t>
  </si>
  <si>
    <t xml:space="preserve">健夫</t>
  </si>
  <si>
    <t xml:space="preserve">中島 凜</t>
  </si>
  <si>
    <t xml:space="preserve">田中 宏弥</t>
  </si>
  <si>
    <t xml:space="preserve">(470)786-3002</t>
  </si>
  <si>
    <t xml:space="preserve">原田 悠生</t>
  </si>
  <si>
    <t xml:space="preserve">裕也</t>
  </si>
  <si>
    <t xml:space="preserve">原田 侑奈</t>
  </si>
  <si>
    <t xml:space="preserve">中井 美晴</t>
  </si>
  <si>
    <t xml:space="preserve">太田 恵麻</t>
  </si>
  <si>
    <t xml:space="preserve">岡崎 文香</t>
  </si>
  <si>
    <t xml:space="preserve">菅 陽詩</t>
  </si>
  <si>
    <t xml:space="preserve">多胡 綾乃</t>
  </si>
  <si>
    <t xml:space="preserve">松本 美月</t>
  </si>
  <si>
    <t xml:space="preserve">矢田 遥花</t>
  </si>
  <si>
    <t xml:space="preserve">村見 蒼空</t>
  </si>
  <si>
    <t xml:space="preserve">市橋 優治</t>
  </si>
  <si>
    <t xml:space="preserve">黒岩 和真</t>
  </si>
  <si>
    <t xml:space="preserve">鈴木 可偉</t>
  </si>
  <si>
    <t xml:space="preserve">金野 慧一朗</t>
  </si>
  <si>
    <t xml:space="preserve">(470)208-4384</t>
  </si>
  <si>
    <t xml:space="preserve">栗山 郁史</t>
  </si>
  <si>
    <t xml:space="preserve">琢史</t>
  </si>
  <si>
    <t xml:space="preserve">(678)427-0370</t>
  </si>
  <si>
    <t xml:space="preserve">富岡 彩</t>
  </si>
  <si>
    <t xml:space="preserve">和政</t>
  </si>
  <si>
    <t xml:space="preserve">富岡 希実</t>
  </si>
  <si>
    <t xml:space="preserve">山中 萌衣</t>
  </si>
  <si>
    <t xml:space="preserve">日尾野 美桜</t>
  </si>
  <si>
    <t xml:space="preserve">難波 寿羽</t>
  </si>
  <si>
    <t xml:space="preserve">大西 芽生</t>
  </si>
  <si>
    <t xml:space="preserve">(224)213-5047</t>
  </si>
  <si>
    <t xml:space="preserve">荒木 那月</t>
  </si>
  <si>
    <t xml:space="preserve">大勝</t>
  </si>
  <si>
    <t xml:space="preserve">佐久間 一嘉</t>
  </si>
  <si>
    <t xml:space="preserve">杉野 蓮</t>
  </si>
  <si>
    <t xml:space="preserve">菊地 正光</t>
  </si>
  <si>
    <t xml:space="preserve">藤沢 怜生</t>
  </si>
  <si>
    <t xml:space="preserve">竹内 遥希</t>
  </si>
  <si>
    <t xml:space="preserve">パニシバタナ 憲汰</t>
  </si>
  <si>
    <t xml:space="preserve">矢島 敬士</t>
  </si>
  <si>
    <t xml:space="preserve">武藤 寛太朗</t>
  </si>
  <si>
    <t xml:space="preserve">張 友和</t>
  </si>
  <si>
    <t xml:space="preserve">ジョーンズ 芹愛</t>
  </si>
  <si>
    <t xml:space="preserve">佐藤 莉愛</t>
  </si>
  <si>
    <t xml:space="preserve">吉澤 希海</t>
  </si>
  <si>
    <t xml:space="preserve">ヴェントゥラ ゼナ</t>
  </si>
  <si>
    <t xml:space="preserve">朝西 美結</t>
  </si>
  <si>
    <t xml:space="preserve">(470)367-8767</t>
  </si>
  <si>
    <t xml:space="preserve">久保田 花</t>
  </si>
  <si>
    <t xml:space="preserve">南條 結衣</t>
  </si>
  <si>
    <t xml:space="preserve">柳川 七愛</t>
  </si>
  <si>
    <t xml:space="preserve">渡部 登吾</t>
  </si>
  <si>
    <t xml:space="preserve">今川 晃成</t>
  </si>
  <si>
    <t xml:space="preserve">シューベルト ケン</t>
  </si>
  <si>
    <t xml:space="preserve">堂野 千颯</t>
  </si>
  <si>
    <t xml:space="preserve">伊藤 瑛太</t>
  </si>
  <si>
    <t xml:space="preserve">松尾 知樹</t>
  </si>
  <si>
    <t xml:space="preserve">近藤 結衣</t>
  </si>
  <si>
    <t xml:space="preserve">紙谷 桜</t>
  </si>
  <si>
    <t xml:space="preserve">紙谷 樹</t>
  </si>
  <si>
    <t xml:space="preserve">西川 結梨</t>
  </si>
  <si>
    <t xml:space="preserve">鬟谷 京香</t>
  </si>
  <si>
    <t xml:space="preserve">藤原 夏菜</t>
  </si>
  <si>
    <t xml:space="preserve">中島 小春</t>
  </si>
  <si>
    <t xml:space="preserve">山本 晴子</t>
  </si>
  <si>
    <t xml:space="preserve">青園 炎三</t>
  </si>
  <si>
    <t xml:space="preserve">(678)488-1739</t>
  </si>
  <si>
    <t xml:space="preserve">永嶌 亨伍</t>
  </si>
  <si>
    <t xml:space="preserve">秀一</t>
  </si>
  <si>
    <t xml:space="preserve">永嶌 諒也</t>
  </si>
  <si>
    <t xml:space="preserve">増田 卓矩</t>
  </si>
  <si>
    <t xml:space="preserve">岩村 遼</t>
  </si>
  <si>
    <t xml:space="preserve">竹嶋 柚稀</t>
  </si>
  <si>
    <t xml:space="preserve">久保田 圭織</t>
  </si>
  <si>
    <t xml:space="preserve">大久保 結月</t>
  </si>
  <si>
    <t xml:space="preserve">平野 莉央</t>
  </si>
  <si>
    <t xml:space="preserve">馬場 日向子</t>
  </si>
  <si>
    <t xml:space="preserve">田中 萌彩</t>
  </si>
  <si>
    <t xml:space="preserve">(678)308-0057</t>
  </si>
  <si>
    <t xml:space="preserve">堀場 巧巳</t>
  </si>
  <si>
    <t xml:space="preserve">勝成</t>
  </si>
  <si>
    <t xml:space="preserve">西宮 壮亮</t>
  </si>
  <si>
    <t xml:space="preserve">(470)495-8653</t>
  </si>
  <si>
    <t xml:space="preserve">小林 拓真</t>
  </si>
  <si>
    <t xml:space="preserve">真史</t>
  </si>
  <si>
    <t xml:space="preserve">藤田 涼太郎</t>
  </si>
  <si>
    <t xml:space="preserve">菊地 奏太</t>
  </si>
  <si>
    <t xml:space="preserve">長生 萌百花</t>
  </si>
  <si>
    <t xml:space="preserve">長生 綾乃</t>
  </si>
  <si>
    <t xml:space="preserve">国分寺 美優</t>
  </si>
  <si>
    <t xml:space="preserve">国分寺 梨央</t>
  </si>
  <si>
    <t xml:space="preserve">人見 梨里衣</t>
  </si>
  <si>
    <t xml:space="preserve">藤田 瑞葵</t>
  </si>
  <si>
    <t xml:space="preserve">村瀬 羽菜</t>
  </si>
  <si>
    <t xml:space="preserve">中島 実玲</t>
  </si>
  <si>
    <t xml:space="preserve">富賀見 芽依</t>
  </si>
  <si>
    <t xml:space="preserve">(678)468-0405</t>
  </si>
  <si>
    <t xml:space="preserve">王 東隅</t>
  </si>
  <si>
    <t xml:space="preserve">延輝</t>
  </si>
  <si>
    <t xml:space="preserve">武田 慧</t>
  </si>
  <si>
    <t xml:space="preserve">日野 開翔</t>
  </si>
  <si>
    <t xml:space="preserve">黒田 遼介</t>
  </si>
  <si>
    <t xml:space="preserve">日栁 沙彩</t>
  </si>
  <si>
    <t xml:space="preserve">江嵜 璃海</t>
  </si>
  <si>
    <t xml:space="preserve">山田 悠人</t>
  </si>
  <si>
    <t xml:space="preserve">名和田 大輝</t>
  </si>
  <si>
    <t xml:space="preserve">古畑 生織</t>
  </si>
  <si>
    <t xml:space="preserve">堀内 漣</t>
  </si>
  <si>
    <t xml:space="preserve">拓</t>
  </si>
  <si>
    <t xml:space="preserve">堀内 菜那</t>
  </si>
  <si>
    <t xml:space="preserve">糟谷 環太</t>
  </si>
  <si>
    <t xml:space="preserve">スワンソン 海渡</t>
  </si>
  <si>
    <t xml:space="preserve">(770)547-8224</t>
  </si>
  <si>
    <t xml:space="preserve">大川 真生</t>
  </si>
  <si>
    <t xml:space="preserve">史郎</t>
  </si>
  <si>
    <r>
      <rPr>
        <sz val="10"/>
        <color rgb="FF000000"/>
        <rFont val="Noto Sans CJK SC"/>
        <family val="2"/>
        <charset val="1"/>
      </rPr>
      <t xml:space="preserve">高</t>
    </r>
    <r>
      <rPr>
        <sz val="10"/>
        <color rgb="FF000000"/>
        <rFont val="&quot;ｍｓ 明朝&quot;"/>
        <family val="0"/>
        <charset val="1"/>
      </rPr>
      <t xml:space="preserve">2</t>
    </r>
  </si>
  <si>
    <t xml:space="preserve">大川 詩生</t>
  </si>
  <si>
    <t xml:space="preserve">シールズ 桜</t>
  </si>
  <si>
    <t xml:space="preserve">田中 公香</t>
  </si>
  <si>
    <t xml:space="preserve">濱岡 尚裕</t>
  </si>
  <si>
    <t xml:space="preserve">前田 康喜</t>
  </si>
  <si>
    <t xml:space="preserve">(678)997-5769</t>
  </si>
  <si>
    <t xml:space="preserve">切原 楓大</t>
  </si>
  <si>
    <t xml:space="preserve">与和</t>
  </si>
  <si>
    <t xml:space="preserve">太田 理仁</t>
  </si>
  <si>
    <t xml:space="preserve">川口 恵里佳</t>
  </si>
  <si>
    <t xml:space="preserve">(917)855-3983</t>
  </si>
  <si>
    <t xml:space="preserve">メンツアー 杏</t>
  </si>
  <si>
    <t xml:space="preserve">ジョシュ</t>
  </si>
  <si>
    <t xml:space="preserve">森川 千凪</t>
  </si>
  <si>
    <t xml:space="preserve">大瀧 陽葵</t>
  </si>
  <si>
    <t xml:space="preserve">大塚 ルビー</t>
  </si>
  <si>
    <t xml:space="preserve">莅戸 利紗</t>
  </si>
  <si>
    <t xml:space="preserve">古田 輝朗</t>
  </si>
  <si>
    <t xml:space="preserve">古田 鐘一朗</t>
  </si>
  <si>
    <t xml:space="preserve">アリガンバリ シーナ</t>
  </si>
  <si>
    <t xml:space="preserve">山川 陽大</t>
  </si>
  <si>
    <t xml:space="preserve">(770)268-1599</t>
  </si>
  <si>
    <t xml:space="preserve">古橋 虎太郎</t>
  </si>
  <si>
    <t xml:space="preserve">勇樹</t>
  </si>
  <si>
    <t xml:space="preserve">久留 綾夏</t>
  </si>
  <si>
    <t xml:space="preserve">小川 結愛</t>
  </si>
  <si>
    <t xml:space="preserve">鈴木 想来</t>
  </si>
  <si>
    <t xml:space="preserve">木谷 優治</t>
  </si>
  <si>
    <t xml:space="preserve">(770)845-2567</t>
  </si>
  <si>
    <t xml:space="preserve">加藤 優空</t>
  </si>
  <si>
    <t xml:space="preserve">雅彦</t>
  </si>
  <si>
    <t xml:space="preserve">辻 海澄</t>
  </si>
  <si>
    <t xml:space="preserve">(470)225-0902</t>
  </si>
  <si>
    <t xml:space="preserve">竹本 航</t>
  </si>
  <si>
    <t xml:space="preserve">竹本 さら</t>
  </si>
  <si>
    <t xml:space="preserve">(213)507-1280</t>
  </si>
  <si>
    <t xml:space="preserve">ウィトキンズ 海登</t>
  </si>
  <si>
    <t xml:space="preserve">ナサニエル</t>
  </si>
  <si>
    <t xml:space="preserve">(470)918-8018</t>
  </si>
  <si>
    <t xml:space="preserve">小山田 茂利</t>
  </si>
  <si>
    <t xml:space="preserve">茂行</t>
  </si>
  <si>
    <t xml:space="preserve">辻田 美桜</t>
  </si>
  <si>
    <t xml:space="preserve">山﨑 美宙</t>
  </si>
  <si>
    <t xml:space="preserve">横垣 雪菜</t>
  </si>
  <si>
    <t xml:space="preserve">柳田 唯花</t>
  </si>
  <si>
    <t xml:space="preserve">柳田 舞花</t>
  </si>
  <si>
    <t xml:space="preserve">(706)671-0445</t>
  </si>
  <si>
    <t xml:space="preserve">豊田 ひなた</t>
  </si>
  <si>
    <t xml:space="preserve">賀一</t>
  </si>
  <si>
    <t xml:space="preserve">森 海聖</t>
  </si>
  <si>
    <t xml:space="preserve">加藤 一輝</t>
  </si>
  <si>
    <t xml:space="preserve">加藤 愛梨花</t>
  </si>
  <si>
    <t xml:space="preserve">鎌田 空</t>
  </si>
  <si>
    <t xml:space="preserve">清水 太一</t>
  </si>
  <si>
    <t xml:space="preserve">堂園 玲士</t>
  </si>
  <si>
    <t xml:space="preserve">中井 架</t>
  </si>
  <si>
    <t xml:space="preserve">永田 圭</t>
  </si>
  <si>
    <t xml:space="preserve">(770)686-6896</t>
  </si>
  <si>
    <t xml:space="preserve">上ノ宮 羽瑠</t>
  </si>
  <si>
    <t xml:space="preserve">大尋</t>
  </si>
  <si>
    <t xml:space="preserve">髙木 美良</t>
  </si>
  <si>
    <t xml:space="preserve">ロンドノ 花</t>
  </si>
  <si>
    <t xml:space="preserve">髙田 彩也子</t>
  </si>
  <si>
    <t xml:space="preserve">ホー</t>
  </si>
  <si>
    <t xml:space="preserve">降矢 瑚々</t>
  </si>
  <si>
    <t xml:space="preserve">(678)216-5073</t>
  </si>
  <si>
    <t xml:space="preserve">髙橋 繭衣</t>
  </si>
  <si>
    <t xml:space="preserve">健史</t>
  </si>
  <si>
    <t xml:space="preserve">加藤 夕奈斗</t>
  </si>
  <si>
    <t xml:space="preserve">ピローン 弘樹</t>
  </si>
  <si>
    <t xml:space="preserve">平田 健太郎</t>
  </si>
  <si>
    <t xml:space="preserve">斧 理美</t>
  </si>
  <si>
    <t xml:space="preserve">矢崎 晃子</t>
  </si>
  <si>
    <t xml:space="preserve">藤澤 奏</t>
  </si>
  <si>
    <t xml:space="preserve">岡部 佳衣</t>
  </si>
  <si>
    <t xml:space="preserve">HENDERSON</t>
  </si>
  <si>
    <t xml:space="preserve">(404)718-9162</t>
  </si>
  <si>
    <t xml:space="preserve">ケイトー 藍加</t>
  </si>
  <si>
    <t xml:space="preserve">ウィリアム</t>
  </si>
  <si>
    <t xml:space="preserve">(770)557-8971</t>
  </si>
  <si>
    <t xml:space="preserve">三澤 茉埜 ルイサ</t>
  </si>
  <si>
    <t xml:space="preserve">ビクター</t>
  </si>
  <si>
    <t xml:space="preserve">執行 創志朗</t>
  </si>
  <si>
    <t xml:space="preserve">宅野 希生</t>
  </si>
  <si>
    <t xml:space="preserve">日栁 杏花</t>
  </si>
  <si>
    <t xml:space="preserve">三島 芽愛</t>
  </si>
  <si>
    <t xml:space="preserve">(404)422-0186</t>
  </si>
  <si>
    <t xml:space="preserve">松木 雄登</t>
  </si>
  <si>
    <t xml:space="preserve">茂</t>
  </si>
  <si>
    <t xml:space="preserve">(478)951-5716</t>
  </si>
  <si>
    <t xml:space="preserve">モリソン オリビア桃花</t>
  </si>
  <si>
    <r>
      <rPr>
        <sz val="10"/>
        <color rgb="FFFF0000"/>
        <rFont val="Arial"/>
        <family val="0"/>
        <charset val="1"/>
      </rPr>
      <t xml:space="preserve">Tel</t>
    </r>
    <r>
      <rPr>
        <sz val="10"/>
        <color rgb="FFFF0000"/>
        <rFont val="Noto Sans CJK SC"/>
        <family val="2"/>
        <charset val="1"/>
      </rPr>
      <t xml:space="preserve">とメール赤字は当番用のみの番号。事務局の登録番号とは異なる</t>
    </r>
  </si>
  <si>
    <r>
      <rPr>
        <sz val="9"/>
        <color rgb="FF000000"/>
        <rFont val="Arial"/>
        <family val="0"/>
        <charset val="1"/>
      </rPr>
      <t xml:space="preserve">※3-1</t>
    </r>
    <r>
      <rPr>
        <sz val="9"/>
        <color rgb="FF000000"/>
        <rFont val="Noto Sans CJK SC"/>
        <family val="2"/>
        <charset val="1"/>
      </rPr>
      <t xml:space="preserve">図書委員は</t>
    </r>
    <r>
      <rPr>
        <sz val="9"/>
        <color rgb="FF000000"/>
        <rFont val="Arial"/>
        <family val="0"/>
        <charset val="1"/>
      </rPr>
      <t xml:space="preserve">2</t>
    </r>
    <r>
      <rPr>
        <sz val="9"/>
        <color rgb="FF000000"/>
        <rFont val="Noto Sans CJK SC"/>
        <family val="2"/>
        <charset val="1"/>
      </rPr>
      <t xml:space="preserve">名です。</t>
    </r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Noto Sans CJK SC"/>
        <family val="2"/>
        <charset val="1"/>
      </rPr>
      <t xml:space="preserve">人</t>
    </r>
    <r>
      <rPr>
        <sz val="9"/>
        <color rgb="FF000000"/>
        <rFont val="Arial"/>
        <family val="0"/>
        <charset val="1"/>
      </rPr>
      <t xml:space="preserve">3</t>
    </r>
    <r>
      <rPr>
        <sz val="9"/>
        <color rgb="FF000000"/>
        <rFont val="Noto Sans CJK SC"/>
        <family val="2"/>
        <charset val="1"/>
      </rPr>
      <t xml:space="preserve">回当番になるようにアサインお願いします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  <charset val="1"/>
      </rPr>
      <t xml:space="preserve">ブックフェア含まず</t>
    </r>
    <r>
      <rPr>
        <sz val="9"/>
        <color rgb="FF000000"/>
        <rFont val="Arial"/>
        <family val="0"/>
        <charset val="1"/>
      </rPr>
      <t xml:space="preserve">)</t>
    </r>
    <r>
      <rPr>
        <sz val="9"/>
        <color rgb="FF000000"/>
        <rFont val="Noto Sans CJK SC"/>
        <family val="2"/>
        <charset val="1"/>
      </rPr>
      <t xml:space="preserve">。</t>
    </r>
  </si>
  <si>
    <r>
      <rPr>
        <b val="true"/>
        <sz val="10"/>
        <color theme="1"/>
        <rFont val="Noto Sans CJK SC"/>
        <family val="2"/>
        <charset val="1"/>
      </rPr>
      <t xml:space="preserve">事務局登録</t>
    </r>
    <r>
      <rPr>
        <b val="true"/>
        <sz val="10"/>
        <color theme="1"/>
        <rFont val="Meiryo"/>
        <family val="0"/>
        <charset val="1"/>
      </rPr>
      <t xml:space="preserve">TEL</t>
    </r>
  </si>
  <si>
    <r>
      <rPr>
        <sz val="10"/>
        <color theme="1"/>
        <rFont val="Noto Sans CJK SC"/>
        <family val="2"/>
        <charset val="1"/>
      </rPr>
      <t xml:space="preserve">小</t>
    </r>
    <r>
      <rPr>
        <sz val="10"/>
        <color theme="1"/>
        <rFont val="Arial"/>
        <family val="0"/>
        <charset val="1"/>
      </rPr>
      <t xml:space="preserve">3</t>
    </r>
    <r>
      <rPr>
        <sz val="10"/>
        <color theme="1"/>
        <rFont val="Noto Sans CJK SC"/>
        <family val="2"/>
        <charset val="1"/>
      </rPr>
      <t xml:space="preserve">－</t>
    </r>
    <r>
      <rPr>
        <sz val="10"/>
        <color theme="1"/>
        <rFont val="Arial"/>
        <family val="0"/>
        <charset val="1"/>
      </rPr>
      <t xml:space="preserve">1</t>
    </r>
  </si>
  <si>
    <t xml:space="preserve">高瀬　　 翔太</t>
  </si>
  <si>
    <t xml:space="preserve">10/8,12/10,2/18</t>
  </si>
  <si>
    <t xml:space="preserve">B,B,A</t>
  </si>
  <si>
    <r>
      <rPr>
        <sz val="8"/>
        <color theme="1"/>
        <rFont val="Noto Sans CJK SC"/>
        <family val="2"/>
        <charset val="1"/>
      </rPr>
      <t xml:space="preserve">※退学した畠岡さんと図書委員交代</t>
    </r>
    <r>
      <rPr>
        <sz val="8"/>
        <color theme="1"/>
        <rFont val="Arial"/>
        <family val="0"/>
        <charset val="1"/>
      </rPr>
      <t xml:space="preserve">(3-1</t>
    </r>
    <r>
      <rPr>
        <sz val="8"/>
        <color theme="1"/>
        <rFont val="Noto Sans CJK SC"/>
        <family val="2"/>
        <charset val="1"/>
      </rPr>
      <t xml:space="preserve">は図書委員</t>
    </r>
    <r>
      <rPr>
        <sz val="8"/>
        <color theme="1"/>
        <rFont val="Arial"/>
        <family val="0"/>
        <charset val="1"/>
      </rPr>
      <t xml:space="preserve">2</t>
    </r>
    <r>
      <rPr>
        <sz val="8"/>
        <color theme="1"/>
        <rFont val="Noto Sans CJK SC"/>
        <family val="2"/>
        <charset val="1"/>
      </rPr>
      <t xml:space="preserve">名</t>
    </r>
    <r>
      <rPr>
        <sz val="8"/>
        <color theme="1"/>
        <rFont val="Arial"/>
        <family val="0"/>
        <charset val="1"/>
      </rPr>
      <t xml:space="preserve">)</t>
    </r>
    <r>
      <rPr>
        <sz val="8"/>
        <color theme="1"/>
        <rFont val="Noto Sans CJK SC"/>
        <family val="2"/>
        <charset val="1"/>
      </rPr>
      <t xml:space="preserve">。赤い日付は畠岡さんの残した当番を肩代わり分。</t>
    </r>
  </si>
  <si>
    <t xml:space="preserve">小３−１②</t>
  </si>
  <si>
    <r>
      <rPr>
        <sz val="10"/>
        <color theme="1"/>
        <rFont val="Noto Sans CJK SC"/>
        <family val="2"/>
        <charset val="1"/>
      </rPr>
      <t xml:space="preserve">小</t>
    </r>
    <r>
      <rPr>
        <sz val="10"/>
        <color theme="1"/>
        <rFont val="Arial"/>
        <family val="0"/>
        <charset val="1"/>
      </rPr>
      <t xml:space="preserve">2</t>
    </r>
    <r>
      <rPr>
        <sz val="10"/>
        <color theme="1"/>
        <rFont val="Noto Sans CJK SC"/>
        <family val="2"/>
        <charset val="1"/>
      </rPr>
      <t xml:space="preserve">－</t>
    </r>
    <r>
      <rPr>
        <sz val="10"/>
        <color theme="1"/>
        <rFont val="Arial"/>
        <family val="0"/>
        <charset val="1"/>
      </rPr>
      <t xml:space="preserve">2</t>
    </r>
  </si>
  <si>
    <t xml:space="preserve">津田　　 真咲</t>
  </si>
  <si>
    <r>
      <rPr>
        <sz val="10"/>
        <color theme="1"/>
        <rFont val="Noto Sans CJK SC"/>
        <family val="2"/>
        <charset val="1"/>
      </rPr>
      <t xml:space="preserve">小</t>
    </r>
    <r>
      <rPr>
        <sz val="10"/>
        <color theme="1"/>
        <rFont val="Arial"/>
        <family val="0"/>
        <charset val="1"/>
      </rPr>
      <t xml:space="preserve">4</t>
    </r>
    <r>
      <rPr>
        <sz val="10"/>
        <color theme="1"/>
        <rFont val="Noto Sans CJK SC"/>
        <family val="2"/>
        <charset val="1"/>
      </rPr>
      <t xml:space="preserve">－</t>
    </r>
    <r>
      <rPr>
        <sz val="10"/>
        <color theme="1"/>
        <rFont val="Arial"/>
        <family val="0"/>
        <charset val="1"/>
      </rPr>
      <t xml:space="preserve">1</t>
    </r>
  </si>
  <si>
    <t xml:space="preserve">田代　　 実</t>
  </si>
  <si>
    <r>
      <rPr>
        <sz val="10"/>
        <color theme="1"/>
        <rFont val="Noto Sans CJK SC"/>
        <family val="2"/>
        <charset val="1"/>
      </rPr>
      <t xml:space="preserve">小</t>
    </r>
    <r>
      <rPr>
        <sz val="10"/>
        <color theme="1"/>
        <rFont val="Arial"/>
        <family val="0"/>
        <charset val="1"/>
      </rPr>
      <t xml:space="preserve">2</t>
    </r>
    <r>
      <rPr>
        <sz val="10"/>
        <color theme="1"/>
        <rFont val="Noto Sans CJK SC"/>
        <family val="2"/>
        <charset val="1"/>
      </rPr>
      <t xml:space="preserve">－</t>
    </r>
    <r>
      <rPr>
        <sz val="10"/>
        <color theme="1"/>
        <rFont val="Arial"/>
        <family val="0"/>
        <charset val="1"/>
      </rPr>
      <t xml:space="preserve">1</t>
    </r>
  </si>
  <si>
    <t xml:space="preserve">渡部　　 公太</t>
  </si>
  <si>
    <t xml:space="preserve">(706)386-6298</t>
  </si>
  <si>
    <t xml:space="preserve">川島　　 匠真　　</t>
  </si>
  <si>
    <t xml:space="preserve">淳平</t>
  </si>
  <si>
    <t xml:space="preserve">myjptk@yahoo.co.jp</t>
  </si>
  <si>
    <t xml:space="preserve">川島　　 一真</t>
  </si>
  <si>
    <t xml:space="preserve">冨永　　 純平</t>
  </si>
  <si>
    <r>
      <rPr>
        <sz val="8"/>
        <color theme="1"/>
        <rFont val="Arial"/>
        <family val="0"/>
        <charset val="1"/>
      </rPr>
      <t xml:space="preserve">7/10</t>
    </r>
    <r>
      <rPr>
        <sz val="8"/>
        <color theme="1"/>
        <rFont val="Noto Sans CJK SC"/>
        <family val="2"/>
        <charset val="1"/>
      </rPr>
      <t xml:space="preserve">保護者より電話番号訂正あり➝事務局へ連絡済</t>
    </r>
  </si>
  <si>
    <r>
      <rPr>
        <sz val="10"/>
        <color theme="1"/>
        <rFont val="Noto Sans CJK SC"/>
        <family val="2"/>
        <charset val="1"/>
      </rPr>
      <t xml:space="preserve">小</t>
    </r>
    <r>
      <rPr>
        <sz val="10"/>
        <color theme="1"/>
        <rFont val="Arial"/>
        <family val="0"/>
        <charset val="1"/>
      </rPr>
      <t xml:space="preserve">2</t>
    </r>
    <r>
      <rPr>
        <sz val="10"/>
        <color theme="1"/>
        <rFont val="Noto Sans CJK SC"/>
        <family val="2"/>
        <charset val="1"/>
      </rPr>
      <t xml:space="preserve">－</t>
    </r>
    <r>
      <rPr>
        <sz val="10"/>
        <color theme="1"/>
        <rFont val="Arial"/>
        <family val="0"/>
        <charset val="1"/>
      </rPr>
      <t xml:space="preserve">3</t>
    </r>
  </si>
  <si>
    <t xml:space="preserve">江川　　 紗彩</t>
  </si>
  <si>
    <r>
      <rPr>
        <sz val="10"/>
        <color theme="1"/>
        <rFont val="Arial"/>
        <family val="0"/>
        <charset val="1"/>
      </rPr>
      <t xml:space="preserve">5/14</t>
    </r>
    <r>
      <rPr>
        <sz val="10"/>
        <color theme="1"/>
        <rFont val="Noto Sans CJK SC"/>
        <family val="2"/>
        <charset val="1"/>
      </rPr>
      <t xml:space="preserve">＆</t>
    </r>
    <r>
      <rPr>
        <sz val="10"/>
        <color theme="1"/>
        <rFont val="Arial"/>
        <family val="0"/>
        <charset val="1"/>
      </rPr>
      <t xml:space="preserve">5/28</t>
    </r>
  </si>
  <si>
    <r>
      <rPr>
        <sz val="10"/>
        <color theme="1"/>
        <rFont val="Arial"/>
        <family val="0"/>
        <charset val="1"/>
      </rPr>
      <t xml:space="preserve">D</t>
    </r>
    <r>
      <rPr>
        <sz val="10"/>
        <color theme="1"/>
        <rFont val="Noto Sans CJK SC"/>
        <family val="2"/>
        <charset val="1"/>
      </rPr>
      <t xml:space="preserve">＆</t>
    </r>
    <r>
      <rPr>
        <sz val="10"/>
        <color theme="1"/>
        <rFont val="Arial"/>
        <family val="0"/>
        <charset val="1"/>
      </rPr>
      <t xml:space="preserve">D</t>
    </r>
  </si>
  <si>
    <t xml:space="preserve">＊</t>
  </si>
  <si>
    <r>
      <rPr>
        <sz val="8"/>
        <color theme="1"/>
        <rFont val="Noto Sans CJK SC"/>
        <family val="2"/>
        <charset val="1"/>
      </rPr>
      <t xml:space="preserve">行事委員にもかかわらず図書当番になったためパトロールは免除か回数少な目で。</t>
    </r>
    <r>
      <rPr>
        <sz val="8"/>
        <color theme="1"/>
        <rFont val="Arial"/>
        <family val="0"/>
        <charset val="1"/>
      </rPr>
      <t xml:space="preserve">5/16</t>
    </r>
    <r>
      <rPr>
        <sz val="8"/>
        <color theme="1"/>
        <rFont val="Noto Sans CJK SC"/>
        <family val="2"/>
        <charset val="1"/>
      </rPr>
      <t xml:space="preserve">松本さんと変更。</t>
    </r>
    <r>
      <rPr>
        <sz val="8"/>
        <color theme="1"/>
        <rFont val="Arial"/>
        <family val="0"/>
        <charset val="1"/>
      </rPr>
      <t xml:space="preserve">5/28</t>
    </r>
    <r>
      <rPr>
        <sz val="8"/>
        <color theme="1"/>
        <rFont val="Noto Sans CJK SC"/>
        <family val="2"/>
        <charset val="1"/>
      </rPr>
      <t xml:space="preserve">は退学の田中さんの身代わり。</t>
    </r>
  </si>
  <si>
    <t xml:space="preserve">佐藤　　 清花</t>
  </si>
  <si>
    <t xml:space="preserve">佐藤　　 ほのか</t>
  </si>
  <si>
    <r>
      <rPr>
        <sz val="10"/>
        <color theme="1"/>
        <rFont val="Noto Sans CJK SC"/>
        <family val="2"/>
        <charset val="1"/>
      </rPr>
      <t xml:space="preserve">幼</t>
    </r>
    <r>
      <rPr>
        <sz val="10"/>
        <color theme="1"/>
        <rFont val="Arial"/>
        <family val="0"/>
        <charset val="1"/>
      </rPr>
      <t xml:space="preserve">,</t>
    </r>
    <r>
      <rPr>
        <sz val="10"/>
        <color theme="1"/>
        <rFont val="Noto Sans CJK SC"/>
        <family val="2"/>
        <charset val="1"/>
      </rPr>
      <t xml:space="preserve">小２，小４</t>
    </r>
  </si>
  <si>
    <t xml:space="preserve">kinoknoyama62.hk@gmail.com;wataru.kawabe@us.panasonic.com</t>
  </si>
  <si>
    <t xml:space="preserve">川部　　 楓太</t>
  </si>
  <si>
    <r>
      <rPr>
        <sz val="8"/>
        <color theme="1"/>
        <rFont val="Arial"/>
        <family val="0"/>
        <charset val="1"/>
      </rPr>
      <t xml:space="preserve">9</t>
    </r>
    <r>
      <rPr>
        <sz val="8"/>
        <color theme="1"/>
        <rFont val="Noto Sans CJK SC"/>
        <family val="2"/>
        <charset val="1"/>
      </rPr>
      <t xml:space="preserve">月にアサイン予定だったパトロール当番を、</t>
    </r>
    <r>
      <rPr>
        <sz val="8"/>
        <color theme="1"/>
        <rFont val="Arial"/>
        <family val="0"/>
        <charset val="1"/>
      </rPr>
      <t xml:space="preserve">8/20</t>
    </r>
    <r>
      <rPr>
        <sz val="8"/>
        <color theme="1"/>
        <rFont val="Noto Sans CJK SC"/>
        <family val="2"/>
        <charset val="1"/>
      </rPr>
      <t xml:space="preserve">の井口さん</t>
    </r>
    <r>
      <rPr>
        <sz val="8"/>
        <color theme="1"/>
        <rFont val="Arial"/>
        <family val="0"/>
        <charset val="1"/>
      </rPr>
      <t xml:space="preserve">(</t>
    </r>
    <r>
      <rPr>
        <sz val="8"/>
        <color theme="1"/>
        <rFont val="Noto Sans CJK SC"/>
        <family val="2"/>
        <charset val="1"/>
      </rPr>
      <t xml:space="preserve">交代者を探さずに退学</t>
    </r>
    <r>
      <rPr>
        <sz val="8"/>
        <color theme="1"/>
        <rFont val="Arial"/>
        <family val="0"/>
        <charset val="1"/>
      </rPr>
      <t xml:space="preserve">)</t>
    </r>
    <r>
      <rPr>
        <sz val="8"/>
        <color theme="1"/>
        <rFont val="Noto Sans CJK SC"/>
        <family val="2"/>
        <charset val="1"/>
      </rPr>
      <t xml:space="preserve">と交代して頂きました。</t>
    </r>
  </si>
  <si>
    <t xml:space="preserve">西島　　 浩貴</t>
  </si>
  <si>
    <t xml:space="preserve">8/6,10/8,1/14</t>
  </si>
  <si>
    <r>
      <rPr>
        <sz val="8"/>
        <color theme="1"/>
        <rFont val="Arial"/>
        <family val="0"/>
        <charset val="1"/>
      </rPr>
      <t xml:space="preserve">6</t>
    </r>
    <r>
      <rPr>
        <sz val="8"/>
        <color theme="1"/>
        <rFont val="Noto Sans CJK SC"/>
        <family val="2"/>
        <charset val="1"/>
      </rPr>
      <t xml:space="preserve">月一時帰国の為不在</t>
    </r>
  </si>
  <si>
    <t xml:space="preserve">(470)454-0104</t>
  </si>
  <si>
    <t xml:space="preserve">宮園　　 佳穂　　</t>
  </si>
  <si>
    <t xml:space="preserve">海斗</t>
  </si>
  <si>
    <t xml:space="preserve">miho.mmkm16529@gmail.com</t>
  </si>
  <si>
    <t xml:space="preserve">宮園　　 洋斗</t>
  </si>
  <si>
    <t xml:space="preserve">6/4,8/13,9/17,10/29,1/14,3/4</t>
  </si>
  <si>
    <t xml:space="preserve">A,B,A,C,A,C</t>
  </si>
  <si>
    <r>
      <rPr>
        <sz val="10"/>
        <color theme="1"/>
        <rFont val="Noto Sans CJK SC"/>
        <family val="2"/>
        <charset val="1"/>
      </rPr>
      <t xml:space="preserve">小</t>
    </r>
    <r>
      <rPr>
        <sz val="10"/>
        <color theme="1"/>
        <rFont val="Arial"/>
        <family val="0"/>
        <charset val="1"/>
      </rPr>
      <t xml:space="preserve">3</t>
    </r>
    <r>
      <rPr>
        <sz val="10"/>
        <color theme="1"/>
        <rFont val="Noto Sans CJK SC"/>
        <family val="2"/>
        <charset val="1"/>
      </rPr>
      <t xml:space="preserve">－</t>
    </r>
    <r>
      <rPr>
        <sz val="10"/>
        <color theme="1"/>
        <rFont val="Arial"/>
        <family val="0"/>
        <charset val="1"/>
      </rPr>
      <t xml:space="preserve">2</t>
    </r>
  </si>
  <si>
    <t xml:space="preserve">六反　　 千遥</t>
  </si>
  <si>
    <r>
      <rPr>
        <sz val="10"/>
        <color theme="1"/>
        <rFont val="Noto Sans CJK SC"/>
        <family val="2"/>
        <charset val="1"/>
      </rPr>
      <t xml:space="preserve">小</t>
    </r>
    <r>
      <rPr>
        <sz val="10"/>
        <color theme="1"/>
        <rFont val="Arial"/>
        <family val="0"/>
        <charset val="1"/>
      </rPr>
      <t xml:space="preserve">5</t>
    </r>
    <r>
      <rPr>
        <sz val="10"/>
        <color theme="1"/>
        <rFont val="Noto Sans CJK SC"/>
        <family val="2"/>
        <charset val="1"/>
      </rPr>
      <t xml:space="preserve">－</t>
    </r>
    <r>
      <rPr>
        <sz val="10"/>
        <color theme="1"/>
        <rFont val="Arial"/>
        <family val="0"/>
        <charset val="1"/>
      </rPr>
      <t xml:space="preserve">1</t>
    </r>
  </si>
  <si>
    <t xml:space="preserve">六反　　 智葵</t>
  </si>
  <si>
    <t xml:space="preserve">1/21,3/11</t>
  </si>
  <si>
    <t xml:space="preserve">C,B</t>
  </si>
  <si>
    <r>
      <rPr>
        <sz val="8"/>
        <color theme="1"/>
        <rFont val="Arial"/>
        <family val="0"/>
        <charset val="1"/>
      </rPr>
      <t xml:space="preserve">12/17</t>
    </r>
    <r>
      <rPr>
        <sz val="8"/>
        <color theme="1"/>
        <rFont val="Noto Sans CJK SC"/>
        <family val="2"/>
        <charset val="1"/>
      </rPr>
      <t xml:space="preserve">付で退学した</t>
    </r>
    <r>
      <rPr>
        <sz val="8"/>
        <color theme="1"/>
        <rFont val="Arial"/>
        <family val="0"/>
        <charset val="1"/>
      </rPr>
      <t xml:space="preserve">3-2</t>
    </r>
    <r>
      <rPr>
        <sz val="8"/>
        <color theme="1"/>
        <rFont val="Noto Sans CJK SC"/>
        <family val="2"/>
        <charset val="1"/>
      </rPr>
      <t xml:space="preserve">大畑理仁さんの後任で図書委員繰上り</t>
    </r>
  </si>
  <si>
    <t xml:space="preserve">伊藤　　 さくら</t>
  </si>
  <si>
    <t xml:space="preserve">伊藤　　 あずさ</t>
  </si>
  <si>
    <r>
      <rPr>
        <sz val="10"/>
        <color theme="1"/>
        <rFont val="Noto Sans CJK SC"/>
        <family val="2"/>
        <charset val="1"/>
      </rPr>
      <t xml:space="preserve">中</t>
    </r>
    <r>
      <rPr>
        <sz val="10"/>
        <color theme="1"/>
        <rFont val="Arial"/>
        <family val="0"/>
        <charset val="1"/>
      </rPr>
      <t xml:space="preserve">2</t>
    </r>
    <r>
      <rPr>
        <sz val="10"/>
        <color theme="1"/>
        <rFont val="Noto Sans CJK SC"/>
        <family val="2"/>
        <charset val="1"/>
      </rPr>
      <t xml:space="preserve">－</t>
    </r>
    <r>
      <rPr>
        <sz val="10"/>
        <color theme="1"/>
        <rFont val="Arial"/>
        <family val="0"/>
        <charset val="1"/>
      </rPr>
      <t xml:space="preserve">1</t>
    </r>
  </si>
  <si>
    <t xml:space="preserve">山口　　 美奈子</t>
  </si>
  <si>
    <t xml:space="preserve">4/23,5/14,8/27,10/22,1/7,2/25</t>
  </si>
  <si>
    <t xml:space="preserve">C,B,A,B,C,A</t>
  </si>
  <si>
    <t xml:space="preserve">池永　　 眞弥</t>
  </si>
  <si>
    <t xml:space="preserve">6/4,8/13,10/1,11/12,1/21,3/11</t>
  </si>
  <si>
    <t xml:space="preserve">B,C,A,C,B,A</t>
  </si>
  <si>
    <t xml:space="preserve">小田　　 彰士</t>
  </si>
  <si>
    <t xml:space="preserve">作元　　 瑛太　　</t>
  </si>
  <si>
    <t xml:space="preserve">chisato.mail.0714@gmail.com;m.sakumoto17@gmail.com</t>
  </si>
  <si>
    <t xml:space="preserve">作元　　 要太</t>
  </si>
  <si>
    <t xml:space="preserve">chisato.mail.0714@gmail.com</t>
  </si>
  <si>
    <t xml:space="preserve">宮嶋　　 希子</t>
  </si>
  <si>
    <t xml:space="preserve">6/4,9/17,12/10,3/11</t>
  </si>
  <si>
    <r>
      <rPr>
        <sz val="10"/>
        <color theme="1"/>
        <rFont val="Noto Sans CJK SC"/>
        <family val="2"/>
        <charset val="1"/>
      </rPr>
      <t xml:space="preserve">小</t>
    </r>
    <r>
      <rPr>
        <sz val="10"/>
        <color theme="1"/>
        <rFont val="Arial"/>
        <family val="0"/>
        <charset val="1"/>
      </rPr>
      <t xml:space="preserve">1</t>
    </r>
    <r>
      <rPr>
        <sz val="10"/>
        <color theme="1"/>
        <rFont val="Noto Sans CJK SC"/>
        <family val="2"/>
        <charset val="1"/>
      </rPr>
      <t xml:space="preserve">－</t>
    </r>
    <r>
      <rPr>
        <sz val="10"/>
        <color theme="1"/>
        <rFont val="Arial"/>
        <family val="0"/>
        <charset val="1"/>
      </rPr>
      <t xml:space="preserve">3</t>
    </r>
  </si>
  <si>
    <t xml:space="preserve">綾部　　 賢造</t>
  </si>
  <si>
    <r>
      <rPr>
        <sz val="8"/>
        <color theme="1"/>
        <rFont val="Arial"/>
        <family val="0"/>
        <charset val="1"/>
      </rPr>
      <t xml:space="preserve">happysanaichigo@gmail.com</t>
    </r>
    <r>
      <rPr>
        <sz val="8"/>
        <color theme="1"/>
        <rFont val="Noto Sans CJK SC"/>
        <family val="2"/>
        <charset val="1"/>
      </rPr>
      <t xml:space="preserve">のメルアドは不要</t>
    </r>
  </si>
  <si>
    <t xml:space="preserve">近藤　　 巧</t>
  </si>
  <si>
    <t xml:space="preserve">(706)238-3484</t>
  </si>
  <si>
    <t xml:space="preserve">鈴山　　 たお　　</t>
  </si>
  <si>
    <t xml:space="preserve">madokasuzuyama@gmail.com</t>
  </si>
  <si>
    <t xml:space="preserve">鈴山　　 大晴</t>
  </si>
  <si>
    <t xml:space="preserve">林　　　 美桜</t>
  </si>
  <si>
    <t xml:space="preserve">F</t>
  </si>
  <si>
    <t xml:space="preserve">当番の際の連絡先変更</t>
  </si>
  <si>
    <t xml:space="preserve">木本　　 咲衣　　</t>
  </si>
  <si>
    <t xml:space="preserve">mkimoto.1125@gmail.com</t>
  </si>
  <si>
    <t xml:space="preserve">木本　　 陽真</t>
  </si>
  <si>
    <r>
      <rPr>
        <sz val="10"/>
        <color theme="1"/>
        <rFont val="Noto Sans CJK SC"/>
        <family val="2"/>
        <charset val="1"/>
      </rPr>
      <t xml:space="preserve">幼</t>
    </r>
    <r>
      <rPr>
        <sz val="10"/>
        <color theme="1"/>
        <rFont val="Arial"/>
        <family val="0"/>
        <charset val="1"/>
      </rPr>
      <t xml:space="preserve">,</t>
    </r>
    <r>
      <rPr>
        <sz val="10"/>
        <color theme="1"/>
        <rFont val="Noto Sans CJK SC"/>
        <family val="2"/>
        <charset val="1"/>
      </rPr>
      <t xml:space="preserve">小２</t>
    </r>
  </si>
  <si>
    <t xml:space="preserve">(404)547-2990</t>
  </si>
  <si>
    <t xml:space="preserve">内山　　 絵美理　</t>
  </si>
  <si>
    <t xml:space="preserve">浩太</t>
  </si>
  <si>
    <t xml:space="preserve">kota.uchiyama@hotmail.com;kotauchiyama@kpmg.com</t>
  </si>
  <si>
    <t xml:space="preserve">kotauchiyama@kpmg.com</t>
  </si>
  <si>
    <t xml:space="preserve">(770)823-4301</t>
  </si>
  <si>
    <t xml:space="preserve">橋本　　 陸</t>
  </si>
  <si>
    <t xml:space="preserve">浩輔</t>
  </si>
  <si>
    <t xml:space="preserve">84hashi2015@gmail.con;84hashi2015@gmail.com</t>
  </si>
  <si>
    <r>
      <rPr>
        <sz val="10"/>
        <color theme="1"/>
        <rFont val="Noto Sans CJK SC"/>
        <family val="2"/>
        <charset val="1"/>
      </rPr>
      <t xml:space="preserve">小</t>
    </r>
    <r>
      <rPr>
        <sz val="10"/>
        <color theme="1"/>
        <rFont val="Arial"/>
        <family val="0"/>
        <charset val="1"/>
      </rPr>
      <t xml:space="preserve">4</t>
    </r>
    <r>
      <rPr>
        <sz val="10"/>
        <color theme="1"/>
        <rFont val="Noto Sans CJK SC"/>
        <family val="2"/>
        <charset val="1"/>
      </rPr>
      <t xml:space="preserve">－</t>
    </r>
    <r>
      <rPr>
        <sz val="10"/>
        <color theme="1"/>
        <rFont val="Arial"/>
        <family val="0"/>
        <charset val="1"/>
      </rPr>
      <t xml:space="preserve">2</t>
    </r>
  </si>
  <si>
    <t xml:space="preserve">橋本　　 樹　　　</t>
  </si>
  <si>
    <r>
      <rPr>
        <sz val="8"/>
        <color theme="1"/>
        <rFont val="Arial"/>
        <family val="0"/>
        <charset val="1"/>
      </rPr>
      <t xml:space="preserve">1</t>
    </r>
    <r>
      <rPr>
        <sz val="8"/>
        <color theme="1"/>
        <rFont val="Noto Sans CJK SC"/>
        <family val="2"/>
        <charset val="1"/>
      </rPr>
      <t xml:space="preserve">月</t>
    </r>
    <r>
      <rPr>
        <sz val="8"/>
        <color theme="1"/>
        <rFont val="Arial"/>
        <family val="0"/>
        <charset val="1"/>
      </rPr>
      <t xml:space="preserve">14</t>
    </r>
    <r>
      <rPr>
        <sz val="8"/>
        <color theme="1"/>
        <rFont val="Noto Sans CJK SC"/>
        <family val="2"/>
        <charset val="1"/>
      </rPr>
      <t xml:space="preserve">日で退学</t>
    </r>
  </si>
  <si>
    <t xml:space="preserve">小４</t>
  </si>
  <si>
    <t xml:space="preserve">84hashi2015@gmail.com</t>
  </si>
  <si>
    <t xml:space="preserve">山根　　 綾乃</t>
  </si>
  <si>
    <r>
      <rPr>
        <sz val="10"/>
        <color theme="1"/>
        <rFont val="Noto Sans CJK SC"/>
        <family val="2"/>
        <charset val="1"/>
      </rPr>
      <t xml:space="preserve">小</t>
    </r>
    <r>
      <rPr>
        <sz val="10"/>
        <color theme="1"/>
        <rFont val="Arial"/>
        <family val="0"/>
        <charset val="1"/>
      </rPr>
      <t xml:space="preserve">5-2</t>
    </r>
  </si>
  <si>
    <t xml:space="preserve">山根　　 陸</t>
  </si>
  <si>
    <t xml:space="preserve">事務局より お母様の電話番号へ連絡先を変更</t>
  </si>
  <si>
    <t xml:space="preserve">磯部 　　侑理</t>
  </si>
  <si>
    <t xml:space="preserve">西　　　 美咲</t>
  </si>
  <si>
    <r>
      <rPr>
        <sz val="10"/>
        <color theme="1"/>
        <rFont val="Noto Sans CJK SC"/>
        <family val="2"/>
        <charset val="1"/>
      </rPr>
      <t xml:space="preserve">小</t>
    </r>
    <r>
      <rPr>
        <sz val="10"/>
        <color theme="1"/>
        <rFont val="Arial"/>
        <family val="0"/>
        <charset val="1"/>
      </rPr>
      <t xml:space="preserve">4-1</t>
    </r>
  </si>
  <si>
    <t xml:space="preserve">西　　　 朝輝</t>
  </si>
  <si>
    <r>
      <rPr>
        <sz val="8"/>
        <color theme="1"/>
        <rFont val="Noto Sans CJK SC"/>
        <family val="2"/>
        <charset val="1"/>
      </rPr>
      <t xml:space="preserve">竜輝のみ</t>
    </r>
    <r>
      <rPr>
        <sz val="8"/>
        <color theme="1"/>
        <rFont val="Arial"/>
        <family val="0"/>
        <charset val="1"/>
      </rPr>
      <t xml:space="preserve">8/6/2022</t>
    </r>
    <r>
      <rPr>
        <sz val="8"/>
        <color theme="1"/>
        <rFont val="Noto Sans CJK SC"/>
        <family val="2"/>
        <charset val="1"/>
      </rPr>
      <t xml:space="preserve">編入</t>
    </r>
  </si>
  <si>
    <r>
      <rPr>
        <sz val="10"/>
        <color theme="1"/>
        <rFont val="Noto Sans CJK SC"/>
        <family val="2"/>
        <charset val="1"/>
      </rPr>
      <t xml:space="preserve">小</t>
    </r>
    <r>
      <rPr>
        <sz val="10"/>
        <color theme="1"/>
        <rFont val="Arial"/>
        <family val="0"/>
        <charset val="1"/>
      </rPr>
      <t xml:space="preserve">1</t>
    </r>
    <r>
      <rPr>
        <sz val="10"/>
        <color theme="1"/>
        <rFont val="Noto Sans CJK SC"/>
        <family val="2"/>
        <charset val="1"/>
      </rPr>
      <t xml:space="preserve">－</t>
    </r>
    <r>
      <rPr>
        <sz val="10"/>
        <color theme="1"/>
        <rFont val="Arial"/>
        <family val="0"/>
        <charset val="1"/>
      </rPr>
      <t xml:space="preserve">1</t>
    </r>
  </si>
  <si>
    <t xml:space="preserve">齋藤　　 理子</t>
  </si>
  <si>
    <r>
      <rPr>
        <sz val="8"/>
        <color theme="1"/>
        <rFont val="Arial"/>
        <family val="0"/>
        <charset val="1"/>
      </rPr>
      <t xml:space="preserve">9/8</t>
    </r>
    <r>
      <rPr>
        <sz val="8"/>
        <color theme="1"/>
        <rFont val="Noto Sans CJK SC"/>
        <family val="2"/>
        <charset val="1"/>
      </rPr>
      <t xml:space="preserve">当日は父が対応。父電話に変更。</t>
    </r>
  </si>
  <si>
    <t xml:space="preserve">渡辺　　 遼</t>
  </si>
  <si>
    <r>
      <rPr>
        <sz val="10"/>
        <color theme="1"/>
        <rFont val="Noto Sans CJK SC"/>
        <family val="2"/>
        <charset val="1"/>
      </rPr>
      <t xml:space="preserve">小１</t>
    </r>
    <r>
      <rPr>
        <sz val="10"/>
        <color theme="1"/>
        <rFont val="Arial"/>
        <family val="0"/>
        <charset val="1"/>
      </rPr>
      <t xml:space="preserve">,</t>
    </r>
    <r>
      <rPr>
        <sz val="10"/>
        <color theme="1"/>
        <rFont val="Noto Sans CJK SC"/>
        <family val="2"/>
        <charset val="1"/>
      </rPr>
      <t xml:space="preserve">小４</t>
    </r>
  </si>
  <si>
    <t xml:space="preserve">井手　　 優花</t>
  </si>
  <si>
    <t xml:space="preserve">髙田　　 湊介</t>
  </si>
  <si>
    <t xml:space="preserve">5/7,8/6,9/24,11/12,1/21,3/11</t>
  </si>
  <si>
    <t xml:space="preserve">A,B,C,B,A,C</t>
  </si>
  <si>
    <t xml:space="preserve">村瀬　　 友翔</t>
  </si>
  <si>
    <t xml:space="preserve">松本　　 拓己</t>
  </si>
  <si>
    <t xml:space="preserve">emysellen@icloud.com</t>
  </si>
  <si>
    <t xml:space="preserve">セレン　 さな</t>
  </si>
  <si>
    <r>
      <rPr>
        <sz val="10"/>
        <color theme="1"/>
        <rFont val="Noto Sans CJK SC"/>
        <family val="2"/>
        <charset val="1"/>
      </rPr>
      <t xml:space="preserve">小</t>
    </r>
    <r>
      <rPr>
        <sz val="10"/>
        <color theme="1"/>
        <rFont val="Arial"/>
        <family val="0"/>
        <charset val="1"/>
      </rPr>
      <t xml:space="preserve">6</t>
    </r>
    <r>
      <rPr>
        <sz val="10"/>
        <color theme="1"/>
        <rFont val="Noto Sans CJK SC"/>
        <family val="2"/>
        <charset val="1"/>
      </rPr>
      <t xml:space="preserve">ー</t>
    </r>
    <r>
      <rPr>
        <sz val="10"/>
        <color theme="1"/>
        <rFont val="Arial"/>
        <family val="0"/>
        <charset val="1"/>
      </rPr>
      <t xml:space="preserve">1</t>
    </r>
  </si>
  <si>
    <t xml:space="preserve">良原　　 康太</t>
  </si>
  <si>
    <r>
      <rPr>
        <sz val="10"/>
        <color theme="1"/>
        <rFont val="Noto Sans CJK SC"/>
        <family val="2"/>
        <charset val="1"/>
      </rPr>
      <t xml:space="preserve">小</t>
    </r>
    <r>
      <rPr>
        <sz val="10"/>
        <color theme="1"/>
        <rFont val="Arial"/>
        <family val="0"/>
        <charset val="1"/>
      </rPr>
      <t xml:space="preserve">1</t>
    </r>
    <r>
      <rPr>
        <sz val="10"/>
        <color theme="1"/>
        <rFont val="Noto Sans CJK SC"/>
        <family val="2"/>
        <charset val="1"/>
      </rPr>
      <t xml:space="preserve">－</t>
    </r>
    <r>
      <rPr>
        <sz val="10"/>
        <color theme="1"/>
        <rFont val="Arial"/>
        <family val="0"/>
        <charset val="1"/>
      </rPr>
      <t xml:space="preserve">2</t>
    </r>
  </si>
  <si>
    <r>
      <rPr>
        <sz val="10"/>
        <color theme="1"/>
        <rFont val="Noto Sans CJK SC"/>
        <family val="2"/>
        <charset val="1"/>
      </rPr>
      <t xml:space="preserve">小</t>
    </r>
    <r>
      <rPr>
        <sz val="10"/>
        <color theme="1"/>
        <rFont val="Arial"/>
        <family val="0"/>
        <charset val="1"/>
      </rPr>
      <t xml:space="preserve">6</t>
    </r>
    <r>
      <rPr>
        <sz val="10"/>
        <color theme="1"/>
        <rFont val="Noto Sans CJK SC"/>
        <family val="2"/>
        <charset val="1"/>
      </rPr>
      <t xml:space="preserve">－</t>
    </r>
    <r>
      <rPr>
        <sz val="10"/>
        <color theme="1"/>
        <rFont val="Arial"/>
        <family val="0"/>
        <charset val="1"/>
      </rPr>
      <t xml:space="preserve">2</t>
    </r>
  </si>
  <si>
    <t xml:space="preserve">薮田　　 愛子</t>
  </si>
  <si>
    <r>
      <rPr>
        <sz val="8"/>
        <color theme="1"/>
        <rFont val="Arial"/>
        <family val="0"/>
        <charset val="1"/>
      </rPr>
      <t xml:space="preserve">10/29 </t>
    </r>
    <r>
      <rPr>
        <sz val="8"/>
        <color theme="1"/>
        <rFont val="Noto Sans CJK SC"/>
        <family val="2"/>
        <charset val="1"/>
      </rPr>
      <t xml:space="preserve">大河内さん交代によってパトロール担当</t>
    </r>
  </si>
  <si>
    <t xml:space="preserve">5/14,8/13,10/1,12/3,2/4</t>
  </si>
  <si>
    <t xml:space="preserve">C,A,C,A,B</t>
  </si>
  <si>
    <t xml:space="preserve">岡本　　 祥弥　　</t>
  </si>
  <si>
    <t xml:space="preserve">komiyu0409@gmail.com</t>
  </si>
  <si>
    <t xml:space="preserve">岡本　　 啓吾</t>
  </si>
  <si>
    <t xml:space="preserve">北井　　 大和</t>
  </si>
  <si>
    <t xml:space="preserve">宮田　　 亜美</t>
  </si>
  <si>
    <r>
      <rPr>
        <sz val="10"/>
        <color theme="1"/>
        <rFont val="Noto Sans CJK SC"/>
        <family val="2"/>
        <charset val="1"/>
      </rPr>
      <t xml:space="preserve">小１</t>
    </r>
    <r>
      <rPr>
        <sz val="10"/>
        <color theme="1"/>
        <rFont val="Arial"/>
        <family val="0"/>
        <charset val="1"/>
      </rPr>
      <t xml:space="preserve">,</t>
    </r>
    <r>
      <rPr>
        <sz val="10"/>
        <color theme="1"/>
        <rFont val="Noto Sans CJK SC"/>
        <family val="2"/>
        <charset val="1"/>
      </rPr>
      <t xml:space="preserve">小３</t>
    </r>
  </si>
  <si>
    <r>
      <rPr>
        <sz val="10"/>
        <color theme="1"/>
        <rFont val="Noto Sans CJK SC"/>
        <family val="2"/>
        <charset val="1"/>
      </rPr>
      <t xml:space="preserve">小</t>
    </r>
    <r>
      <rPr>
        <sz val="10"/>
        <color theme="1"/>
        <rFont val="Arial"/>
        <family val="0"/>
        <charset val="1"/>
      </rPr>
      <t xml:space="preserve">6</t>
    </r>
    <r>
      <rPr>
        <sz val="10"/>
        <color theme="1"/>
        <rFont val="Noto Sans CJK SC"/>
        <family val="2"/>
        <charset val="1"/>
      </rPr>
      <t xml:space="preserve">－</t>
    </r>
    <r>
      <rPr>
        <sz val="10"/>
        <color theme="1"/>
        <rFont val="Arial"/>
        <family val="0"/>
        <charset val="1"/>
      </rPr>
      <t xml:space="preserve">1</t>
    </r>
  </si>
  <si>
    <t xml:space="preserve">モリソン 智秀</t>
  </si>
  <si>
    <r>
      <rPr>
        <sz val="10"/>
        <color theme="1"/>
        <rFont val="Noto Sans CJK SC"/>
        <family val="2"/>
        <charset val="1"/>
      </rPr>
      <t xml:space="preserve">小１</t>
    </r>
    <r>
      <rPr>
        <sz val="10"/>
        <color theme="1"/>
        <rFont val="Arial"/>
        <family val="0"/>
        <charset val="1"/>
      </rPr>
      <t xml:space="preserve">,</t>
    </r>
    <r>
      <rPr>
        <sz val="10"/>
        <color theme="1"/>
        <rFont val="Noto Sans CJK SC"/>
        <family val="2"/>
        <charset val="1"/>
      </rPr>
      <t xml:space="preserve">小６</t>
    </r>
  </si>
  <si>
    <t xml:space="preserve">(478)250-5761</t>
  </si>
  <si>
    <t xml:space="preserve">藤崎　　 環　　　</t>
  </si>
  <si>
    <t xml:space="preserve">歩</t>
  </si>
  <si>
    <t xml:space="preserve">lego05.af@gmail.com;mikaramu8102@yahoo.co.jp</t>
  </si>
  <si>
    <t xml:space="preserve">mikaramu8102@yahoo.co.jp</t>
  </si>
  <si>
    <t xml:space="preserve">山崎　　 玲奈</t>
  </si>
  <si>
    <t xml:space="preserve">井上　　 柚乃</t>
  </si>
  <si>
    <r>
      <rPr>
        <sz val="8"/>
        <color theme="1"/>
        <rFont val="Noto Sans CJK SC"/>
        <family val="2"/>
        <charset val="1"/>
      </rPr>
      <t xml:space="preserve">もともと</t>
    </r>
    <r>
      <rPr>
        <sz val="8"/>
        <color theme="1"/>
        <rFont val="Arial"/>
        <family val="0"/>
        <charset val="1"/>
      </rPr>
      <t xml:space="preserve">10</t>
    </r>
    <r>
      <rPr>
        <sz val="8"/>
        <color theme="1"/>
        <rFont val="Noto Sans CJK SC"/>
        <family val="2"/>
        <charset val="1"/>
      </rPr>
      <t xml:space="preserve">月担当であったが、薮田さんにやってもらうことになった。</t>
    </r>
  </si>
  <si>
    <t xml:space="preserve">シェルナット 莉彩　　</t>
  </si>
  <si>
    <t xml:space="preserve">nako.shelnut@gmail.com</t>
  </si>
  <si>
    <t xml:space="preserve">石井　　 佑典</t>
  </si>
  <si>
    <t xml:space="preserve">事務局より　電話番号を母携帯へ変更</t>
  </si>
  <si>
    <r>
      <rPr>
        <sz val="10"/>
        <color theme="1"/>
        <rFont val="Noto Sans CJK SC"/>
        <family val="2"/>
        <charset val="1"/>
      </rPr>
      <t xml:space="preserve">小</t>
    </r>
    <r>
      <rPr>
        <sz val="10"/>
        <color theme="1"/>
        <rFont val="Arial"/>
        <family val="0"/>
        <charset val="1"/>
      </rPr>
      <t xml:space="preserve">1</t>
    </r>
    <r>
      <rPr>
        <sz val="10"/>
        <color theme="1"/>
        <rFont val="Noto Sans CJK SC"/>
        <family val="2"/>
        <charset val="1"/>
      </rPr>
      <t xml:space="preserve">ー</t>
    </r>
    <r>
      <rPr>
        <sz val="10"/>
        <color theme="1"/>
        <rFont val="Arial"/>
        <family val="0"/>
        <charset val="1"/>
      </rPr>
      <t xml:space="preserve">2</t>
    </r>
  </si>
  <si>
    <r>
      <rPr>
        <sz val="10"/>
        <color theme="1"/>
        <rFont val="Noto Sans CJK SC"/>
        <family val="2"/>
        <charset val="1"/>
      </rPr>
      <t xml:space="preserve">小</t>
    </r>
    <r>
      <rPr>
        <sz val="10"/>
        <color theme="1"/>
        <rFont val="Arial"/>
        <family val="0"/>
        <charset val="1"/>
      </rPr>
      <t xml:space="preserve">4</t>
    </r>
    <r>
      <rPr>
        <sz val="10"/>
        <color theme="1"/>
        <rFont val="Noto Sans CJK SC"/>
        <family val="2"/>
        <charset val="1"/>
      </rPr>
      <t xml:space="preserve">ー</t>
    </r>
    <r>
      <rPr>
        <sz val="10"/>
        <color theme="1"/>
        <rFont val="Arial"/>
        <family val="0"/>
        <charset val="1"/>
      </rPr>
      <t xml:space="preserve">1</t>
    </r>
  </si>
  <si>
    <t xml:space="preserve">川嶋　　 優維</t>
  </si>
  <si>
    <t xml:space="preserve">松井　　 真優</t>
  </si>
  <si>
    <t xml:space="preserve">4/9,6/18,11/5,2/11</t>
  </si>
  <si>
    <t xml:space="preserve">(843)687-1453</t>
  </si>
  <si>
    <t xml:space="preserve">本田　　 英志　　</t>
  </si>
  <si>
    <t xml:space="preserve">幹人</t>
  </si>
  <si>
    <t xml:space="preserve">kiyonochika@gmail.com</t>
  </si>
  <si>
    <t xml:space="preserve">mikito_honda@na.honda.com;kiyonochika@gmail.com</t>
  </si>
  <si>
    <t xml:space="preserve">(770)853-1385</t>
  </si>
  <si>
    <t xml:space="preserve">細川　　 利修　　</t>
  </si>
  <si>
    <t xml:space="preserve">haruyo83@hotmail.com</t>
  </si>
  <si>
    <r>
      <rPr>
        <sz val="8"/>
        <color theme="1"/>
        <rFont val="Arial"/>
        <family val="0"/>
        <charset val="1"/>
      </rPr>
      <t xml:space="preserve">12</t>
    </r>
    <r>
      <rPr>
        <sz val="8"/>
        <color theme="1"/>
        <rFont val="Noto Sans CJK SC"/>
        <family val="2"/>
        <charset val="1"/>
      </rPr>
      <t xml:space="preserve">月</t>
    </r>
    <r>
      <rPr>
        <sz val="8"/>
        <color theme="1"/>
        <rFont val="Arial"/>
        <family val="0"/>
        <charset val="1"/>
      </rPr>
      <t xml:space="preserve">17</t>
    </r>
    <r>
      <rPr>
        <sz val="8"/>
        <color theme="1"/>
        <rFont val="Noto Sans CJK SC"/>
        <family val="2"/>
        <charset val="1"/>
      </rPr>
      <t xml:space="preserve">日で退学、メールアドレス変更</t>
    </r>
    <r>
      <rPr>
        <sz val="8"/>
        <color theme="1"/>
        <rFont val="Arial"/>
        <family val="0"/>
        <charset val="1"/>
      </rPr>
      <t xml:space="preserve">haruyo83@hotmail.com</t>
    </r>
  </si>
  <si>
    <t xml:space="preserve">(706)346-1162</t>
  </si>
  <si>
    <t xml:space="preserve">畠岡　　 柊空　　</t>
  </si>
  <si>
    <t xml:space="preserve">健太</t>
  </si>
  <si>
    <t xml:space="preserve">shuuu.toaaa.0225@icloud.com</t>
  </si>
  <si>
    <t xml:space="preserve">畠岡　　 柊羽</t>
  </si>
  <si>
    <t xml:space="preserve">10/8①,②,10/22</t>
  </si>
  <si>
    <t xml:space="preserve">A,B,B</t>
  </si>
  <si>
    <r>
      <rPr>
        <sz val="8"/>
        <color theme="1"/>
        <rFont val="Arial"/>
        <family val="0"/>
        <charset val="1"/>
      </rPr>
      <t xml:space="preserve">※222</t>
    </r>
    <r>
      <rPr>
        <sz val="8"/>
        <color theme="1"/>
        <rFont val="Noto Sans CJK SC"/>
        <family val="2"/>
        <charset val="1"/>
      </rPr>
      <t xml:space="preserve">年度</t>
    </r>
    <r>
      <rPr>
        <sz val="8"/>
        <color theme="1"/>
        <rFont val="Arial"/>
        <family val="0"/>
        <charset val="1"/>
      </rPr>
      <t xml:space="preserve">1</t>
    </r>
    <r>
      <rPr>
        <sz val="8"/>
        <color theme="1"/>
        <rFont val="Noto Sans CJK SC"/>
        <family val="2"/>
        <charset val="1"/>
      </rPr>
      <t xml:space="preserve">学期一時帰国のため、</t>
    </r>
    <r>
      <rPr>
        <sz val="8"/>
        <color theme="1"/>
        <rFont val="Arial"/>
        <family val="0"/>
        <charset val="1"/>
      </rPr>
      <t xml:space="preserve">2,3</t>
    </r>
    <r>
      <rPr>
        <sz val="8"/>
        <color theme="1"/>
        <rFont val="Noto Sans CJK SC"/>
        <family val="2"/>
        <charset val="1"/>
      </rPr>
      <t xml:space="preserve">学期に図書当番集中→</t>
    </r>
    <r>
      <rPr>
        <sz val="8"/>
        <color theme="1"/>
        <rFont val="Arial"/>
        <family val="0"/>
        <charset val="1"/>
      </rPr>
      <t xml:space="preserve">10/8①</t>
    </r>
    <r>
      <rPr>
        <sz val="8"/>
        <color theme="1"/>
        <rFont val="Noto Sans CJK SC"/>
        <family val="2"/>
        <charset val="1"/>
      </rPr>
      <t xml:space="preserve">のみ当番来校予定</t>
    </r>
    <r>
      <rPr>
        <sz val="8"/>
        <color theme="1"/>
        <rFont val="Arial"/>
        <family val="0"/>
        <charset val="1"/>
      </rPr>
      <t xml:space="preserve">(</t>
    </r>
    <r>
      <rPr>
        <sz val="8"/>
        <color theme="1"/>
        <rFont val="Noto Sans CJK SC"/>
        <family val="2"/>
        <charset val="1"/>
      </rPr>
      <t xml:space="preserve">残り</t>
    </r>
    <r>
      <rPr>
        <sz val="8"/>
        <color theme="1"/>
        <rFont val="Arial"/>
        <family val="0"/>
        <charset val="1"/>
      </rPr>
      <t xml:space="preserve">2</t>
    </r>
    <r>
      <rPr>
        <sz val="8"/>
        <color theme="1"/>
        <rFont val="Noto Sans CJK SC"/>
        <family val="2"/>
        <charset val="1"/>
      </rPr>
      <t xml:space="preserve">日は次期委員が引き継ぐ予定</t>
    </r>
    <r>
      <rPr>
        <sz val="8"/>
        <color theme="1"/>
        <rFont val="Arial"/>
        <family val="0"/>
        <charset val="1"/>
      </rPr>
      <t xml:space="preserve">)</t>
    </r>
  </si>
  <si>
    <t xml:space="preserve">(404)490-7012</t>
  </si>
  <si>
    <t xml:space="preserve">下原　　 瑛太　　</t>
  </si>
  <si>
    <t xml:space="preserve">千城</t>
  </si>
  <si>
    <t xml:space="preserve">uni.ikura.1021@gmail.com</t>
  </si>
  <si>
    <t xml:space="preserve">下原　　 楓華</t>
  </si>
  <si>
    <t xml:space="preserve">4/9,5/28,6/18,10/8,12/17,2/18</t>
  </si>
  <si>
    <t xml:space="preserve">B,B,A,A,C,B</t>
  </si>
  <si>
    <r>
      <rPr>
        <sz val="8"/>
        <color theme="1"/>
        <rFont val="Noto Sans CJK SC"/>
        <family val="2"/>
        <charset val="1"/>
      </rPr>
      <t xml:space="preserve">メルアドはこちらへ</t>
    </r>
    <r>
      <rPr>
        <sz val="8"/>
        <color theme="1"/>
        <rFont val="Arial"/>
        <family val="0"/>
        <charset val="1"/>
      </rPr>
      <t xml:space="preserve">gakuyuno1098@gmail.com</t>
    </r>
  </si>
  <si>
    <t xml:space="preserve">松本　　 大輝</t>
  </si>
  <si>
    <t xml:space="preserve">稲森　　 新太郎</t>
  </si>
  <si>
    <r>
      <rPr>
        <sz val="10"/>
        <color theme="1"/>
        <rFont val="Noto Sans CJK SC"/>
        <family val="2"/>
        <charset val="1"/>
      </rPr>
      <t xml:space="preserve">中</t>
    </r>
    <r>
      <rPr>
        <sz val="10"/>
        <color theme="1"/>
        <rFont val="Arial"/>
        <family val="0"/>
        <charset val="1"/>
      </rPr>
      <t xml:space="preserve">3</t>
    </r>
    <r>
      <rPr>
        <sz val="10"/>
        <color theme="1"/>
        <rFont val="Noto Sans CJK SC"/>
        <family val="2"/>
        <charset val="1"/>
      </rPr>
      <t xml:space="preserve">－</t>
    </r>
    <r>
      <rPr>
        <sz val="10"/>
        <color theme="1"/>
        <rFont val="Arial"/>
        <family val="0"/>
        <charset val="1"/>
      </rPr>
      <t xml:space="preserve">1</t>
    </r>
  </si>
  <si>
    <t xml:space="preserve">稲森　　 恵理子</t>
  </si>
  <si>
    <t xml:space="preserve">松野　　 宮臥</t>
  </si>
  <si>
    <t xml:space="preserve">森川　　 美桜</t>
  </si>
  <si>
    <r>
      <rPr>
        <sz val="10"/>
        <color theme="1"/>
        <rFont val="Noto Sans CJK SC"/>
        <family val="2"/>
        <charset val="1"/>
      </rPr>
      <t xml:space="preserve">中</t>
    </r>
    <r>
      <rPr>
        <sz val="10"/>
        <color theme="1"/>
        <rFont val="Arial"/>
        <family val="0"/>
        <charset val="1"/>
      </rPr>
      <t xml:space="preserve">1</t>
    </r>
    <r>
      <rPr>
        <sz val="10"/>
        <color theme="1"/>
        <rFont val="Noto Sans CJK SC"/>
        <family val="2"/>
        <charset val="1"/>
      </rPr>
      <t xml:space="preserve">－</t>
    </r>
    <r>
      <rPr>
        <sz val="10"/>
        <color theme="1"/>
        <rFont val="Arial"/>
        <family val="0"/>
        <charset val="1"/>
      </rPr>
      <t xml:space="preserve">1</t>
    </r>
  </si>
  <si>
    <t xml:space="preserve">森川　　 礼美</t>
  </si>
  <si>
    <t xml:space="preserve">二村　　 美怜　　</t>
  </si>
  <si>
    <t xml:space="preserve">藤田　　 虹南 </t>
  </si>
  <si>
    <t xml:space="preserve">藤田　　 虹光 </t>
  </si>
  <si>
    <r>
      <rPr>
        <sz val="8"/>
        <color theme="1"/>
        <rFont val="Arial"/>
        <family val="0"/>
        <charset val="1"/>
      </rPr>
      <t xml:space="preserve">8/5 (478)319-3212</t>
    </r>
    <r>
      <rPr>
        <sz val="8"/>
        <color theme="1"/>
        <rFont val="Noto Sans CJK SC"/>
        <family val="2"/>
        <charset val="1"/>
      </rPr>
      <t xml:space="preserve">当番の連絡先変更</t>
    </r>
  </si>
  <si>
    <t xml:space="preserve">橋本　　 典沙</t>
  </si>
  <si>
    <r>
      <rPr>
        <sz val="8"/>
        <color theme="1"/>
        <rFont val="Noto Sans CJK SC"/>
        <family val="2"/>
        <charset val="1"/>
      </rPr>
      <t xml:space="preserve">ご主人の電話番号あり</t>
    </r>
    <r>
      <rPr>
        <sz val="8"/>
        <color theme="1"/>
        <rFont val="Arial"/>
        <family val="0"/>
        <charset val="1"/>
      </rPr>
      <t xml:space="preserve">(470)361-3654</t>
    </r>
  </si>
  <si>
    <t xml:space="preserve">中村　　 色</t>
  </si>
  <si>
    <r>
      <rPr>
        <sz val="8"/>
        <color theme="1"/>
        <rFont val="Arial"/>
        <family val="0"/>
        <charset val="1"/>
      </rPr>
      <t xml:space="preserve">-&gt; 11/12</t>
    </r>
    <r>
      <rPr>
        <sz val="8"/>
        <color theme="1"/>
        <rFont val="Noto Sans CJK SC"/>
        <family val="2"/>
        <charset val="1"/>
      </rPr>
      <t xml:space="preserve">に変更</t>
    </r>
    <r>
      <rPr>
        <sz val="8"/>
        <color theme="1"/>
        <rFont val="Arial"/>
        <family val="0"/>
        <charset val="1"/>
      </rPr>
      <t xml:space="preserve">(</t>
    </r>
    <r>
      <rPr>
        <sz val="8"/>
        <color theme="1"/>
        <rFont val="Noto Sans CJK SC"/>
        <family val="2"/>
        <charset val="1"/>
      </rPr>
      <t xml:space="preserve">南條さんと）</t>
    </r>
  </si>
  <si>
    <t xml:space="preserve">中村　　 慧</t>
  </si>
  <si>
    <t xml:space="preserve">(678)276-6325</t>
  </si>
  <si>
    <t xml:space="preserve">紙森　　 智也　　</t>
  </si>
  <si>
    <t xml:space="preserve">拓弥</t>
  </si>
  <si>
    <t xml:space="preserve">mio.kamimori718@gmail.com</t>
  </si>
  <si>
    <t xml:space="preserve">紙森　　 大綺</t>
  </si>
  <si>
    <t xml:space="preserve">(678)416-3002</t>
  </si>
  <si>
    <t xml:space="preserve">砂廣　　 奏太　　</t>
  </si>
  <si>
    <t xml:space="preserve">一雄</t>
  </si>
  <si>
    <t xml:space="preserve">ysunahiro@gmail.com</t>
  </si>
  <si>
    <t xml:space="preserve">砂廣　　 凌空</t>
  </si>
  <si>
    <t xml:space="preserve">中井　　 志帆　　</t>
  </si>
  <si>
    <t xml:space="preserve">kanako.nk2525@gmail.com</t>
  </si>
  <si>
    <t xml:space="preserve">中井　　 航太郎</t>
  </si>
  <si>
    <r>
      <rPr>
        <sz val="8"/>
        <color theme="1"/>
        <rFont val="Arial"/>
        <family val="0"/>
        <charset val="1"/>
      </rPr>
      <t xml:space="preserve">9/9 </t>
    </r>
    <r>
      <rPr>
        <sz val="8"/>
        <color theme="1"/>
        <rFont val="Noto Sans CJK SC"/>
        <family val="2"/>
        <charset val="1"/>
      </rPr>
      <t xml:space="preserve">事務局電話番号修正依頼</t>
    </r>
  </si>
  <si>
    <t xml:space="preserve">滝田　　 莉子　　</t>
  </si>
  <si>
    <t xml:space="preserve">kouichi-nozomi@hotmail.co.jp</t>
  </si>
  <si>
    <t xml:space="preserve">(470)519-6385</t>
  </si>
  <si>
    <t xml:space="preserve">田中　　 杏奈　　</t>
  </si>
  <si>
    <t xml:space="preserve">康浩</t>
  </si>
  <si>
    <t xml:space="preserve">4/9,5/21,8/20,10/22,1/7,2/25</t>
  </si>
  <si>
    <t xml:space="preserve">A,C,B,A,B,C</t>
  </si>
  <si>
    <t xml:space="preserve">鈴木        煌生</t>
  </si>
  <si>
    <t xml:space="preserve">大嶋        七海</t>
  </si>
  <si>
    <t xml:space="preserve">髙木　　 凌磨</t>
  </si>
  <si>
    <r>
      <rPr>
        <sz val="10"/>
        <color theme="1"/>
        <rFont val="Noto Sans CJK SC"/>
        <family val="2"/>
        <charset val="1"/>
      </rPr>
      <t xml:space="preserve">小２</t>
    </r>
    <r>
      <rPr>
        <sz val="10"/>
        <color theme="1"/>
        <rFont val="Arial"/>
        <family val="0"/>
        <charset val="1"/>
      </rPr>
      <t xml:space="preserve">,</t>
    </r>
    <r>
      <rPr>
        <sz val="10"/>
        <color theme="1"/>
        <rFont val="Noto Sans CJK SC"/>
        <family val="2"/>
        <charset val="1"/>
      </rPr>
      <t xml:space="preserve">小４</t>
    </r>
  </si>
  <si>
    <t xml:space="preserve">(706)980-0019</t>
  </si>
  <si>
    <t xml:space="preserve">辻　　　 結人　　</t>
  </si>
  <si>
    <t xml:space="preserve">eritsuji1006@gmail.com</t>
  </si>
  <si>
    <r>
      <rPr>
        <sz val="8"/>
        <color theme="1"/>
        <rFont val="Noto Sans CJK SC"/>
        <family val="2"/>
        <charset val="1"/>
      </rPr>
      <t xml:space="preserve">事務局登録の電話番号に間違いありー＞修正しました</t>
    </r>
    <r>
      <rPr>
        <sz val="8"/>
        <color theme="1"/>
        <rFont val="Arial"/>
        <family val="0"/>
        <charset val="1"/>
      </rPr>
      <t xml:space="preserve">5/3</t>
    </r>
    <r>
      <rPr>
        <sz val="8"/>
        <color theme="1"/>
        <rFont val="Noto Sans CJK SC"/>
        <family val="2"/>
        <charset val="1"/>
      </rPr>
      <t xml:space="preserve">、</t>
    </r>
    <r>
      <rPr>
        <sz val="8"/>
        <color theme="1"/>
        <rFont val="Arial"/>
        <family val="0"/>
        <charset val="1"/>
      </rPr>
      <t xml:space="preserve">12</t>
    </r>
    <r>
      <rPr>
        <sz val="8"/>
        <color theme="1"/>
        <rFont val="Noto Sans CJK SC"/>
        <family val="2"/>
        <charset val="1"/>
      </rPr>
      <t xml:space="preserve">月</t>
    </r>
    <r>
      <rPr>
        <sz val="8"/>
        <color theme="1"/>
        <rFont val="Arial"/>
        <family val="0"/>
        <charset val="1"/>
      </rPr>
      <t xml:space="preserve">17</t>
    </r>
    <r>
      <rPr>
        <sz val="8"/>
        <color theme="1"/>
        <rFont val="Noto Sans CJK SC"/>
        <family val="2"/>
        <charset val="1"/>
      </rPr>
      <t xml:space="preserve">日で退学</t>
    </r>
  </si>
  <si>
    <t xml:space="preserve">川西　　 悠斗</t>
  </si>
  <si>
    <t xml:space="preserve">川西　　 葵</t>
  </si>
  <si>
    <t xml:space="preserve">重久　　 瑚奈</t>
  </si>
  <si>
    <r>
      <rPr>
        <sz val="10"/>
        <color theme="1"/>
        <rFont val="Noto Sans CJK SC"/>
        <family val="2"/>
        <charset val="1"/>
      </rPr>
      <t xml:space="preserve">小２</t>
    </r>
    <r>
      <rPr>
        <sz val="10"/>
        <color theme="1"/>
        <rFont val="Arial"/>
        <family val="0"/>
        <charset val="1"/>
      </rPr>
      <t xml:space="preserve">,</t>
    </r>
    <r>
      <rPr>
        <sz val="10"/>
        <color theme="1"/>
        <rFont val="Noto Sans CJK SC"/>
        <family val="2"/>
        <charset val="1"/>
      </rPr>
      <t xml:space="preserve">中１ー１</t>
    </r>
    <r>
      <rPr>
        <sz val="10"/>
        <color theme="1"/>
        <rFont val="Arial"/>
        <family val="0"/>
        <charset val="1"/>
      </rPr>
      <t xml:space="preserve">,</t>
    </r>
    <r>
      <rPr>
        <sz val="10"/>
        <color theme="1"/>
        <rFont val="Noto Sans CJK SC"/>
        <family val="2"/>
        <charset val="1"/>
      </rPr>
      <t xml:space="preserve">高１</t>
    </r>
  </si>
  <si>
    <t xml:space="preserve">中島　　 快</t>
  </si>
  <si>
    <t xml:space="preserve">yn37214@gmail.com</t>
  </si>
  <si>
    <t xml:space="preserve">中島　　 凜</t>
  </si>
  <si>
    <r>
      <rPr>
        <sz val="10"/>
        <color theme="1"/>
        <rFont val="Noto Sans CJK SC"/>
        <family val="2"/>
        <charset val="1"/>
      </rPr>
      <t xml:space="preserve">中１－１</t>
    </r>
    <r>
      <rPr>
        <sz val="10"/>
        <color theme="1"/>
        <rFont val="Arial"/>
        <family val="0"/>
        <charset val="1"/>
      </rPr>
      <t xml:space="preserve">,</t>
    </r>
    <r>
      <rPr>
        <sz val="10"/>
        <color theme="1"/>
        <rFont val="Noto Sans CJK SC"/>
        <family val="2"/>
        <charset val="1"/>
      </rPr>
      <t xml:space="preserve">中３－１</t>
    </r>
  </si>
  <si>
    <t xml:space="preserve">田中　　 伸弥</t>
  </si>
  <si>
    <t xml:space="preserve">田中　　 孝治</t>
  </si>
  <si>
    <r>
      <rPr>
        <sz val="10"/>
        <color theme="1"/>
        <rFont val="Noto Sans CJK SC"/>
        <family val="2"/>
        <charset val="1"/>
      </rPr>
      <t xml:space="preserve">小２－２</t>
    </r>
    <r>
      <rPr>
        <sz val="10"/>
        <color theme="1"/>
        <rFont val="Arial"/>
        <family val="0"/>
        <charset val="1"/>
      </rPr>
      <t xml:space="preserve">,</t>
    </r>
    <r>
      <rPr>
        <sz val="10"/>
        <color theme="1"/>
        <rFont val="Noto Sans CJK SC"/>
        <family val="2"/>
        <charset val="1"/>
      </rPr>
      <t xml:space="preserve">小２－３</t>
    </r>
    <r>
      <rPr>
        <sz val="10"/>
        <color theme="1"/>
        <rFont val="Arial"/>
        <family val="0"/>
        <charset val="1"/>
      </rPr>
      <t xml:space="preserve">,</t>
    </r>
    <r>
      <rPr>
        <sz val="10"/>
        <color theme="1"/>
        <rFont val="Noto Sans CJK SC"/>
        <family val="2"/>
        <charset val="1"/>
      </rPr>
      <t xml:space="preserve">中１－１</t>
    </r>
  </si>
  <si>
    <t xml:space="preserve">原田　　 悠生　　</t>
  </si>
  <si>
    <t xml:space="preserve">ba088018@icloud.com</t>
  </si>
  <si>
    <r>
      <rPr>
        <sz val="10"/>
        <color theme="1"/>
        <rFont val="Noto Sans CJK SC"/>
        <family val="2"/>
        <charset val="1"/>
      </rPr>
      <t xml:space="preserve">小</t>
    </r>
    <r>
      <rPr>
        <sz val="10"/>
        <color theme="1"/>
        <rFont val="Arial"/>
        <family val="0"/>
        <charset val="1"/>
      </rPr>
      <t xml:space="preserve">5</t>
    </r>
    <r>
      <rPr>
        <sz val="10"/>
        <color theme="1"/>
        <rFont val="Noto Sans CJK SC"/>
        <family val="2"/>
        <charset val="1"/>
      </rPr>
      <t xml:space="preserve">－</t>
    </r>
    <r>
      <rPr>
        <sz val="10"/>
        <color theme="1"/>
        <rFont val="Arial"/>
        <family val="0"/>
        <charset val="1"/>
      </rPr>
      <t xml:space="preserve">2</t>
    </r>
  </si>
  <si>
    <t xml:space="preserve">原田　　 侑奈</t>
  </si>
  <si>
    <r>
      <rPr>
        <sz val="10"/>
        <color theme="1"/>
        <rFont val="Noto Sans CJK SC"/>
        <family val="2"/>
        <charset val="1"/>
      </rPr>
      <t xml:space="preserve">小２－２</t>
    </r>
    <r>
      <rPr>
        <sz val="10"/>
        <color theme="1"/>
        <rFont val="Arial"/>
        <family val="0"/>
        <charset val="1"/>
      </rPr>
      <t xml:space="preserve">,</t>
    </r>
    <r>
      <rPr>
        <sz val="10"/>
        <color theme="1"/>
        <rFont val="Noto Sans CJK SC"/>
        <family val="2"/>
        <charset val="1"/>
      </rPr>
      <t xml:space="preserve">小５－２</t>
    </r>
  </si>
  <si>
    <t xml:space="preserve">矢田　　 夏樹</t>
  </si>
  <si>
    <t xml:space="preserve">(678)237-5982</t>
  </si>
  <si>
    <t xml:space="preserve">中山　　 心晴　　</t>
  </si>
  <si>
    <t xml:space="preserve">健二</t>
  </si>
  <si>
    <t xml:space="preserve">mayumi9141@gmail.com;knj0607@gmail.com</t>
  </si>
  <si>
    <t xml:space="preserve">mayumi9141@gmail.com</t>
  </si>
  <si>
    <r>
      <rPr>
        <sz val="8"/>
        <color theme="1"/>
        <rFont val="Arial"/>
        <family val="0"/>
        <charset val="1"/>
      </rPr>
      <t xml:space="preserve">6</t>
    </r>
    <r>
      <rPr>
        <sz val="8"/>
        <color theme="1"/>
        <rFont val="Noto Sans CJK SC"/>
        <family val="2"/>
        <charset val="1"/>
      </rPr>
      <t xml:space="preserve">月は日本に帰国、後期まとめてやりたい</t>
    </r>
  </si>
  <si>
    <t xml:space="preserve">(470)237-6469</t>
  </si>
  <si>
    <t xml:space="preserve">大野　　 陽莉　　</t>
  </si>
  <si>
    <t xml:space="preserve">孝之</t>
  </si>
  <si>
    <t xml:space="preserve">chie.ohno428@gmail.com</t>
  </si>
  <si>
    <t xml:space="preserve">大野　　 莉音</t>
  </si>
  <si>
    <t xml:space="preserve">(478)318-7120</t>
  </si>
  <si>
    <t xml:space="preserve">尾田　　 彩優希　</t>
  </si>
  <si>
    <t xml:space="preserve">shigeruoda@ykk.com;yuka-0811@hotomail.com</t>
  </si>
  <si>
    <t xml:space="preserve">尾田　　 稜晟</t>
  </si>
  <si>
    <t xml:space="preserve">(206)250-0962</t>
  </si>
  <si>
    <t xml:space="preserve">井口　　 悠真　　</t>
  </si>
  <si>
    <t xml:space="preserve">PHUA</t>
  </si>
  <si>
    <t xml:space="preserve">akiko.iguchi@gmail.com</t>
  </si>
  <si>
    <t xml:space="preserve">井口　　 健太郎</t>
  </si>
  <si>
    <r>
      <rPr>
        <sz val="8"/>
        <color theme="1"/>
        <rFont val="Arial"/>
        <family val="0"/>
        <charset val="1"/>
      </rPr>
      <t xml:space="preserve">5/21</t>
    </r>
    <r>
      <rPr>
        <sz val="8"/>
        <color theme="1"/>
        <rFont val="Noto Sans CJK SC"/>
        <family val="2"/>
        <charset val="1"/>
      </rPr>
      <t xml:space="preserve">退学 当番を交代してくれる方を探すよう依頼済み
→6/26音信不通</t>
    </r>
  </si>
  <si>
    <t xml:space="preserve">(470)461-3369</t>
  </si>
  <si>
    <t xml:space="preserve">宮田　　 海心　　</t>
  </si>
  <si>
    <t xml:space="preserve">繁明</t>
  </si>
  <si>
    <t xml:space="preserve">mickey_miyata@yamaha-motor.com;naoko0618@gmail.com</t>
  </si>
  <si>
    <t xml:space="preserve">宮田　　 一空</t>
  </si>
  <si>
    <r>
      <rPr>
        <sz val="10"/>
        <color theme="1"/>
        <rFont val="Noto Sans CJK SC"/>
        <family val="2"/>
        <charset val="1"/>
      </rPr>
      <t xml:space="preserve">高</t>
    </r>
    <r>
      <rPr>
        <sz val="10"/>
        <color theme="1"/>
        <rFont val="Arial"/>
        <family val="0"/>
        <charset val="1"/>
      </rPr>
      <t xml:space="preserve">1</t>
    </r>
  </si>
  <si>
    <t xml:space="preserve">宮田　　 天心</t>
  </si>
  <si>
    <t xml:space="preserve">mickey_miyata@yamaha-motor.com;Naoko0618@gmail.com</t>
  </si>
  <si>
    <t xml:space="preserve">村見　　 晴琉</t>
  </si>
  <si>
    <t xml:space="preserve">4/16,5/21,9/3,10/22,1/7,2/25</t>
  </si>
  <si>
    <t xml:space="preserve">B,A,C,C,A,B</t>
  </si>
  <si>
    <t xml:space="preserve">栗山　　 郁史　　</t>
  </si>
  <si>
    <t xml:space="preserve">kaoring0601@gmail.com</t>
  </si>
  <si>
    <t xml:space="preserve">小２－３</t>
  </si>
  <si>
    <t xml:space="preserve">(310)961-7049</t>
  </si>
  <si>
    <t xml:space="preserve">丹治　　 開斗　　</t>
  </si>
  <si>
    <t xml:space="preserve">尚一</t>
  </si>
  <si>
    <t xml:space="preserve">aloha_20081130@yahoo.co.jp</t>
  </si>
  <si>
    <t xml:space="preserve">丹治　　 穂乃香</t>
  </si>
  <si>
    <t xml:space="preserve">(404)357-6861</t>
  </si>
  <si>
    <t xml:space="preserve">小澤　　 理央　　</t>
  </si>
  <si>
    <t xml:space="preserve">risanatsukozawa@gmail.com</t>
  </si>
  <si>
    <t xml:space="preserve">小澤　　 里沙</t>
  </si>
  <si>
    <t xml:space="preserve">小澤　　 佐奈</t>
  </si>
  <si>
    <r>
      <rPr>
        <sz val="10"/>
        <color theme="1"/>
        <rFont val="Arial"/>
        <family val="0"/>
        <charset val="1"/>
      </rPr>
      <t xml:space="preserve">4/23.</t>
    </r>
    <r>
      <rPr>
        <strike val="true"/>
        <sz val="10"/>
        <color theme="1"/>
        <rFont val="Arial"/>
        <family val="0"/>
        <charset val="1"/>
      </rPr>
      <t xml:space="preserve">8/20</t>
    </r>
  </si>
  <si>
    <r>
      <rPr>
        <sz val="8"/>
        <color theme="1"/>
        <rFont val="Arial"/>
        <family val="0"/>
        <charset val="1"/>
      </rPr>
      <t xml:space="preserve">5/28</t>
    </r>
    <r>
      <rPr>
        <sz val="8"/>
        <color theme="1"/>
        <rFont val="Noto Sans CJK SC"/>
        <family val="2"/>
        <charset val="1"/>
      </rPr>
      <t xml:space="preserve">退学　</t>
    </r>
    <r>
      <rPr>
        <sz val="8"/>
        <color theme="1"/>
        <rFont val="Arial"/>
        <family val="0"/>
        <charset val="1"/>
      </rPr>
      <t xml:space="preserve">4-1</t>
    </r>
    <r>
      <rPr>
        <sz val="8"/>
        <color theme="1"/>
        <rFont val="Noto Sans CJK SC"/>
        <family val="2"/>
        <charset val="1"/>
      </rPr>
      <t xml:space="preserve">竹嶋さんと安全対策委員交代</t>
    </r>
  </si>
  <si>
    <t xml:space="preserve">荒木　　 那月　　</t>
  </si>
  <si>
    <t xml:space="preserve">ryoko0703jp@gmail.com</t>
  </si>
  <si>
    <t xml:space="preserve">難波　　 香羽</t>
  </si>
  <si>
    <t xml:space="preserve">難波　　 孝太朗</t>
  </si>
  <si>
    <t xml:space="preserve">山中　　 嵩</t>
  </si>
  <si>
    <t xml:space="preserve">富岡　　 彩　　　</t>
  </si>
  <si>
    <t xml:space="preserve">yuko_tomioka116@yahoo.co.jp;kazumasa-tomioka@hotmail.co.jp</t>
  </si>
  <si>
    <t xml:space="preserve">富岡　　 希実</t>
  </si>
  <si>
    <t xml:space="preserve">4/9,5/28,8/20,10/1,12/10,2/11</t>
  </si>
  <si>
    <t xml:space="preserve">C,A,C,B,A,B</t>
  </si>
  <si>
    <t xml:space="preserve">yuko_tomioka116@yahoo.co.jp</t>
  </si>
  <si>
    <t xml:space="preserve">(770)235-6716</t>
  </si>
  <si>
    <t xml:space="preserve">小澤　　 里奈　　</t>
  </si>
  <si>
    <t xml:space="preserve">隆</t>
  </si>
  <si>
    <t xml:space="preserve">aiozawa51@gmail.com</t>
  </si>
  <si>
    <t xml:space="preserve">佐久間　 瑛心</t>
  </si>
  <si>
    <t xml:space="preserve">佐久間　 千智</t>
  </si>
  <si>
    <t xml:space="preserve">鈴木　　 莉央</t>
  </si>
  <si>
    <t xml:space="preserve">10/22,12/10,2/11</t>
  </si>
  <si>
    <t xml:space="preserve">B,C,A</t>
  </si>
  <si>
    <t xml:space="preserve">(478)550-1406</t>
  </si>
  <si>
    <t xml:space="preserve">上田　　 修平　　</t>
  </si>
  <si>
    <t xml:space="preserve">hironnn519@gmail.com</t>
  </si>
  <si>
    <t xml:space="preserve">上田　　 康介</t>
  </si>
  <si>
    <t xml:space="preserve">矢島　　 真理恵</t>
  </si>
  <si>
    <t xml:space="preserve">8/13,10/22,1/28</t>
  </si>
  <si>
    <t xml:space="preserve">張　　　 友和　　</t>
  </si>
  <si>
    <t xml:space="preserve">武藤　　 直太朗</t>
  </si>
  <si>
    <t xml:space="preserve">朝西　　 崇文</t>
  </si>
  <si>
    <t xml:space="preserve">豊田　　 はるひ　</t>
  </si>
  <si>
    <t xml:space="preserve">usa42usa@gmail.com</t>
  </si>
  <si>
    <t xml:space="preserve">豊田　　 ひなた</t>
  </si>
  <si>
    <t xml:space="preserve">久保田　 花　　　</t>
  </si>
  <si>
    <t xml:space="preserve">tkubota1214@gmail.com</t>
  </si>
  <si>
    <t xml:space="preserve">4/23,6/4,9/3,10/29,1/14,3/4</t>
  </si>
  <si>
    <t xml:space="preserve">B,C,B,A,C,B</t>
  </si>
  <si>
    <r>
      <rPr>
        <sz val="8"/>
        <color theme="1"/>
        <rFont val="Noto Sans CJK SC"/>
        <family val="2"/>
        <charset val="1"/>
      </rPr>
      <t xml:space="preserve">中</t>
    </r>
    <r>
      <rPr>
        <sz val="8"/>
        <color theme="1"/>
        <rFont val="Arial"/>
        <family val="0"/>
        <charset val="1"/>
      </rPr>
      <t xml:space="preserve">1-1</t>
    </r>
    <r>
      <rPr>
        <sz val="8"/>
        <color theme="1"/>
        <rFont val="Noto Sans CJK SC"/>
        <family val="2"/>
        <charset val="1"/>
      </rPr>
      <t xml:space="preserve">ジョーンズ泰成のみ</t>
    </r>
    <r>
      <rPr>
        <sz val="8"/>
        <color theme="1"/>
        <rFont val="Arial"/>
        <family val="0"/>
        <charset val="1"/>
      </rPr>
      <t xml:space="preserve">5/14/2022</t>
    </r>
    <r>
      <rPr>
        <sz val="8"/>
        <color theme="1"/>
        <rFont val="Noto Sans CJK SC"/>
        <family val="2"/>
        <charset val="1"/>
      </rPr>
      <t xml:space="preserve">入学</t>
    </r>
  </si>
  <si>
    <t xml:space="preserve">(706)443-6642</t>
  </si>
  <si>
    <t xml:space="preserve">湯澤　　 寛樹</t>
  </si>
  <si>
    <t xml:space="preserve">孝道 </t>
  </si>
  <si>
    <t xml:space="preserve">(706)443-6642 </t>
  </si>
  <si>
    <t xml:space="preserve">takamichi.yuzawa@advics.com</t>
  </si>
  <si>
    <r>
      <rPr>
        <sz val="8"/>
        <color theme="1"/>
        <rFont val="Arial"/>
        <family val="0"/>
        <charset val="1"/>
      </rPr>
      <t xml:space="preserve">10/29→9/3</t>
    </r>
    <r>
      <rPr>
        <sz val="8"/>
        <color theme="1"/>
        <rFont val="Noto Sans CJK SC"/>
        <family val="2"/>
        <charset val="1"/>
      </rPr>
      <t xml:space="preserve">に当番交代済</t>
    </r>
  </si>
  <si>
    <t xml:space="preserve">takamichi.yuzawa@advics.com,kanakana.genkikana25@icloud.com</t>
  </si>
  <si>
    <r>
      <rPr>
        <sz val="8"/>
        <color theme="1"/>
        <rFont val="Arial"/>
        <family val="0"/>
        <charset val="1"/>
      </rPr>
      <t xml:space="preserve">11/12-&gt;12/17</t>
    </r>
    <r>
      <rPr>
        <sz val="8"/>
        <color theme="1"/>
        <rFont val="Noto Sans CJK SC"/>
        <family val="2"/>
        <charset val="1"/>
      </rPr>
      <t xml:space="preserve">当番交代</t>
    </r>
  </si>
  <si>
    <t xml:space="preserve">(478)718-0728</t>
  </si>
  <si>
    <t xml:space="preserve">大畑　　 理仁　　</t>
  </si>
  <si>
    <t xml:space="preserve">好史</t>
  </si>
  <si>
    <t xml:space="preserve">yoshifumiohata@ykk-usa.com;terumin0523@yahoo.co.jp</t>
  </si>
  <si>
    <t xml:space="preserve">5/7,8/6,9/17,11/12,1/21,3/11</t>
  </si>
  <si>
    <t xml:space="preserve">C,A,C,A,C,B</t>
  </si>
  <si>
    <r>
      <rPr>
        <sz val="8"/>
        <color theme="1"/>
        <rFont val="Arial"/>
        <family val="0"/>
        <charset val="1"/>
      </rPr>
      <t xml:space="preserve">12</t>
    </r>
    <r>
      <rPr>
        <sz val="8"/>
        <color theme="1"/>
        <rFont val="Noto Sans CJK SC"/>
        <family val="2"/>
        <charset val="1"/>
      </rPr>
      <t xml:space="preserve">月</t>
    </r>
    <r>
      <rPr>
        <sz val="8"/>
        <color theme="1"/>
        <rFont val="Arial"/>
        <family val="0"/>
        <charset val="1"/>
      </rPr>
      <t xml:space="preserve">17</t>
    </r>
    <r>
      <rPr>
        <sz val="8"/>
        <color theme="1"/>
        <rFont val="Noto Sans CJK SC"/>
        <family val="2"/>
        <charset val="1"/>
      </rPr>
      <t xml:space="preserve">日で退学</t>
    </r>
  </si>
  <si>
    <t xml:space="preserve">terumin0523@gmail.com</t>
  </si>
  <si>
    <t xml:space="preserve">(708)916-0062</t>
  </si>
  <si>
    <t xml:space="preserve">ベントリー アンジオ</t>
  </si>
  <si>
    <t xml:space="preserve">アルバート</t>
  </si>
  <si>
    <t xml:space="preserve">abzmaoi@gmail.com</t>
  </si>
  <si>
    <t xml:space="preserve">(404)989-7367</t>
  </si>
  <si>
    <t xml:space="preserve">長井　　 徳臣　　</t>
  </si>
  <si>
    <t xml:space="preserve">国威</t>
  </si>
  <si>
    <t xml:space="preserve">kntk.ngi@gmail.com</t>
  </si>
  <si>
    <t xml:space="preserve">(470)756-3312</t>
  </si>
  <si>
    <t xml:space="preserve">濱田　　 晴　　　</t>
  </si>
  <si>
    <t xml:space="preserve">龍一</t>
  </si>
  <si>
    <t xml:space="preserve">na.aemysticst.22@gmail.com</t>
  </si>
  <si>
    <r>
      <rPr>
        <sz val="8"/>
        <color theme="1"/>
        <rFont val="Noto Sans CJK SC"/>
        <family val="2"/>
        <charset val="1"/>
      </rPr>
      <t xml:space="preserve">今年度行事委員ですが、その前にアサインされた為保健当番有
</t>
    </r>
    <r>
      <rPr>
        <sz val="8"/>
        <color theme="1"/>
        <rFont val="Arial"/>
        <family val="0"/>
        <charset val="1"/>
      </rPr>
      <t xml:space="preserve">11/19</t>
    </r>
    <r>
      <rPr>
        <sz val="8"/>
        <color theme="1"/>
        <rFont val="Noto Sans CJK SC"/>
        <family val="2"/>
        <charset val="1"/>
      </rPr>
      <t xml:space="preserve">に退学</t>
    </r>
  </si>
  <si>
    <t xml:space="preserve">渡部　　 音羽</t>
  </si>
  <si>
    <r>
      <rPr>
        <sz val="10"/>
        <color theme="1"/>
        <rFont val="Noto Sans CJK SC"/>
        <family val="2"/>
        <charset val="1"/>
      </rPr>
      <t xml:space="preserve">小３</t>
    </r>
    <r>
      <rPr>
        <sz val="10"/>
        <color theme="1"/>
        <rFont val="Arial"/>
        <family val="0"/>
        <charset val="1"/>
      </rPr>
      <t xml:space="preserve">,</t>
    </r>
    <r>
      <rPr>
        <sz val="10"/>
        <color theme="1"/>
        <rFont val="Noto Sans CJK SC"/>
        <family val="2"/>
        <charset val="1"/>
      </rPr>
      <t xml:space="preserve">小５</t>
    </r>
  </si>
  <si>
    <t xml:space="preserve">(770)841-0227</t>
  </si>
  <si>
    <t xml:space="preserve">近藤　　 杏咲　　</t>
  </si>
  <si>
    <t xml:space="preserve">由典</t>
  </si>
  <si>
    <t xml:space="preserve">m.kondo1118@gmail.com</t>
  </si>
  <si>
    <t xml:space="preserve">近藤　　 有哩</t>
  </si>
  <si>
    <t xml:space="preserve">(678)936-8388</t>
  </si>
  <si>
    <t xml:space="preserve">永石　　 陽菜乃　</t>
  </si>
  <si>
    <t xml:space="preserve">祥一朗</t>
  </si>
  <si>
    <t xml:space="preserve">arika_n_1219@icloud.com</t>
  </si>
  <si>
    <t xml:space="preserve">永石　　 悠葵乃</t>
  </si>
  <si>
    <r>
      <rPr>
        <sz val="10"/>
        <color theme="1"/>
        <rFont val="Noto Sans CJK SC"/>
        <family val="2"/>
        <charset val="1"/>
      </rPr>
      <t xml:space="preserve">小３</t>
    </r>
    <r>
      <rPr>
        <sz val="10"/>
        <color theme="1"/>
        <rFont val="Arial"/>
        <family val="0"/>
        <charset val="1"/>
      </rPr>
      <t xml:space="preserve">,</t>
    </r>
    <r>
      <rPr>
        <sz val="10"/>
        <color theme="1"/>
        <rFont val="Noto Sans CJK SC"/>
        <family val="2"/>
        <charset val="1"/>
      </rPr>
      <t xml:space="preserve">小６</t>
    </r>
  </si>
  <si>
    <t xml:space="preserve">西川　　 美羽</t>
  </si>
  <si>
    <t xml:space="preserve">(770)540-7354</t>
  </si>
  <si>
    <t xml:space="preserve">一万田　 楓　　　</t>
  </si>
  <si>
    <t xml:space="preserve">勝大</t>
  </si>
  <si>
    <t xml:space="preserve">kumichiman@gmail.com</t>
  </si>
  <si>
    <t xml:space="preserve">一万田　 純平</t>
  </si>
  <si>
    <r>
      <rPr>
        <sz val="8"/>
        <color rgb="FF000000"/>
        <rFont val="Arial"/>
        <family val="0"/>
        <charset val="1"/>
      </rPr>
      <t xml:space="preserve">5</t>
    </r>
    <r>
      <rPr>
        <sz val="8"/>
        <color rgb="FF000000"/>
        <rFont val="Noto Sans CJK SC"/>
        <family val="2"/>
        <charset val="1"/>
      </rPr>
      <t xml:space="preserve">月初新しい行事委員が任命される</t>
    </r>
  </si>
  <si>
    <t xml:space="preserve">山本　　 静香</t>
  </si>
  <si>
    <r>
      <rPr>
        <sz val="10"/>
        <color theme="1"/>
        <rFont val="Noto Sans CJK SC"/>
        <family val="2"/>
        <charset val="1"/>
      </rPr>
      <t xml:space="preserve">小</t>
    </r>
    <r>
      <rPr>
        <sz val="10"/>
        <color theme="1"/>
        <rFont val="Arial"/>
        <family val="0"/>
        <charset val="1"/>
      </rPr>
      <t xml:space="preserve">5</t>
    </r>
    <r>
      <rPr>
        <sz val="10"/>
        <color theme="1"/>
        <rFont val="Noto Sans CJK SC"/>
        <family val="2"/>
        <charset val="1"/>
      </rPr>
      <t xml:space="preserve">ー</t>
    </r>
    <r>
      <rPr>
        <sz val="10"/>
        <color theme="1"/>
        <rFont val="Arial"/>
        <family val="0"/>
        <charset val="1"/>
      </rPr>
      <t xml:space="preserve">1</t>
    </r>
  </si>
  <si>
    <t xml:space="preserve">伊藤　　 心和</t>
  </si>
  <si>
    <t xml:space="preserve">藤原　　 結花</t>
  </si>
  <si>
    <t xml:space="preserve">岩村　　 杏</t>
  </si>
  <si>
    <t xml:space="preserve">青園　　 毬愛</t>
  </si>
  <si>
    <t xml:space="preserve">増田　　 朱姫</t>
  </si>
  <si>
    <t xml:space="preserve">永嶌　　 亨伍　　</t>
  </si>
  <si>
    <t xml:space="preserve">s.nagashima23@gmail.com;hirokororin65@gmail.com;y.nagashima412@gmail.com</t>
  </si>
  <si>
    <t xml:space="preserve">永嶌　　 諒也</t>
  </si>
  <si>
    <t xml:space="preserve">(470)449-9923</t>
  </si>
  <si>
    <t xml:space="preserve">佐々木　 晃仁　　</t>
  </si>
  <si>
    <t xml:space="preserve">英嗣</t>
  </si>
  <si>
    <t xml:space="preserve">e_sasaki@hirosaki-u.ac.jp</t>
  </si>
  <si>
    <t xml:space="preserve">平野　　 彩織</t>
  </si>
  <si>
    <r>
      <rPr>
        <sz val="8"/>
        <color theme="1"/>
        <rFont val="Noto Sans CJK SC"/>
        <family val="2"/>
        <charset val="1"/>
      </rPr>
      <t xml:space="preserve">安全対策委員</t>
    </r>
    <r>
      <rPr>
        <sz val="8"/>
        <color theme="1"/>
        <rFont val="Arial"/>
        <family val="0"/>
        <charset val="1"/>
      </rPr>
      <t xml:space="preserve">(2022/12/8</t>
    </r>
    <r>
      <rPr>
        <sz val="8"/>
        <color theme="1"/>
        <rFont val="Noto Sans CJK SC"/>
        <family val="2"/>
        <charset val="1"/>
      </rPr>
      <t xml:space="preserve">～</t>
    </r>
    <r>
      <rPr>
        <sz val="8"/>
        <color theme="1"/>
        <rFont val="Arial"/>
        <family val="0"/>
        <charset val="1"/>
      </rPr>
      <t xml:space="preserve">) </t>
    </r>
    <r>
      <rPr>
        <sz val="8"/>
        <color theme="1"/>
        <rFont val="Noto Sans CJK SC"/>
        <family val="2"/>
        <charset val="1"/>
      </rPr>
      <t xml:space="preserve">土井さんと交代</t>
    </r>
  </si>
  <si>
    <t xml:space="preserve">大久保　 湊音</t>
  </si>
  <si>
    <t xml:space="preserve">4/16,4/30,6/18,9/10,11/19,1/28</t>
  </si>
  <si>
    <t xml:space="preserve">A,B,B,A,C,B</t>
  </si>
  <si>
    <r>
      <rPr>
        <sz val="8"/>
        <color rgb="FF000000"/>
        <rFont val="Arial"/>
        <family val="0"/>
        <charset val="1"/>
      </rPr>
      <t xml:space="preserve">9</t>
    </r>
    <r>
      <rPr>
        <sz val="8"/>
        <color rgb="FF000000"/>
        <rFont val="Noto Sans CJK SC"/>
        <family val="2"/>
        <charset val="1"/>
      </rPr>
      <t xml:space="preserve">月から浅井さんに代り図書委員</t>
    </r>
    <r>
      <rPr>
        <sz val="8"/>
        <color rgb="FF000000"/>
        <rFont val="Arial"/>
        <family val="0"/>
        <charset val="1"/>
      </rPr>
      <t xml:space="preserve">(9/10</t>
    </r>
    <r>
      <rPr>
        <sz val="8"/>
        <color rgb="FF000000"/>
        <rFont val="Noto Sans CJK SC"/>
        <family val="2"/>
        <charset val="1"/>
      </rPr>
      <t xml:space="preserve">パトロールは交代前のアサインのためそのまま</t>
    </r>
    <r>
      <rPr>
        <sz val="8"/>
        <color rgb="FF000000"/>
        <rFont val="Arial"/>
        <family val="0"/>
        <charset val="1"/>
      </rPr>
      <t xml:space="preserve">)</t>
    </r>
    <r>
      <rPr>
        <sz val="8"/>
        <color rgb="FFFF0000"/>
        <rFont val="Noto Sans CJK SC"/>
        <family val="2"/>
        <charset val="1"/>
      </rPr>
      <t xml:space="preserve">赤字の日付は前任の浅井さんの実施日</t>
    </r>
  </si>
  <si>
    <t xml:space="preserve">(770)401-1603</t>
  </si>
  <si>
    <t xml:space="preserve">浅井　　 菜和美　</t>
  </si>
  <si>
    <t xml:space="preserve">デイヴィット</t>
  </si>
  <si>
    <t xml:space="preserve">motoeasai@gmail.com</t>
  </si>
  <si>
    <t xml:space="preserve">4/16,4/30,6/18,9/10</t>
  </si>
  <si>
    <t xml:space="preserve">A,B,B,A</t>
  </si>
  <si>
    <r>
      <rPr>
        <sz val="8"/>
        <color theme="1"/>
        <rFont val="Arial"/>
        <family val="0"/>
        <charset val="1"/>
      </rPr>
      <t xml:space="preserve">9/10</t>
    </r>
    <r>
      <rPr>
        <sz val="8"/>
        <color theme="1"/>
        <rFont val="Noto Sans CJK SC"/>
        <family val="2"/>
        <charset val="1"/>
      </rPr>
      <t xml:space="preserve">当番は大竹さんと交代済み</t>
    </r>
  </si>
  <si>
    <t xml:space="preserve">久保田　 詩織</t>
  </si>
  <si>
    <t xml:space="preserve">竹嶋　　 夏希</t>
  </si>
  <si>
    <t xml:space="preserve">8/20,10/29,2/4</t>
  </si>
  <si>
    <r>
      <rPr>
        <sz val="8"/>
        <color theme="1"/>
        <rFont val="Arial"/>
        <family val="0"/>
        <charset val="1"/>
      </rPr>
      <t xml:space="preserve">6</t>
    </r>
    <r>
      <rPr>
        <sz val="8"/>
        <color theme="1"/>
        <rFont val="Noto Sans CJK SC"/>
        <family val="2"/>
        <charset val="1"/>
      </rPr>
      <t xml:space="preserve">月より</t>
    </r>
    <r>
      <rPr>
        <sz val="8"/>
        <color theme="1"/>
        <rFont val="Arial"/>
        <family val="0"/>
        <charset val="1"/>
      </rPr>
      <t xml:space="preserve">4−</t>
    </r>
    <r>
      <rPr>
        <sz val="8"/>
        <color theme="1"/>
        <rFont val="Noto Sans CJK SC"/>
        <family val="2"/>
        <charset val="1"/>
      </rPr>
      <t xml:space="preserve">２小澤さんと交代で安全対策委員　メールアドレスはその際の連絡先として頂いたもの</t>
    </r>
  </si>
  <si>
    <t xml:space="preserve">田中　　 陽翔</t>
  </si>
  <si>
    <t xml:space="preserve">田中　　 翔真</t>
  </si>
  <si>
    <t xml:space="preserve">堀場　　 巧巳　　</t>
  </si>
  <si>
    <t xml:space="preserve">saorinopcc@icloud.com</t>
  </si>
  <si>
    <t xml:space="preserve">(404)825-6496</t>
  </si>
  <si>
    <t xml:space="preserve">菊地　　 巧翔　　</t>
  </si>
  <si>
    <t xml:space="preserve">雄介</t>
  </si>
  <si>
    <t xml:space="preserve">kurumin814@gmail.com</t>
  </si>
  <si>
    <t xml:space="preserve">(415)205-2796</t>
  </si>
  <si>
    <t xml:space="preserve">神山　　 大輝　　</t>
  </si>
  <si>
    <t xml:space="preserve">rie.kamiyama@gmail.com</t>
  </si>
  <si>
    <t xml:space="preserve">小林　　 拓真　　</t>
  </si>
  <si>
    <t xml:space="preserve">mkoba80mkoba80@gmail.com</t>
  </si>
  <si>
    <r>
      <rPr>
        <sz val="8"/>
        <color theme="1"/>
        <rFont val="Arial"/>
        <family val="0"/>
        <charset val="1"/>
      </rPr>
      <t xml:space="preserve">7</t>
    </r>
    <r>
      <rPr>
        <sz val="8"/>
        <color theme="1"/>
        <rFont val="Noto Sans CJK SC"/>
        <family val="2"/>
        <charset val="1"/>
      </rPr>
      <t xml:space="preserve">月より下原さんと交代で学級委員</t>
    </r>
  </si>
  <si>
    <t xml:space="preserve">(470)270-6875</t>
  </si>
  <si>
    <t xml:space="preserve">吉田　　 愛梨　　</t>
  </si>
  <si>
    <t xml:space="preserve">洋</t>
  </si>
  <si>
    <t xml:space="preserve">yuko73.y@icloud.com</t>
  </si>
  <si>
    <t xml:space="preserve">小４ー２</t>
  </si>
  <si>
    <t xml:space="preserve">藤田　　 瑞星</t>
  </si>
  <si>
    <t xml:space="preserve">5/7,6/18,9/24,11/19,1/28</t>
  </si>
  <si>
    <t xml:space="preserve">B,C,B,A,C</t>
  </si>
  <si>
    <t xml:space="preserve">事務所登録の電話番号に間違いあり</t>
  </si>
  <si>
    <t xml:space="preserve">富賀見　 佳</t>
  </si>
  <si>
    <r>
      <rPr>
        <sz val="8"/>
        <color theme="1"/>
        <rFont val="Noto Sans CJK SC"/>
        <family val="2"/>
        <charset val="1"/>
      </rPr>
      <t xml:space="preserve">前年の安全対策委員でしたが、手違いにより</t>
    </r>
    <r>
      <rPr>
        <sz val="8"/>
        <color theme="1"/>
        <rFont val="Arial"/>
        <family val="0"/>
        <charset val="1"/>
      </rPr>
      <t xml:space="preserve">4/16</t>
    </r>
    <r>
      <rPr>
        <sz val="8"/>
        <color theme="1"/>
        <rFont val="Noto Sans CJK SC"/>
        <family val="2"/>
        <charset val="1"/>
      </rPr>
      <t xml:space="preserve">分に</t>
    </r>
    <r>
      <rPr>
        <sz val="8"/>
        <color theme="1"/>
        <rFont val="Arial"/>
        <family val="0"/>
        <charset val="1"/>
      </rPr>
      <t xml:space="preserve">21</t>
    </r>
    <r>
      <rPr>
        <sz val="8"/>
        <color theme="1"/>
        <rFont val="Noto Sans CJK SC"/>
        <family val="2"/>
        <charset val="1"/>
      </rPr>
      <t xml:space="preserve">年度の振り替え。本人了承済みです。</t>
    </r>
  </si>
  <si>
    <t xml:space="preserve">国分寺　 梨央</t>
  </si>
  <si>
    <r>
      <rPr>
        <strike val="true"/>
        <sz val="10"/>
        <color theme="1"/>
        <rFont val="Noto Sans CJK SC"/>
        <family val="2"/>
        <charset val="1"/>
      </rPr>
      <t xml:space="preserve">高</t>
    </r>
    <r>
      <rPr>
        <strike val="true"/>
        <sz val="10"/>
        <color theme="1"/>
        <rFont val="Arial"/>
        <family val="0"/>
        <charset val="1"/>
      </rPr>
      <t xml:space="preserve">1</t>
    </r>
  </si>
  <si>
    <t xml:space="preserve">国分寺　 祐衣</t>
  </si>
  <si>
    <r>
      <rPr>
        <sz val="8"/>
        <color theme="1"/>
        <rFont val="Noto Sans CJK SC"/>
        <family val="2"/>
        <charset val="1"/>
      </rPr>
      <t xml:space="preserve">新</t>
    </r>
    <r>
      <rPr>
        <sz val="8"/>
        <color theme="1"/>
        <rFont val="Arial"/>
        <family val="0"/>
        <charset val="1"/>
      </rPr>
      <t xml:space="preserve">6/18</t>
    </r>
    <r>
      <rPr>
        <sz val="8"/>
        <color theme="1"/>
        <rFont val="Noto Sans CJK SC"/>
        <family val="2"/>
        <charset val="1"/>
      </rPr>
      <t xml:space="preserve">に変更</t>
    </r>
    <r>
      <rPr>
        <sz val="8"/>
        <color theme="1"/>
        <rFont val="Arial"/>
        <family val="0"/>
        <charset val="1"/>
      </rPr>
      <t xml:space="preserve">/9/16</t>
    </r>
    <r>
      <rPr>
        <sz val="8"/>
        <color theme="1"/>
        <rFont val="Noto Sans CJK SC"/>
        <family val="2"/>
        <charset val="1"/>
      </rPr>
      <t xml:space="preserve">奥様の連絡先希望</t>
    </r>
  </si>
  <si>
    <r>
      <rPr>
        <sz val="10"/>
        <color theme="1"/>
        <rFont val="Noto Sans CJK SC"/>
        <family val="2"/>
        <charset val="1"/>
      </rPr>
      <t xml:space="preserve">小</t>
    </r>
    <r>
      <rPr>
        <sz val="10"/>
        <color theme="1"/>
        <rFont val="Arial"/>
        <family val="0"/>
        <charset val="1"/>
      </rPr>
      <t xml:space="preserve">4</t>
    </r>
    <r>
      <rPr>
        <sz val="10"/>
        <color theme="1"/>
        <rFont val="Noto Sans CJK SC"/>
        <family val="2"/>
        <charset val="1"/>
      </rPr>
      <t xml:space="preserve">ー</t>
    </r>
    <r>
      <rPr>
        <sz val="10"/>
        <color theme="1"/>
        <rFont val="Arial"/>
        <family val="0"/>
        <charset val="1"/>
      </rPr>
      <t xml:space="preserve">2</t>
    </r>
  </si>
  <si>
    <r>
      <rPr>
        <sz val="10"/>
        <color theme="1"/>
        <rFont val="Noto Sans CJK SC"/>
        <family val="2"/>
        <charset val="1"/>
      </rPr>
      <t xml:space="preserve">中</t>
    </r>
    <r>
      <rPr>
        <sz val="10"/>
        <color theme="1"/>
        <rFont val="Arial"/>
        <family val="0"/>
        <charset val="1"/>
      </rPr>
      <t xml:space="preserve">1</t>
    </r>
    <r>
      <rPr>
        <sz val="10"/>
        <color theme="1"/>
        <rFont val="Noto Sans CJK SC"/>
        <family val="2"/>
        <charset val="1"/>
      </rPr>
      <t xml:space="preserve">ー</t>
    </r>
    <r>
      <rPr>
        <sz val="10"/>
        <color theme="1"/>
        <rFont val="Arial"/>
        <family val="0"/>
        <charset val="1"/>
      </rPr>
      <t xml:space="preserve">1</t>
    </r>
  </si>
  <si>
    <t xml:space="preserve">中島　　 玲耶　　</t>
  </si>
  <si>
    <t xml:space="preserve">5/21,9/24,12/17,3/18</t>
  </si>
  <si>
    <r>
      <rPr>
        <sz val="8"/>
        <color theme="1"/>
        <rFont val="Arial"/>
        <family val="0"/>
        <charset val="1"/>
      </rPr>
      <t xml:space="preserve">8/13 </t>
    </r>
    <r>
      <rPr>
        <sz val="8"/>
        <color theme="1"/>
        <rFont val="Noto Sans CJK SC"/>
        <family val="2"/>
        <charset val="1"/>
      </rPr>
      <t xml:space="preserve">小</t>
    </r>
    <r>
      <rPr>
        <sz val="8"/>
        <color theme="1"/>
        <rFont val="Arial"/>
        <family val="0"/>
        <charset val="1"/>
      </rPr>
      <t xml:space="preserve">4-2</t>
    </r>
    <r>
      <rPr>
        <sz val="8"/>
        <color theme="1"/>
        <rFont val="Noto Sans CJK SC"/>
        <family val="2"/>
        <charset val="1"/>
      </rPr>
      <t xml:space="preserve">実玲編入</t>
    </r>
  </si>
  <si>
    <t xml:space="preserve">王　　　 東隅　　</t>
  </si>
  <si>
    <t xml:space="preserve">xuda972@hotmail.com</t>
  </si>
  <si>
    <r>
      <rPr>
        <sz val="8"/>
        <color theme="1"/>
        <rFont val="Noto Sans CJK SC"/>
        <family val="2"/>
        <charset val="1"/>
      </rPr>
      <t xml:space="preserve">新</t>
    </r>
    <r>
      <rPr>
        <sz val="8"/>
        <color theme="1"/>
        <rFont val="Arial"/>
        <family val="0"/>
        <charset val="1"/>
      </rPr>
      <t xml:space="preserve">5/28</t>
    </r>
    <r>
      <rPr>
        <sz val="8"/>
        <color theme="1"/>
        <rFont val="Noto Sans CJK SC"/>
        <family val="2"/>
        <charset val="1"/>
      </rPr>
      <t xml:space="preserve">に変更</t>
    </r>
  </si>
  <si>
    <t xml:space="preserve">武田　　 要</t>
  </si>
  <si>
    <t xml:space="preserve">黒田　　 陽花</t>
  </si>
  <si>
    <t xml:space="preserve">日栁　　 宗士</t>
  </si>
  <si>
    <t xml:space="preserve">江嵜　　 璃空</t>
  </si>
  <si>
    <t xml:space="preserve">5/14,9/10,12/3,3/4</t>
  </si>
  <si>
    <t xml:space="preserve">古畑　　 蒼生</t>
  </si>
  <si>
    <t xml:space="preserve">4/30,8/27,11/12,2/18</t>
  </si>
  <si>
    <t xml:space="preserve">糟谷　　 武志</t>
  </si>
  <si>
    <t xml:space="preserve">4/30,6/11,9/10,10/29,1/14,3/4</t>
  </si>
  <si>
    <t xml:space="preserve">A,B,C,B,B,A</t>
  </si>
  <si>
    <r>
      <rPr>
        <sz val="10"/>
        <color theme="1"/>
        <rFont val="Noto Sans CJK SC"/>
        <family val="2"/>
        <charset val="1"/>
      </rPr>
      <t xml:space="preserve">平松さんと交代</t>
    </r>
    <r>
      <rPr>
        <sz val="10"/>
        <color theme="1"/>
        <rFont val="Arial"/>
        <family val="0"/>
        <charset val="1"/>
      </rPr>
      <t xml:space="preserve">11</t>
    </r>
    <r>
      <rPr>
        <sz val="10"/>
        <color theme="1"/>
        <rFont val="Noto Sans CJK SC"/>
        <family val="2"/>
        <charset val="1"/>
      </rPr>
      <t xml:space="preserve">月</t>
    </r>
    <r>
      <rPr>
        <sz val="10"/>
        <color theme="1"/>
        <rFont val="Arial"/>
        <family val="0"/>
        <charset val="1"/>
      </rPr>
      <t xml:space="preserve">12</t>
    </r>
    <r>
      <rPr>
        <sz val="10"/>
        <color theme="1"/>
        <rFont val="Noto Sans CJK SC"/>
        <family val="2"/>
        <charset val="1"/>
      </rPr>
      <t xml:space="preserve">日</t>
    </r>
  </si>
  <si>
    <r>
      <rPr>
        <sz val="8"/>
        <color theme="1"/>
        <rFont val="Noto Sans CJK SC"/>
        <family val="2"/>
        <charset val="1"/>
      </rPr>
      <t xml:space="preserve">メルアドはこちらへ</t>
    </r>
    <r>
      <rPr>
        <sz val="8"/>
        <color theme="1"/>
        <rFont val="Arial"/>
        <family val="0"/>
        <charset val="1"/>
      </rPr>
      <t xml:space="preserve">kasuyaga@gmail.com</t>
    </r>
  </si>
  <si>
    <t xml:space="preserve">三澤　　 ディエゴ嶺</t>
  </si>
  <si>
    <t xml:space="preserve">chocolatsho@gmail.com</t>
  </si>
  <si>
    <t xml:space="preserve">三澤　　 茉埜 ルイサ</t>
  </si>
  <si>
    <r>
      <rPr>
        <sz val="8"/>
        <color theme="1"/>
        <rFont val="Noto Sans CJK SC"/>
        <family val="2"/>
        <charset val="1"/>
      </rPr>
      <t xml:space="preserve">中</t>
    </r>
    <r>
      <rPr>
        <sz val="8"/>
        <color theme="1"/>
        <rFont val="Arial"/>
        <family val="0"/>
        <charset val="1"/>
      </rPr>
      <t xml:space="preserve">3-1</t>
    </r>
    <r>
      <rPr>
        <sz val="8"/>
        <color theme="1"/>
        <rFont val="Noto Sans CJK SC"/>
        <family val="2"/>
        <charset val="1"/>
      </rPr>
      <t xml:space="preserve">三澤茉埜 ルイサは引き続き在籍</t>
    </r>
  </si>
  <si>
    <t xml:space="preserve">堀内　　 漣　　　</t>
  </si>
  <si>
    <t xml:space="preserve">tak.hory@att.net;chiho_h212@hotmail.com</t>
  </si>
  <si>
    <t xml:space="preserve">堀内　　 菜那</t>
  </si>
  <si>
    <t xml:space="preserve">chiho_h212@hotmail.com;tak.hory@gmail.com</t>
  </si>
  <si>
    <t xml:space="preserve">名和田　 一輝</t>
  </si>
  <si>
    <r>
      <rPr>
        <sz val="8"/>
        <color theme="1"/>
        <rFont val="Noto Sans CJK SC"/>
        <family val="2"/>
        <charset val="1"/>
      </rPr>
      <t xml:space="preserve">藤岡さん退学</t>
    </r>
    <r>
      <rPr>
        <sz val="8"/>
        <color theme="1"/>
        <rFont val="Arial"/>
        <family val="0"/>
        <charset val="1"/>
      </rPr>
      <t xml:space="preserve">(11/19)</t>
    </r>
    <r>
      <rPr>
        <sz val="8"/>
        <color theme="1"/>
        <rFont val="Noto Sans CJK SC"/>
        <family val="2"/>
        <charset val="1"/>
      </rPr>
      <t xml:space="preserve">につき、期中に学級委員になる</t>
    </r>
  </si>
  <si>
    <r>
      <rPr>
        <b val="true"/>
        <sz val="10"/>
        <color theme="1"/>
        <rFont val="Noto Sans CJK SC"/>
        <family val="2"/>
        <charset val="1"/>
      </rPr>
      <t xml:space="preserve">学級委員（</t>
    </r>
    <r>
      <rPr>
        <b val="true"/>
        <sz val="10"/>
        <color theme="1"/>
        <rFont val="Arial"/>
        <family val="0"/>
        <charset val="1"/>
      </rPr>
      <t xml:space="preserve">11/19~)</t>
    </r>
  </si>
  <si>
    <t xml:space="preserve">大川　　 真生　　</t>
  </si>
  <si>
    <t xml:space="preserve">ookawa.shiro@miuraz.com</t>
  </si>
  <si>
    <r>
      <rPr>
        <sz val="10"/>
        <color theme="1"/>
        <rFont val="Noto Sans CJK SC"/>
        <family val="2"/>
        <charset val="1"/>
      </rPr>
      <t xml:space="preserve">高</t>
    </r>
    <r>
      <rPr>
        <sz val="10"/>
        <color theme="1"/>
        <rFont val="Arial"/>
        <family val="0"/>
        <charset val="1"/>
      </rPr>
      <t xml:space="preserve">2</t>
    </r>
  </si>
  <si>
    <t xml:space="preserve">大川　　 詩生</t>
  </si>
  <si>
    <r>
      <rPr>
        <sz val="10"/>
        <color theme="1"/>
        <rFont val="Noto Sans CJK SC"/>
        <family val="2"/>
        <charset val="1"/>
      </rPr>
      <t xml:space="preserve">小５</t>
    </r>
    <r>
      <rPr>
        <sz val="10"/>
        <color theme="1"/>
        <rFont val="Arial"/>
        <family val="0"/>
        <charset val="1"/>
      </rPr>
      <t xml:space="preserve">,</t>
    </r>
    <r>
      <rPr>
        <sz val="10"/>
        <color theme="1"/>
        <rFont val="Noto Sans CJK SC"/>
        <family val="2"/>
        <charset val="1"/>
      </rPr>
      <t xml:space="preserve">高２</t>
    </r>
  </si>
  <si>
    <t xml:space="preserve">(404)695-5569</t>
  </si>
  <si>
    <t xml:space="preserve">藤岡　　 葵羽　　</t>
  </si>
  <si>
    <t xml:space="preserve">真</t>
  </si>
  <si>
    <t xml:space="preserve">kompotti@outlook.com</t>
  </si>
  <si>
    <r>
      <rPr>
        <sz val="8"/>
        <color theme="1"/>
        <rFont val="Arial"/>
        <family val="0"/>
        <charset val="1"/>
      </rPr>
      <t xml:space="preserve">11</t>
    </r>
    <r>
      <rPr>
        <sz val="8"/>
        <color theme="1"/>
        <rFont val="Noto Sans CJK SC"/>
        <family val="2"/>
        <charset val="1"/>
      </rPr>
      <t xml:space="preserve">月</t>
    </r>
    <r>
      <rPr>
        <sz val="8"/>
        <color theme="1"/>
        <rFont val="Arial"/>
        <family val="0"/>
        <charset val="1"/>
      </rPr>
      <t xml:space="preserve">19</t>
    </r>
    <r>
      <rPr>
        <sz val="8"/>
        <color theme="1"/>
        <rFont val="Noto Sans CJK SC"/>
        <family val="2"/>
        <charset val="1"/>
      </rPr>
      <t xml:space="preserve">日退学、学級委員は名和田さんへ引継ぎ</t>
    </r>
  </si>
  <si>
    <t xml:space="preserve">田中　　 朋喜</t>
  </si>
  <si>
    <t xml:space="preserve">4/16,6/11,8/27,10/15,12/17,2/11</t>
  </si>
  <si>
    <t xml:space="preserve">C,A,B,C,A,C</t>
  </si>
  <si>
    <r>
      <rPr>
        <sz val="8"/>
        <color theme="1"/>
        <rFont val="Arial"/>
        <family val="0"/>
        <charset val="1"/>
      </rPr>
      <t xml:space="preserve">4/11</t>
    </r>
    <r>
      <rPr>
        <sz val="8"/>
        <color theme="1"/>
        <rFont val="Noto Sans CJK SC"/>
        <family val="2"/>
        <charset val="1"/>
      </rPr>
      <t xml:space="preserve">電話番号を奥様のものに変更</t>
    </r>
  </si>
  <si>
    <t xml:space="preserve">切原　　 楓大　　</t>
  </si>
  <si>
    <t xml:space="preserve">yoshikiyofuta@gmail.com</t>
  </si>
  <si>
    <t xml:space="preserve">濱岡　　 柚里子</t>
  </si>
  <si>
    <t xml:space="preserve">4/23,8/27,10/8,12/3,1/28</t>
  </si>
  <si>
    <t xml:space="preserve">A,C,C,B,A</t>
  </si>
  <si>
    <r>
      <rPr>
        <sz val="8"/>
        <color theme="1"/>
        <rFont val="Arial"/>
        <family val="0"/>
        <charset val="1"/>
      </rPr>
      <t xml:space="preserve">6</t>
    </r>
    <r>
      <rPr>
        <sz val="8"/>
        <color theme="1"/>
        <rFont val="Noto Sans CJK SC"/>
        <family val="2"/>
        <charset val="1"/>
      </rPr>
      <t xml:space="preserve">月一時帰国予定</t>
    </r>
  </si>
  <si>
    <t xml:space="preserve">太田　　 絢梧</t>
  </si>
  <si>
    <t xml:space="preserve">莅戸　　 利緒</t>
  </si>
  <si>
    <r>
      <rPr>
        <sz val="8"/>
        <color theme="1"/>
        <rFont val="Noto Sans CJK SC"/>
        <family val="2"/>
        <charset val="1"/>
      </rPr>
      <t xml:space="preserve">利緒のみ</t>
    </r>
    <r>
      <rPr>
        <sz val="8"/>
        <color theme="1"/>
        <rFont val="Arial"/>
        <family val="0"/>
        <charset val="1"/>
      </rPr>
      <t xml:space="preserve">22/5/28</t>
    </r>
    <r>
      <rPr>
        <sz val="8"/>
        <color theme="1"/>
        <rFont val="Noto Sans CJK SC"/>
        <family val="2"/>
        <charset val="1"/>
      </rPr>
      <t xml:space="preserve">退学</t>
    </r>
  </si>
  <si>
    <t xml:space="preserve">川口　　 航生</t>
  </si>
  <si>
    <t xml:space="preserve">5/28,10/1,1/7</t>
  </si>
  <si>
    <t xml:space="preserve">メンツアー 杏　　　</t>
  </si>
  <si>
    <t xml:space="preserve">riementzer@gmail.com</t>
  </si>
  <si>
    <t xml:space="preserve">(678)677-1551</t>
  </si>
  <si>
    <t xml:space="preserve">平松　　 心和</t>
  </si>
  <si>
    <t xml:space="preserve">雅好</t>
  </si>
  <si>
    <t xml:space="preserve">sumner.avonside@gmail.com</t>
  </si>
  <si>
    <r>
      <rPr>
        <sz val="8"/>
        <color theme="1"/>
        <rFont val="Arial"/>
        <family val="0"/>
        <charset val="1"/>
      </rPr>
      <t xml:space="preserve">10/22</t>
    </r>
    <r>
      <rPr>
        <sz val="8"/>
        <color theme="1"/>
        <rFont val="Noto Sans CJK SC"/>
        <family val="2"/>
        <charset val="1"/>
      </rPr>
      <t xml:space="preserve">で退学</t>
    </r>
  </si>
  <si>
    <t xml:space="preserve">古橋　　 虎太郎　</t>
  </si>
  <si>
    <t xml:space="preserve">(678)890-9722</t>
  </si>
  <si>
    <t xml:space="preserve">kurumakota2243@gmail.com</t>
  </si>
  <si>
    <t xml:space="preserve">(762)201-0391</t>
  </si>
  <si>
    <t xml:space="preserve">三宅　　 悠斗　　</t>
  </si>
  <si>
    <t xml:space="preserve">博和</t>
  </si>
  <si>
    <t xml:space="preserve">h.miyake810@gmail.com;h.miyake@kobayashi.com</t>
  </si>
  <si>
    <t xml:space="preserve">三宅　　 莉央</t>
  </si>
  <si>
    <r>
      <rPr>
        <sz val="8"/>
        <color theme="1"/>
        <rFont val="Noto Sans CJK SC"/>
        <family val="2"/>
        <charset val="1"/>
      </rPr>
      <t xml:space="preserve">パトロール当番</t>
    </r>
    <r>
      <rPr>
        <sz val="8"/>
        <color theme="1"/>
        <rFont val="Arial"/>
        <family val="0"/>
        <charset val="1"/>
      </rPr>
      <t xml:space="preserve">8/13</t>
    </r>
    <r>
      <rPr>
        <sz val="8"/>
        <color theme="1"/>
        <rFont val="Noto Sans CJK SC"/>
        <family val="2"/>
        <charset val="1"/>
      </rPr>
      <t xml:space="preserve">へ変更実施済</t>
    </r>
  </si>
  <si>
    <t xml:space="preserve">(404)493-8406</t>
  </si>
  <si>
    <t xml:space="preserve">荒井　　 祐美子　</t>
  </si>
  <si>
    <t xml:space="preserve">是憲</t>
  </si>
  <si>
    <t xml:space="preserve">tomino2007@yahoo.co.jp</t>
  </si>
  <si>
    <t xml:space="preserve">荒井　　 知憲</t>
  </si>
  <si>
    <t xml:space="preserve">4/30,6/11,9/24,11/19,2/4</t>
  </si>
  <si>
    <t xml:space="preserve">C,C,A,B,C</t>
  </si>
  <si>
    <t xml:space="preserve">(423)779-4689</t>
  </si>
  <si>
    <t xml:space="preserve">野口　　 煌生　　</t>
  </si>
  <si>
    <t xml:space="preserve">敬広</t>
  </si>
  <si>
    <t xml:space="preserve">noguchi0218@gmail.com;misayaco0218@gmail.com</t>
  </si>
  <si>
    <t xml:space="preserve">野口　　 未咲</t>
  </si>
  <si>
    <r>
      <rPr>
        <sz val="8"/>
        <color theme="1"/>
        <rFont val="Arial"/>
        <family val="0"/>
        <charset val="1"/>
      </rPr>
      <t xml:space="preserve">11</t>
    </r>
    <r>
      <rPr>
        <sz val="8"/>
        <color theme="1"/>
        <rFont val="Noto Sans CJK SC"/>
        <family val="2"/>
        <charset val="1"/>
      </rPr>
      <t xml:space="preserve">月</t>
    </r>
    <r>
      <rPr>
        <sz val="8"/>
        <color theme="1"/>
        <rFont val="Arial"/>
        <family val="0"/>
        <charset val="1"/>
      </rPr>
      <t xml:space="preserve">12</t>
    </r>
    <r>
      <rPr>
        <sz val="8"/>
        <color theme="1"/>
        <rFont val="Noto Sans CJK SC"/>
        <family val="2"/>
        <charset val="1"/>
      </rPr>
      <t xml:space="preserve">日で退学</t>
    </r>
  </si>
  <si>
    <t xml:space="preserve">misayaco0218@gmail.com</t>
  </si>
  <si>
    <t xml:space="preserve">加藤　　 優空　　</t>
  </si>
  <si>
    <t xml:space="preserve">mrsilverchildren@gmail.com</t>
  </si>
  <si>
    <t xml:space="preserve">竹本　　 航　　　</t>
  </si>
  <si>
    <t xml:space="preserve">2017waka.sara.koh@gmail.com</t>
  </si>
  <si>
    <t xml:space="preserve">竹本　　 さら</t>
  </si>
  <si>
    <r>
      <rPr>
        <sz val="8"/>
        <color theme="1"/>
        <rFont val="Arial"/>
        <family val="0"/>
        <charset val="1"/>
      </rPr>
      <t xml:space="preserve">6</t>
    </r>
    <r>
      <rPr>
        <sz val="8"/>
        <color theme="1"/>
        <rFont val="Noto Sans CJK SC"/>
        <family val="2"/>
        <charset val="1"/>
      </rPr>
      <t xml:space="preserve">月より行事委員も担当</t>
    </r>
  </si>
  <si>
    <t xml:space="preserve">行事委員・運営関係者</t>
  </si>
  <si>
    <t xml:space="preserve">ウィトキンズ 海登　　</t>
  </si>
  <si>
    <t xml:space="preserve">mitsuyo78@gmail.com</t>
  </si>
  <si>
    <t xml:space="preserve">5/21,5/28,9/10,10/15,12/17,2/18</t>
  </si>
  <si>
    <t xml:space="preserve">B,C,B,A,B,C</t>
  </si>
  <si>
    <t xml:space="preserve">鈴木　　 紗和</t>
  </si>
  <si>
    <t xml:space="preserve">(706)671-0343</t>
  </si>
  <si>
    <t xml:space="preserve">寺田　　 到真　　</t>
  </si>
  <si>
    <t xml:space="preserve">健太郎</t>
  </si>
  <si>
    <t xml:space="preserve">napo0704@hotmail.com</t>
  </si>
  <si>
    <t xml:space="preserve">寺田　　 明日香</t>
  </si>
  <si>
    <t xml:space="preserve">(678)756-3278</t>
  </si>
  <si>
    <t xml:space="preserve">オーシャン 咲百合　</t>
  </si>
  <si>
    <t xml:space="preserve">リー</t>
  </si>
  <si>
    <t xml:space="preserve">rie.ocean@gmail.com</t>
  </si>
  <si>
    <r>
      <rPr>
        <sz val="8"/>
        <color rgb="FFFF0000"/>
        <rFont val="Arial"/>
        <family val="0"/>
        <charset val="1"/>
      </rPr>
      <t xml:space="preserve">22</t>
    </r>
    <r>
      <rPr>
        <sz val="8"/>
        <color rgb="FFFF0000"/>
        <rFont val="Noto Sans CJK SC"/>
        <family val="2"/>
        <charset val="1"/>
      </rPr>
      <t xml:space="preserve">年</t>
    </r>
    <r>
      <rPr>
        <sz val="8"/>
        <color rgb="FFFF0000"/>
        <rFont val="Arial"/>
        <family val="0"/>
        <charset val="1"/>
      </rPr>
      <t xml:space="preserve">4/1</t>
    </r>
    <r>
      <rPr>
        <sz val="8"/>
        <color rgb="FFFF0000"/>
        <rFont val="Noto Sans CJK SC"/>
        <family val="2"/>
        <charset val="1"/>
      </rPr>
      <t xml:space="preserve">退学家庭数より削除</t>
    </r>
  </si>
  <si>
    <t xml:space="preserve">小山田　 茂利</t>
  </si>
  <si>
    <t xml:space="preserve">fujireikota@gmail.com</t>
  </si>
  <si>
    <t xml:space="preserve">小山田　 茂政</t>
  </si>
  <si>
    <t xml:space="preserve">(256)749-2896</t>
  </si>
  <si>
    <t xml:space="preserve">別所　　 瑚都　　</t>
  </si>
  <si>
    <t xml:space="preserve">孝治</t>
  </si>
  <si>
    <t xml:space="preserve">non.kmk0619@gmail.com </t>
  </si>
  <si>
    <t xml:space="preserve">上ノ宮　 羽瑠　　</t>
  </si>
  <si>
    <t xml:space="preserve">sinong56@gmail.com</t>
  </si>
  <si>
    <t xml:space="preserve">6/11,10/15,1/21</t>
  </si>
  <si>
    <t xml:space="preserve">5/14,8/6,10/15,12/3,2/4</t>
  </si>
  <si>
    <t xml:space="preserve">A,C,B,C,A</t>
  </si>
  <si>
    <t xml:space="preserve">降矢　　 夏希</t>
  </si>
  <si>
    <t xml:space="preserve">髙橋　　 繭衣　　</t>
  </si>
  <si>
    <t xml:space="preserve">micchy.michiko@gmail.com</t>
  </si>
  <si>
    <t xml:space="preserve">(562)569-2800</t>
  </si>
  <si>
    <t xml:space="preserve">山原　　 陽太　　</t>
  </si>
  <si>
    <t xml:space="preserve">智宏</t>
  </si>
  <si>
    <t xml:space="preserve">californiaplus@hotmail.com;y_harumi@outlook.jp</t>
  </si>
  <si>
    <r>
      <rPr>
        <sz val="8"/>
        <color theme="1"/>
        <rFont val="Arial"/>
        <family val="0"/>
        <charset val="1"/>
      </rPr>
      <t xml:space="preserve">8/13</t>
    </r>
    <r>
      <rPr>
        <sz val="8"/>
        <color theme="1"/>
        <rFont val="Noto Sans CJK SC"/>
        <family val="2"/>
        <charset val="1"/>
      </rPr>
      <t xml:space="preserve">図書当番あり 保護者ボランティアきます</t>
    </r>
  </si>
  <si>
    <t xml:space="preserve">y_harumi@outlook.jp</t>
  </si>
  <si>
    <t xml:space="preserve">(470)693-5593</t>
  </si>
  <si>
    <t xml:space="preserve">鈴木　　 彩未　　</t>
  </si>
  <si>
    <t xml:space="preserve">典幸</t>
  </si>
  <si>
    <t xml:space="preserve">emikosg706@gmail.com</t>
  </si>
  <si>
    <t xml:space="preserve">岡部　　 佳衣　　</t>
  </si>
  <si>
    <t xml:space="preserve">(770)307-8307</t>
  </si>
  <si>
    <t xml:space="preserve">土井　　 花　　　</t>
  </si>
  <si>
    <t xml:space="preserve">(770)307-8328</t>
  </si>
  <si>
    <t xml:space="preserve">kazuhiro.doi@mizunousa.com</t>
  </si>
  <si>
    <t xml:space="preserve">土井　　 心</t>
  </si>
  <si>
    <t xml:space="preserve">5/7,9/3,11/19,2/25</t>
  </si>
  <si>
    <t xml:space="preserve">連絡先をご主人のメールアドレスへ変更
当番の電話番号のみ7703078328(ご主人)</t>
  </si>
  <si>
    <t xml:space="preserve">(678)276-5872</t>
  </si>
  <si>
    <t xml:space="preserve">杉野　　 舞</t>
  </si>
  <si>
    <t xml:space="preserve">敦隆</t>
  </si>
  <si>
    <t xml:space="preserve">makotosugino511@gmail.com</t>
  </si>
  <si>
    <r>
      <rPr>
        <sz val="8"/>
        <color theme="1"/>
        <rFont val="Noto Sans CJK SC"/>
        <family val="2"/>
        <charset val="1"/>
      </rPr>
      <t xml:space="preserve">退学予定日</t>
    </r>
    <r>
      <rPr>
        <sz val="8"/>
        <color theme="1"/>
        <rFont val="Arial"/>
        <family val="0"/>
        <charset val="1"/>
      </rPr>
      <t xml:space="preserve">5/28→6/18</t>
    </r>
    <r>
      <rPr>
        <sz val="8"/>
        <color theme="1"/>
        <rFont val="Noto Sans CJK SC"/>
        <family val="2"/>
        <charset val="1"/>
      </rPr>
      <t xml:space="preserve">に変更</t>
    </r>
  </si>
  <si>
    <t xml:space="preserve">hjgily@gmail.com</t>
  </si>
  <si>
    <t xml:space="preserve">(857)202-0810</t>
  </si>
  <si>
    <t xml:space="preserve">記井　　 葉名</t>
  </si>
  <si>
    <t xml:space="preserve">耕一</t>
  </si>
  <si>
    <t xml:space="preserve">kiisan@koichiandmaki.com</t>
  </si>
  <si>
    <r>
      <rPr>
        <sz val="8"/>
        <color rgb="FF000000"/>
        <rFont val="Arial"/>
        <family val="0"/>
        <charset val="1"/>
      </rPr>
      <t xml:space="preserve">9/17</t>
    </r>
    <r>
      <rPr>
        <sz val="8"/>
        <color rgb="FF000000"/>
        <rFont val="Noto Sans CJK SC"/>
        <family val="2"/>
        <charset val="1"/>
      </rPr>
      <t xml:space="preserve">退学予定</t>
    </r>
  </si>
  <si>
    <t xml:space="preserve">三澤茉埜 ルイサ</t>
  </si>
  <si>
    <r>
      <rPr>
        <sz val="8"/>
        <color rgb="FF000000"/>
        <rFont val="Arial"/>
        <family val="0"/>
        <charset val="1"/>
      </rPr>
      <t xml:space="preserve">5-2</t>
    </r>
    <r>
      <rPr>
        <sz val="8"/>
        <color rgb="FF000000"/>
        <rFont val="Noto Sans CJK SC"/>
        <family val="2"/>
        <charset val="1"/>
      </rPr>
      <t xml:space="preserve">三澤ディエゴ嶺</t>
    </r>
    <r>
      <rPr>
        <sz val="8"/>
        <color rgb="FF000000"/>
        <rFont val="Arial"/>
        <family val="0"/>
        <charset val="1"/>
      </rPr>
      <t xml:space="preserve">(</t>
    </r>
    <r>
      <rPr>
        <sz val="8"/>
        <color rgb="FF000000"/>
        <rFont val="Noto Sans CJK SC"/>
        <family val="2"/>
        <charset val="1"/>
      </rPr>
      <t xml:space="preserve">妹</t>
    </r>
    <r>
      <rPr>
        <sz val="8"/>
        <color rgb="FF000000"/>
        <rFont val="Arial"/>
        <family val="0"/>
        <charset val="1"/>
      </rPr>
      <t xml:space="preserve">)</t>
    </r>
    <r>
      <rPr>
        <sz val="8"/>
        <color rgb="FF000000"/>
        <rFont val="Noto Sans CJK SC"/>
        <family val="2"/>
        <charset val="1"/>
      </rPr>
      <t xml:space="preserve">退学済み</t>
    </r>
  </si>
  <si>
    <t xml:space="preserve">松木　　 雄登　　</t>
  </si>
  <si>
    <t xml:space="preserve">shatmatsuki1024@yahoo.co.jp</t>
  </si>
  <si>
    <t xml:space="preserve">mihokomorrison1020@gmail.com</t>
  </si>
  <si>
    <r>
      <rPr>
        <sz val="10"/>
        <color rgb="FF000000"/>
        <rFont val="Noto Sans CJK SC"/>
        <family val="2"/>
        <charset val="1"/>
      </rPr>
      <t xml:space="preserve">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  <charset val="1"/>
      </rPr>
      <t xml:space="preserve">－</t>
    </r>
    <r>
      <rPr>
        <sz val="10"/>
        <color rgb="FF000000"/>
        <rFont val="Arial"/>
        <family val="0"/>
        <charset val="1"/>
      </rPr>
      <t xml:space="preserve">1</t>
    </r>
  </si>
  <si>
    <t xml:space="preserve">小島　　 蒼</t>
  </si>
  <si>
    <r>
      <rPr>
        <sz val="10"/>
        <color rgb="FF000000"/>
        <rFont val="Noto Sans CJK SC"/>
        <family val="2"/>
        <charset val="1"/>
      </rPr>
      <t xml:space="preserve">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  <charset val="1"/>
      </rPr>
      <t xml:space="preserve">－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</si>
  <si>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10"/>
        <color rgb="FF000000"/>
        <rFont val="Noto Sans CJK SC"/>
        <family val="2"/>
        <charset val="1"/>
      </rPr>
      <t xml:space="preserve">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  <charset val="1"/>
      </rPr>
      <t xml:space="preserve">－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</si>
  <si>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  <charset val="1"/>
      </rPr>
      <t xml:space="preserve">小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  <charset val="1"/>
      </rPr>
      <t xml:space="preserve">－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</si>
  <si>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10"/>
        <color rgb="FF000000"/>
        <rFont val="Noto Sans CJK SC"/>
        <family val="2"/>
        <charset val="1"/>
      </rPr>
      <t xml:space="preserve">小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  <charset val="1"/>
      </rPr>
      <t xml:space="preserve">－</t>
    </r>
    <r>
      <rPr>
        <sz val="10"/>
        <color rgb="FF000000"/>
        <rFont val="Arial"/>
        <family val="0"/>
        <charset val="1"/>
      </rPr>
      <t xml:space="preserve">1</t>
    </r>
  </si>
  <si>
    <t xml:space="preserve">人見         龍芯</t>
  </si>
  <si>
    <r>
      <rPr>
        <sz val="10"/>
        <color rgb="FF000000"/>
        <rFont val="Noto Sans CJK SC"/>
        <family val="2"/>
        <charset val="1"/>
      </rPr>
      <t xml:space="preserve">小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  <charset val="1"/>
      </rPr>
      <t xml:space="preserve">－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</si>
  <si>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10"/>
        <color rgb="FF000000"/>
        <rFont val="Noto Sans CJK SC"/>
        <family val="2"/>
        <charset val="1"/>
      </rPr>
      <t xml:space="preserve">中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  <charset val="1"/>
      </rPr>
      <t xml:space="preserve">－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</si>
  <si>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  <charset val="1"/>
      </rPr>
      <t xml:space="preserve">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  <charset val="1"/>
      </rPr>
      <t xml:space="preserve">－</t>
    </r>
    <r>
      <rPr>
        <sz val="10"/>
        <color rgb="FF000000"/>
        <rFont val="Arial"/>
        <family val="0"/>
        <charset val="1"/>
      </rPr>
      <t xml:space="preserve">2</t>
    </r>
  </si>
  <si>
    <t xml:space="preserve">菊地 　　啓太</t>
  </si>
  <si>
    <r>
      <rPr>
        <sz val="10"/>
        <color theme="1"/>
        <rFont val="Noto Sans CJK SC"/>
        <family val="2"/>
        <charset val="1"/>
      </rPr>
      <t xml:space="preserve">変更の最新版は常にハンプトンさん</t>
    </r>
    <r>
      <rPr>
        <sz val="10"/>
        <color theme="1"/>
        <rFont val="Arial"/>
        <family val="0"/>
        <charset val="1"/>
      </rPr>
      <t xml:space="preserve">CC</t>
    </r>
    <r>
      <rPr>
        <sz val="10"/>
        <color theme="1"/>
        <rFont val="Noto Sans CJK SC"/>
        <family val="2"/>
        <charset val="1"/>
      </rPr>
      <t xml:space="preserve">で高木さんに送っておく。</t>
    </r>
  </si>
  <si>
    <r>
      <rPr>
        <sz val="10"/>
        <color theme="1"/>
        <rFont val="Noto Sans CJK SC"/>
        <family val="2"/>
        <charset val="1"/>
      </rPr>
      <t xml:space="preserve">ゲラができたらまず、ハンプトンさんと高木さんに送って確認してもらって、</t>
    </r>
    <r>
      <rPr>
        <sz val="10"/>
        <color theme="1"/>
        <rFont val="Arial"/>
        <family val="0"/>
        <charset val="1"/>
      </rPr>
      <t xml:space="preserve">OK</t>
    </r>
    <r>
      <rPr>
        <sz val="10"/>
        <color theme="1"/>
        <rFont val="Noto Sans CJK SC"/>
        <family val="2"/>
        <charset val="1"/>
      </rPr>
      <t xml:space="preserve">もらった後で、掲載。</t>
    </r>
  </si>
  <si>
    <r>
      <rPr>
        <sz val="10"/>
        <color theme="1"/>
        <rFont val="Noto Sans CJK SC"/>
        <family val="2"/>
        <charset val="1"/>
      </rPr>
      <t xml:space="preserve">正規版第一号は電話番号抜きのやつを　</t>
    </r>
    <r>
      <rPr>
        <sz val="10"/>
        <color theme="1"/>
        <rFont val="Arial"/>
        <family val="0"/>
        <charset val="1"/>
      </rPr>
      <t xml:space="preserve">GAKYU</t>
    </r>
    <r>
      <rPr>
        <sz val="10"/>
        <color theme="1"/>
        <rFont val="Noto Sans CJK SC"/>
        <family val="2"/>
        <charset val="1"/>
      </rPr>
      <t xml:space="preserve">＠</t>
    </r>
    <r>
      <rPr>
        <sz val="10"/>
        <color theme="1"/>
        <rFont val="Arial"/>
        <family val="0"/>
        <charset val="1"/>
      </rPr>
      <t xml:space="preserve">GJLS.ORG </t>
    </r>
    <r>
      <rPr>
        <sz val="10"/>
        <color theme="1"/>
        <rFont val="Noto Sans CJK SC"/>
        <family val="2"/>
        <charset val="1"/>
      </rPr>
      <t xml:space="preserve">におくると各クラスの学級委員が受け取る。</t>
    </r>
  </si>
  <si>
    <r>
      <rPr>
        <sz val="10"/>
        <color theme="1"/>
        <rFont val="Noto Sans CJK SC"/>
        <family val="2"/>
        <charset val="1"/>
      </rPr>
      <t xml:space="preserve">正規版電話番号なしは、</t>
    </r>
    <r>
      <rPr>
        <sz val="10"/>
        <color theme="1"/>
        <rFont val="Arial"/>
        <family val="0"/>
        <charset val="1"/>
      </rPr>
      <t xml:space="preserve">gakyu@gjls.org</t>
    </r>
    <r>
      <rPr>
        <sz val="10"/>
        <color theme="1"/>
        <rFont val="Noto Sans CJK SC"/>
        <family val="2"/>
        <charset val="1"/>
      </rPr>
      <t xml:space="preserve">と</t>
    </r>
    <r>
      <rPr>
        <sz val="10"/>
        <color theme="1"/>
        <rFont val="Arial"/>
        <family val="0"/>
        <charset val="1"/>
      </rPr>
      <t xml:space="preserve">Dojo</t>
    </r>
    <r>
      <rPr>
        <sz val="10"/>
        <color theme="1"/>
        <rFont val="Noto Sans CJK SC"/>
        <family val="2"/>
        <charset val="1"/>
      </rPr>
      <t xml:space="preserve">に掲載</t>
    </r>
  </si>
  <si>
    <r>
      <rPr>
        <sz val="10"/>
        <color theme="1"/>
        <rFont val="Arial"/>
        <family val="0"/>
        <charset val="1"/>
      </rPr>
      <t xml:space="preserve">Dojo</t>
    </r>
    <r>
      <rPr>
        <sz val="10"/>
        <color theme="1"/>
        <rFont val="Noto Sans CJK SC"/>
        <family val="2"/>
        <charset val="1"/>
      </rPr>
      <t xml:space="preserve">に掲載は初回盤だけで</t>
    </r>
    <r>
      <rPr>
        <sz val="10"/>
        <color theme="1"/>
        <rFont val="Arial"/>
        <family val="0"/>
        <charset val="1"/>
      </rPr>
      <t xml:space="preserve">ok</t>
    </r>
    <r>
      <rPr>
        <sz val="10"/>
        <color theme="1"/>
        <rFont val="Noto Sans CJK SC"/>
        <family val="2"/>
        <charset val="1"/>
      </rPr>
      <t xml:space="preserve">！！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</si>
</sst>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"/>
    <numFmt numFmtId="166" formatCode="m/d/yyyy"/>
    <numFmt numFmtId="167" formatCode="General"/>
  </numFmts>
  <fonts count="8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0000"/>
      <name val="Meiryo"/>
      <family val="0"/>
      <charset val="1"/>
    </font>
    <font>
      <sz val="10"/>
      <color rgb="FF000000"/>
      <name val="Meiryo"/>
      <family val="0"/>
      <charset val="1"/>
    </font>
    <font>
      <sz val="9"/>
      <color rgb="FF000000"/>
      <name val="MS PGothic"/>
      <family val="0"/>
      <charset val="1"/>
    </font>
    <font>
      <sz val="8"/>
      <color rgb="FFFF0000"/>
      <name val="MS PGothic"/>
      <family val="0"/>
      <charset val="1"/>
    </font>
    <font>
      <sz val="8"/>
      <color theme="1"/>
      <name val="Arial"/>
      <family val="0"/>
      <charset val="1"/>
    </font>
    <font>
      <sz val="8"/>
      <color rgb="FF000000"/>
      <name val="MS PGothic"/>
      <family val="0"/>
      <charset val="1"/>
    </font>
    <font>
      <sz val="8"/>
      <color theme="1"/>
      <name val="MS PGothic"/>
      <family val="0"/>
      <charset val="1"/>
    </font>
    <font>
      <sz val="9"/>
      <color theme="1"/>
      <name val="MS PGothic"/>
      <family val="0"/>
      <charset val="1"/>
    </font>
    <font>
      <b val="true"/>
      <sz val="9"/>
      <color rgb="FF000000"/>
      <name val="Meiryo"/>
      <family val="0"/>
      <charset val="1"/>
    </font>
    <font>
      <sz val="8"/>
      <color rgb="FF000000"/>
      <name val="Meiryo"/>
      <family val="0"/>
      <charset val="1"/>
    </font>
    <font>
      <sz val="8"/>
      <color theme="1"/>
      <name val="Meiryo"/>
      <family val="0"/>
      <charset val="1"/>
    </font>
    <font>
      <sz val="10"/>
      <color rgb="FFD8D8D8"/>
      <name val="Meiryo"/>
      <family val="0"/>
      <charset val="1"/>
    </font>
    <font>
      <b val="true"/>
      <sz val="9"/>
      <color rgb="FF000000"/>
      <name val="MS PGothic"/>
      <family val="0"/>
      <charset val="1"/>
    </font>
    <font>
      <sz val="9"/>
      <color rgb="FFD8D8D8"/>
      <name val="MS PGothic"/>
      <family val="0"/>
      <charset val="1"/>
    </font>
    <font>
      <sz val="8"/>
      <color rgb="FFD8D8D8"/>
      <name val="MS PGothic"/>
      <family val="0"/>
      <charset val="1"/>
    </font>
    <font>
      <sz val="8"/>
      <color rgb="FF00B050"/>
      <name val="Meiryo"/>
      <family val="0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Meiryo"/>
      <family val="0"/>
      <charset val="1"/>
    </font>
    <font>
      <b val="true"/>
      <sz val="10"/>
      <color theme="1"/>
      <name val="Noto Sans CJK SC"/>
      <family val="2"/>
      <charset val="1"/>
    </font>
    <font>
      <b val="true"/>
      <sz val="10"/>
      <color theme="1"/>
      <name val="MS PGothic"/>
      <family val="0"/>
      <charset val="1"/>
    </font>
    <font>
      <b val="true"/>
      <sz val="9"/>
      <color theme="1"/>
      <name val="MS PGothic"/>
      <family val="0"/>
      <charset val="1"/>
    </font>
    <font>
      <b val="true"/>
      <sz val="9"/>
      <color theme="1"/>
      <name val="Noto Sans CJK SC"/>
      <family val="2"/>
      <charset val="1"/>
    </font>
    <font>
      <b val="true"/>
      <sz val="8"/>
      <color theme="1"/>
      <name val="MS PGothic"/>
      <family val="0"/>
      <charset val="1"/>
    </font>
    <font>
      <b val="true"/>
      <sz val="9"/>
      <color rgb="FFFFFFFF"/>
      <name val="MS PGothic"/>
      <family val="0"/>
      <charset val="1"/>
    </font>
    <font>
      <b val="true"/>
      <sz val="8"/>
      <color rgb="FFFFFFFF"/>
      <name val="Noto Sans CJK SC"/>
      <family val="2"/>
      <charset val="1"/>
    </font>
    <font>
      <b val="true"/>
      <sz val="8"/>
      <color rgb="FFFFFFFF"/>
      <name val="Meiryo"/>
      <family val="0"/>
      <charset val="1"/>
    </font>
    <font>
      <sz val="8"/>
      <color rgb="FFFFFFFF"/>
      <name val="Noto Sans CJK SC"/>
      <family val="2"/>
      <charset val="1"/>
    </font>
    <font>
      <sz val="8"/>
      <color rgb="FFFFFFFF"/>
      <name val="Meiryo"/>
      <family val="0"/>
      <charset val="1"/>
    </font>
    <font>
      <sz val="10"/>
      <color rgb="FF000000"/>
      <name val="Noto Sans CJK SC"/>
      <family val="2"/>
      <charset val="1"/>
    </font>
    <font>
      <sz val="9"/>
      <color theme="1"/>
      <name val="Meiryo"/>
      <family val="0"/>
      <charset val="1"/>
    </font>
    <font>
      <sz val="9"/>
      <color theme="1"/>
      <name val="Noto Sans CJK SC"/>
      <family val="2"/>
      <charset val="1"/>
    </font>
    <font>
      <sz val="9"/>
      <color rgb="FF000000"/>
      <name val="Meiryo"/>
      <family val="0"/>
      <charset val="1"/>
    </font>
    <font>
      <sz val="8"/>
      <color theme="1"/>
      <name val="Noto Sans CJK SC"/>
      <family val="2"/>
      <charset val="1"/>
    </font>
    <font>
      <sz val="9"/>
      <color rgb="FF000000"/>
      <name val="Noto Sans CJK SC"/>
      <family val="2"/>
      <charset val="1"/>
    </font>
    <font>
      <sz val="8"/>
      <color rgb="FFA5A5A5"/>
      <name val="MS PGothic"/>
      <family val="0"/>
      <charset val="1"/>
    </font>
    <font>
      <sz val="9"/>
      <color rgb="FFA5A5A5"/>
      <name val="MS PGothic"/>
      <family val="0"/>
      <charset val="1"/>
    </font>
    <font>
      <sz val="9"/>
      <color rgb="FFA5A5A5"/>
      <name val="Meiryo"/>
      <family val="0"/>
      <charset val="1"/>
    </font>
    <font>
      <sz val="11"/>
      <color theme="1"/>
      <name val="Meiryo"/>
      <family val="0"/>
      <charset val="1"/>
    </font>
    <font>
      <sz val="6"/>
      <color rgb="FF000000"/>
      <name val="Meiryo"/>
      <family val="0"/>
      <charset val="1"/>
    </font>
    <font>
      <sz val="8"/>
      <color rgb="FFA5A5A5"/>
      <name val="Meiryo"/>
      <family val="0"/>
      <charset val="1"/>
    </font>
    <font>
      <sz val="9"/>
      <color rgb="FF000000"/>
      <name val="Arial"/>
      <family val="0"/>
      <charset val="1"/>
    </font>
    <font>
      <sz val="9"/>
      <color theme="1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sz val="10"/>
      <name val="Arial"/>
      <family val="2"/>
    </font>
    <font>
      <sz val="10"/>
      <name val="Noto Sans CJK SC"/>
      <family val="2"/>
      <charset val="1"/>
    </font>
    <font>
      <sz val="10"/>
      <name val="Arial"/>
      <family val="2"/>
      <charset val="1"/>
    </font>
    <font>
      <i val="true"/>
      <sz val="10"/>
      <color rgb="FFFF0000"/>
      <name val="Meiryo"/>
      <family val="0"/>
      <charset val="1"/>
    </font>
    <font>
      <sz val="10"/>
      <color rgb="FFFF0000"/>
      <name val="Noto Sans CJK SC"/>
      <family val="2"/>
      <charset val="1"/>
    </font>
    <font>
      <sz val="10"/>
      <color theme="1"/>
      <name val="Meiryo"/>
      <family val="0"/>
      <charset val="1"/>
    </font>
    <font>
      <sz val="7"/>
      <color theme="1"/>
      <name val="Noto Sans CJK SC"/>
      <family val="2"/>
      <charset val="1"/>
    </font>
    <font>
      <b val="true"/>
      <sz val="10"/>
      <color rgb="FFFF0000"/>
      <name val="Noto Sans CJK SC"/>
      <family val="2"/>
      <charset val="1"/>
    </font>
    <font>
      <b val="true"/>
      <sz val="10"/>
      <color rgb="FFFF0000"/>
      <name val="Meiryo"/>
      <family val="0"/>
      <charset val="1"/>
    </font>
    <font>
      <sz val="10"/>
      <color rgb="FFFFFFFF"/>
      <name val="Noto Sans CJK SC"/>
      <family val="2"/>
      <charset val="1"/>
    </font>
    <font>
      <sz val="10"/>
      <color theme="1"/>
      <name val="Noto Sans CJK SC"/>
      <family val="2"/>
      <charset val="1"/>
    </font>
    <font>
      <sz val="10"/>
      <color rgb="FF222222"/>
      <name val="Meiryo"/>
      <family val="0"/>
      <charset val="1"/>
    </font>
    <font>
      <sz val="10"/>
      <color rgb="FF1E1919"/>
      <name val="Noto Sans CJK SC"/>
      <family val="2"/>
      <charset val="1"/>
    </font>
    <font>
      <strike val="true"/>
      <sz val="10"/>
      <color theme="1"/>
      <name val="Meiryo"/>
      <family val="0"/>
      <charset val="1"/>
    </font>
    <font>
      <u val="single"/>
      <sz val="10"/>
      <color theme="10"/>
      <name val="Arial"/>
      <family val="0"/>
      <charset val="1"/>
    </font>
    <font>
      <sz val="10"/>
      <color rgb="FF000000"/>
      <name val="&quot;ｍｓ 明朝&quot;"/>
      <family val="0"/>
      <charset val="1"/>
    </font>
    <font>
      <sz val="10"/>
      <color theme="1"/>
      <name val="Arial"/>
      <family val="0"/>
      <charset val="1"/>
    </font>
    <font>
      <sz val="8"/>
      <color theme="1"/>
      <name val="&quot;ms p明朝&quot;"/>
      <family val="0"/>
      <charset val="1"/>
    </font>
    <font>
      <i val="true"/>
      <sz val="10"/>
      <color rgb="FFFF0000"/>
      <name val="Arial"/>
      <family val="0"/>
      <charset val="1"/>
    </font>
    <font>
      <sz val="10"/>
      <color rgb="FFFF0000"/>
      <name val="Arial"/>
      <family val="0"/>
      <charset val="1"/>
    </font>
    <font>
      <sz val="7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0"/>
      <color theme="1"/>
      <name val="Meiryo"/>
      <family val="0"/>
      <charset val="1"/>
    </font>
    <font>
      <sz val="10"/>
      <color rgb="FF222222"/>
      <name val="Arial"/>
      <family val="0"/>
      <charset val="1"/>
    </font>
    <font>
      <strike val="true"/>
      <sz val="10"/>
      <color theme="1"/>
      <name val="Noto Sans CJK SC"/>
      <family val="2"/>
      <charset val="1"/>
    </font>
    <font>
      <sz val="10"/>
      <color rgb="FF000000"/>
      <name val="MS Mincho"/>
      <family val="0"/>
      <charset val="1"/>
    </font>
    <font>
      <sz val="10"/>
      <color rgb="FF000000"/>
      <name val="Roboto"/>
      <family val="0"/>
      <charset val="1"/>
    </font>
    <font>
      <sz val="8"/>
      <color rgb="FFFF0000"/>
      <name val="Arial"/>
      <family val="0"/>
      <charset val="1"/>
    </font>
    <font>
      <strike val="true"/>
      <sz val="10"/>
      <color theme="1"/>
      <name val="Arial"/>
      <family val="0"/>
      <charset val="1"/>
    </font>
    <font>
      <b val="true"/>
      <strike val="true"/>
      <sz val="10"/>
      <color theme="1"/>
      <name val="Noto Sans CJK SC"/>
      <family val="2"/>
      <charset val="1"/>
    </font>
    <font>
      <sz val="8"/>
      <color rgb="FF000000"/>
      <name val="Noto Sans CJK SC"/>
      <family val="2"/>
      <charset val="1"/>
    </font>
    <font>
      <sz val="8"/>
      <color rgb="FFFF0000"/>
      <name val="Noto Sans CJK SC"/>
      <family val="2"/>
      <charset val="1"/>
    </font>
    <font>
      <strike val="true"/>
      <sz val="10"/>
      <color rgb="FF444444"/>
      <name val="Noto Sans CJK SC"/>
      <family val="2"/>
      <charset val="1"/>
    </font>
  </fonts>
  <fills count="26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EAD1DC"/>
        <bgColor rgb="FFF4CCCC"/>
      </patternFill>
    </fill>
    <fill>
      <patternFill patternType="solid">
        <fgColor theme="0"/>
        <bgColor rgb="FFFFFFCC"/>
      </patternFill>
    </fill>
    <fill>
      <patternFill patternType="solid">
        <fgColor rgb="FF7F7F7F"/>
        <bgColor rgb="FF959595"/>
      </patternFill>
    </fill>
    <fill>
      <patternFill patternType="solid">
        <fgColor rgb="FF4A86E8"/>
        <bgColor rgb="FF7F7F7F"/>
      </patternFill>
    </fill>
    <fill>
      <patternFill patternType="solid">
        <fgColor rgb="FFCCC0D9"/>
        <bgColor rgb="FFCCCCCC"/>
      </patternFill>
    </fill>
    <fill>
      <patternFill patternType="solid">
        <fgColor rgb="FFB6DDE8"/>
        <bgColor rgb="FFB7E1CD"/>
      </patternFill>
    </fill>
    <fill>
      <patternFill patternType="solid">
        <fgColor rgb="FF00B050"/>
        <bgColor rgb="FF008080"/>
      </patternFill>
    </fill>
    <fill>
      <patternFill patternType="solid">
        <fgColor rgb="FFFFCC99"/>
        <bgColor rgb="FFFABF8F"/>
      </patternFill>
    </fill>
    <fill>
      <patternFill patternType="solid">
        <fgColor rgb="FFFFFFCC"/>
        <bgColor rgb="FFFFFFFF"/>
      </patternFill>
    </fill>
    <fill>
      <patternFill patternType="solid">
        <fgColor rgb="FFCCCCCC"/>
        <bgColor rgb="FFCCC0D9"/>
      </patternFill>
    </fill>
    <fill>
      <patternFill patternType="solid">
        <fgColor rgb="FFCCFFCC"/>
        <bgColor rgb="FFCCFFFF"/>
      </patternFill>
    </fill>
    <fill>
      <patternFill patternType="solid">
        <fgColor rgb="FFFABF8F"/>
        <bgColor rgb="FFFFCC99"/>
      </patternFill>
    </fill>
    <fill>
      <patternFill patternType="solid">
        <fgColor rgb="FFCCFFFF"/>
        <bgColor rgb="FFCCFFCC"/>
      </patternFill>
    </fill>
    <fill>
      <patternFill patternType="solid">
        <fgColor rgb="FFFF99FF"/>
        <bgColor rgb="FFCCC0D9"/>
      </patternFill>
    </fill>
    <fill>
      <patternFill patternType="solid">
        <fgColor rgb="FFF4CCCC"/>
        <bgColor rgb="FFEAD1DC"/>
      </patternFill>
    </fill>
    <fill>
      <patternFill patternType="solid">
        <fgColor rgb="FFBFBFBF"/>
        <bgColor rgb="FFC0C0C0"/>
      </patternFill>
    </fill>
    <fill>
      <patternFill patternType="solid">
        <fgColor rgb="FFCCCCFF"/>
        <bgColor rgb="FFCCC0D9"/>
      </patternFill>
    </fill>
    <fill>
      <patternFill patternType="solid">
        <fgColor rgb="FFFFFF99"/>
        <bgColor rgb="FFFFFFCC"/>
      </patternFill>
    </fill>
    <fill>
      <patternFill patternType="solid">
        <fgColor rgb="FFBDBDBD"/>
        <bgColor rgb="FFBFBFBF"/>
      </patternFill>
    </fill>
    <fill>
      <patternFill patternType="solid">
        <fgColor rgb="FF999999"/>
        <bgColor rgb="FF969696"/>
      </patternFill>
    </fill>
    <fill>
      <patternFill patternType="solid">
        <fgColor rgb="FF969696"/>
        <bgColor rgb="FF959595"/>
      </patternFill>
    </fill>
    <fill>
      <patternFill patternType="solid">
        <fgColor rgb="FF666666"/>
        <bgColor rgb="FF7F7F7F"/>
      </patternFill>
    </fill>
    <fill>
      <patternFill patternType="solid">
        <fgColor rgb="FF959595"/>
        <bgColor rgb="FF969696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>
        <color rgb="FFC0C0C0"/>
      </left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thick"/>
      <bottom style="thick"/>
      <diagonal/>
    </border>
    <border diagonalUp="false" diagonalDown="false">
      <left style="medium"/>
      <right style="medium"/>
      <top style="thick"/>
      <bottom style="thick"/>
      <diagonal/>
    </border>
    <border diagonalUp="false" diagonalDown="false">
      <left style="medium"/>
      <right/>
      <top style="thick"/>
      <bottom style="thick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ck"/>
      <top style="medium"/>
      <bottom style="medium"/>
      <diagonal/>
    </border>
    <border diagonalUp="false" diagonalDown="false">
      <left style="thick"/>
      <right style="thick"/>
      <top style="medium"/>
      <bottom style="medium"/>
      <diagonal/>
    </border>
    <border diagonalUp="false" diagonalDown="false">
      <left/>
      <right/>
      <top style="thin">
        <color rgb="FFC0C0C0"/>
      </top>
      <bottom style="thin">
        <color rgb="FFC0C0C0"/>
      </bottom>
      <diagonal/>
    </border>
    <border diagonalUp="false" diagonalDown="false">
      <left/>
      <right style="thin">
        <color rgb="FFC0C0C0"/>
      </right>
      <top/>
      <bottom style="thin">
        <color rgb="FFC0C0C0"/>
      </bottom>
      <diagonal/>
    </border>
    <border diagonalUp="false" diagonalDown="false">
      <left/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 style="thin">
        <color rgb="FFC0C0C0"/>
      </right>
      <top/>
      <bottom/>
      <diagonal/>
    </border>
    <border diagonalUp="false" diagonalDown="false">
      <left/>
      <right/>
      <top/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1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1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1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1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6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5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6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4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2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3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35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6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7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8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8" fillId="8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9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5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0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6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1" fillId="5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8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35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6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35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6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4" fillId="5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6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5" fillId="6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20" fillId="6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7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8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3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3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11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58" fillId="11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58" fillId="11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58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5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3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8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3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1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58" fillId="1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3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8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3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1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58" fillId="13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3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8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1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58" fillId="1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9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1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3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3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1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8" fillId="1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3" fillId="1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1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" fillId="1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" fillId="15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58" fillId="15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3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15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1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1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15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1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8" fillId="1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3" fillId="1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1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1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8" fillId="16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3" fillId="16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58" fillId="16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3" fillId="1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11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3" fillId="11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1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3" fillId="1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1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3" fillId="1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1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1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1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1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17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58" fillId="17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2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1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8" fillId="1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3" fillId="1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1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1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18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58" fillId="18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3" fillId="1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2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4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8" fillId="3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19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0" fillId="19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5" fillId="19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19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19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19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19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2" fillId="19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2" fillId="19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19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4" fillId="2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8" fillId="2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2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64" fillId="21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64" fillId="2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36" fillId="2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2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1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4" fillId="2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8" fillId="2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4" fillId="22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2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2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22" borderId="1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6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4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8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4" fillId="2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64" fillId="13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22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4" fillId="2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8" fillId="2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4" fillId="23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2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" fillId="2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2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8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8" fillId="1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36" fillId="1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64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4" fillId="1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8" fillId="1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15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64" fillId="15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1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" fillId="1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1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" fillId="2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2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20" borderId="1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4" fillId="0" borderId="1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64" fillId="2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1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4" fillId="22" borderId="1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1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4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2" fillId="2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2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2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4" fillId="3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4" fillId="3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36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4" fillId="0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4" fillId="22" borderId="1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4" fillId="2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4" fillId="22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8" fillId="2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4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2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76" fillId="22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2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8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2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64" fillId="22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6" fontId="64" fillId="22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7" fillId="2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76" fillId="2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1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4" fillId="0" borderId="1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4" fillId="0" borderId="1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64" fillId="2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6" fillId="2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76" fillId="2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7" fillId="2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4" fillId="22" borderId="1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7" fillId="2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" fillId="2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64" fillId="18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15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0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13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4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73" fillId="1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1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22" borderId="1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8" fillId="2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2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8" fillId="2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5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2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4" fillId="25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2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2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25" borderId="1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64" fillId="1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4" fillId="0" borderId="1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3" fillId="2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7" fillId="2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0" fillId="2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23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5">
    <dxf>
      <fill>
        <patternFill patternType="solid">
          <fgColor rgb="FF4A86E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B6DDE8"/>
          <bgColor rgb="FF000000"/>
        </patternFill>
      </fill>
    </dxf>
    <dxf>
      <fill>
        <patternFill patternType="solid">
          <fgColor rgb="FFCCC0D9"/>
          <bgColor rgb="FF000000"/>
        </patternFill>
      </fill>
    </dxf>
    <dxf>
      <fill>
        <patternFill patternType="solid">
          <fgColor rgb="FFFFCC99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A5A5A5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CCCCCC"/>
          <bgColor rgb="FF000000"/>
        </patternFill>
      </fill>
    </dxf>
    <dxf>
      <fill>
        <patternFill patternType="solid">
          <fgColor rgb="FFCCFFCC"/>
          <bgColor rgb="FF000000"/>
        </patternFill>
      </fill>
    </dxf>
    <dxf>
      <fill>
        <patternFill patternType="solid">
          <fgColor rgb="FFCCFFFF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99FF"/>
          <bgColor rgb="FF000000"/>
        </patternFill>
      </fill>
    </dxf>
    <dxf>
      <fill>
        <patternFill patternType="solid">
          <fgColor rgb="FFFFFFCC"/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1E1919"/>
          <bgColor rgb="FF000000"/>
        </patternFill>
      </fill>
    </dxf>
    <dxf>
      <fill>
        <patternFill patternType="solid">
          <fgColor rgb="FFFABF8F"/>
          <bgColor rgb="FF000000"/>
        </patternFill>
      </fill>
    </dxf>
    <dxf>
      <fill>
        <patternFill>
          <bgColor rgb="FFB7E1CD"/>
        </patternFill>
      </fill>
    </dxf>
    <dxf>
      <fill>
        <patternFill>
          <bgColor rgb="FFFF00FF"/>
        </patternFill>
      </fill>
    </dxf>
    <dxf>
      <fill>
        <patternFill patternType="solid">
          <fgColor rgb="FF959595"/>
          <bgColor rgb="FF000000"/>
        </patternFill>
      </fill>
    </dxf>
    <dxf>
      <fill>
        <patternFill patternType="solid">
          <fgColor rgb="FF969696"/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 patternType="solid">
          <fgColor rgb="FFCCCCFF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 patternType="solid">
          <fgColor rgb="FF444444"/>
          <bgColor rgb="FF000000"/>
        </patternFill>
      </fill>
    </dxf>
    <dxf>
      <fill>
        <patternFill patternType="solid">
          <fgColor rgb="FFC0C0C0"/>
          <bgColor rgb="FF000000"/>
        </patternFill>
      </fill>
    </dxf>
    <dxf>
      <fill>
        <patternFill patternType="solid">
          <fgColor rgb="FFEAD1DC"/>
          <bgColor rgb="FF000000"/>
        </patternFill>
      </fill>
    </dxf>
    <dxf>
      <fill>
        <patternFill patternType="solid">
          <fgColor rgb="FFBDBDBD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>
          <bgColor rgb="FF96969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4CCCC"/>
      <rgbColor rgb="FFFF00FF"/>
      <rgbColor rgb="FF00FFFF"/>
      <rgbColor rgb="FF800000"/>
      <rgbColor rgb="FF008000"/>
      <rgbColor rgb="FF000080"/>
      <rgbColor rgb="FF959595"/>
      <rgbColor rgb="FF800080"/>
      <rgbColor rgb="FF008080"/>
      <rgbColor rgb="FFC0C0C0"/>
      <rgbColor rgb="FF7F7F7F"/>
      <rgbColor rgb="FFA5A5A5"/>
      <rgbColor rgb="FF993366"/>
      <rgbColor rgb="FFFFFFCC"/>
      <rgbColor rgb="FFCCFFFF"/>
      <rgbColor rgb="FF660066"/>
      <rgbColor rgb="FF999999"/>
      <rgbColor rgb="FF0066CC"/>
      <rgbColor rgb="FFCCCCFF"/>
      <rgbColor rgb="FF000080"/>
      <rgbColor rgb="FFFF00FF"/>
      <rgbColor rgb="FFD8D8D8"/>
      <rgbColor rgb="FF00FFFF"/>
      <rgbColor rgb="FF800080"/>
      <rgbColor rgb="FF800000"/>
      <rgbColor rgb="FF008080"/>
      <rgbColor rgb="FF0000FF"/>
      <rgbColor rgb="FF00B0F0"/>
      <rgbColor rgb="FFB7E1CD"/>
      <rgbColor rgb="FFCCFFCC"/>
      <rgbColor rgb="FFFFFF99"/>
      <rgbColor rgb="FFB6DDE8"/>
      <rgbColor rgb="FFFF99FF"/>
      <rgbColor rgb="FFCCC0D9"/>
      <rgbColor rgb="FFFFCC99"/>
      <rgbColor rgb="FF4A86E8"/>
      <rgbColor rgb="FFBFBFBF"/>
      <rgbColor rgb="FFBDBDBD"/>
      <rgbColor rgb="FFFABF8F"/>
      <rgbColor rgb="FFCCCCCC"/>
      <rgbColor rgb="FFEAD1DC"/>
      <rgbColor rgb="FF666666"/>
      <rgbColor rgb="FF969696"/>
      <rgbColor rgb="FF003366"/>
      <rgbColor rgb="FF00B050"/>
      <rgbColor rgb="FF003300"/>
      <rgbColor rgb="FF1E1919"/>
      <rgbColor rgb="FF993300"/>
      <rgbColor rgb="FF993366"/>
      <rgbColor rgb="FF444444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mailto:yoshikosugawa@hotmail.com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A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C10" activeCellId="0" sqref="AC10"/>
    </sheetView>
  </sheetViews>
  <sheetFormatPr defaultColWidth="12.6328125" defaultRowHeight="15" zeroHeight="false" outlineLevelRow="0" outlineLevelCol="1"/>
  <cols>
    <col collapsed="false" customWidth="true" hidden="true" outlineLevel="1" max="1" min="1" style="1" width="5.63"/>
    <col collapsed="false" customWidth="true" hidden="false" outlineLevel="0" max="2" min="2" style="1" width="3.63"/>
    <col collapsed="false" customWidth="true" hidden="false" outlineLevel="0" max="3" min="3" style="1" width="8.38"/>
    <col collapsed="false" customWidth="true" hidden="false" outlineLevel="0" max="4" min="4" style="1" width="11"/>
    <col collapsed="false" customWidth="true" hidden="false" outlineLevel="0" max="5" min="5" style="1" width="4"/>
    <col collapsed="false" customWidth="true" hidden="false" outlineLevel="1" max="6" min="6" style="1" width="9.63"/>
    <col collapsed="false" customWidth="true" hidden="false" outlineLevel="1" max="7" min="7" style="1" width="22.38"/>
    <col collapsed="false" customWidth="true" hidden="false" outlineLevel="0" max="8" min="8" style="1" width="8.25"/>
    <col collapsed="false" customWidth="true" hidden="false" outlineLevel="0" max="9" min="9" style="1" width="8.75"/>
    <col collapsed="false" customWidth="true" hidden="false" outlineLevel="0" max="10" min="10" style="1" width="6"/>
    <col collapsed="false" customWidth="true" hidden="false" outlineLevel="0" max="11" min="11" style="1" width="5.75"/>
    <col collapsed="false" customWidth="true" hidden="false" outlineLevel="0" max="12" min="12" style="1" width="3.88"/>
    <col collapsed="false" customWidth="true" hidden="false" outlineLevel="0" max="13" min="13" style="1" width="4.13"/>
    <col collapsed="false" customWidth="true" hidden="false" outlineLevel="0" max="14" min="14" style="1" width="17"/>
    <col collapsed="false" customWidth="true" hidden="false" outlineLevel="0" max="15" min="15" style="1" width="6.75"/>
    <col collapsed="false" customWidth="true" hidden="false" outlineLevel="0" max="16" min="16" style="1" width="4.25"/>
    <col collapsed="false" customWidth="true" hidden="false" outlineLevel="0" max="17" min="17" style="1" width="3"/>
    <col collapsed="false" customWidth="true" hidden="false" outlineLevel="0" max="18" min="18" style="1" width="9"/>
    <col collapsed="false" customWidth="true" hidden="false" outlineLevel="0" max="19" min="19" style="1" width="3.63"/>
    <col collapsed="false" customWidth="true" hidden="false" outlineLevel="0" max="20" min="20" style="1" width="3.75"/>
    <col collapsed="false" customWidth="true" hidden="false" outlineLevel="0" max="21" min="21" style="1" width="8.63"/>
    <col collapsed="false" customWidth="true" hidden="false" outlineLevel="0" max="22" min="22" style="1" width="12.5"/>
    <col collapsed="false" customWidth="true" hidden="false" outlineLevel="0" max="23" min="23" style="1" width="7.11"/>
    <col collapsed="false" customWidth="true" hidden="false" outlineLevel="0" max="24" min="24" style="1" width="9.33"/>
    <col collapsed="false" customWidth="true" hidden="false" outlineLevel="0" max="25" min="25" style="1" width="9.38"/>
    <col collapsed="false" customWidth="true" hidden="false" outlineLevel="0" max="26" min="26" style="1" width="15.51"/>
    <col collapsed="false" customWidth="true" hidden="false" outlineLevel="0" max="28" min="27" style="1" width="3.25"/>
    <col collapsed="false" customWidth="true" hidden="false" outlineLevel="0" max="29" min="29" style="1" width="11"/>
    <col collapsed="false" customWidth="true" hidden="false" outlineLevel="0" max="31" min="30" style="1" width="3.25"/>
    <col collapsed="false" customWidth="true" hidden="false" outlineLevel="0" max="32" min="32" style="1" width="6.51"/>
    <col collapsed="false" customWidth="true" hidden="false" outlineLevel="0" max="33" min="33" style="1" width="4.63"/>
    <col collapsed="false" customWidth="true" hidden="false" outlineLevel="0" max="36" min="34" style="1" width="6.51"/>
  </cols>
  <sheetData>
    <row r="1" customFormat="false" ht="12.75" hidden="false" customHeight="true" outlineLevel="0" collapsed="false">
      <c r="A1" s="2"/>
      <c r="B1" s="3" t="s">
        <v>0</v>
      </c>
      <c r="C1" s="3"/>
      <c r="D1" s="4"/>
      <c r="E1" s="5"/>
      <c r="F1" s="6"/>
      <c r="G1" s="7"/>
      <c r="H1" s="8"/>
      <c r="I1" s="9"/>
      <c r="J1" s="10" t="s">
        <v>1</v>
      </c>
      <c r="K1" s="10"/>
      <c r="L1" s="10"/>
      <c r="M1" s="10"/>
      <c r="N1" s="11"/>
      <c r="O1" s="12" t="s">
        <v>2</v>
      </c>
      <c r="P1" s="13"/>
      <c r="Q1" s="14"/>
      <c r="R1" s="15"/>
      <c r="S1" s="14"/>
      <c r="T1" s="8"/>
      <c r="U1" s="16"/>
      <c r="V1" s="17"/>
      <c r="W1" s="18"/>
      <c r="X1" s="19"/>
      <c r="Y1" s="20"/>
      <c r="Z1" s="21"/>
      <c r="AA1" s="22"/>
      <c r="AB1" s="23"/>
      <c r="AC1" s="24"/>
      <c r="AD1" s="20"/>
      <c r="AE1" s="20"/>
      <c r="AF1" s="20"/>
      <c r="AG1" s="20"/>
      <c r="AH1" s="20"/>
      <c r="AI1" s="20"/>
      <c r="AJ1" s="20"/>
    </row>
    <row r="2" customFormat="false" ht="13.5" hidden="false" customHeight="true" outlineLevel="0" collapsed="false">
      <c r="A2" s="2"/>
      <c r="B2" s="25" t="n">
        <f aca="false">C2+H2+J2+L2</f>
        <v>17</v>
      </c>
      <c r="C2" s="25" t="n">
        <f aca="false">COUNTA(C4:C22)</f>
        <v>10</v>
      </c>
      <c r="D2" s="26" t="s">
        <v>3</v>
      </c>
      <c r="E2" s="5"/>
      <c r="F2" s="6"/>
      <c r="G2" s="7"/>
      <c r="H2" s="27" t="n">
        <f aca="false">COUNTA(H4:H38)-1</f>
        <v>7</v>
      </c>
      <c r="I2" s="28" t="n">
        <f aca="false">COUNTA(I4:I38)-1</f>
        <v>7</v>
      </c>
      <c r="J2" s="28" t="n">
        <f aca="false">COUNTA(J4:J38)-1</f>
        <v>0</v>
      </c>
      <c r="K2" s="28" t="n">
        <f aca="false">COUNTA(K4:K38)-1</f>
        <v>0</v>
      </c>
      <c r="L2" s="28" t="n">
        <f aca="false">COUNTA(L4:L38)-1</f>
        <v>0</v>
      </c>
      <c r="M2" s="28" t="n">
        <f aca="false">COUNTA(M4:M38)-1</f>
        <v>0</v>
      </c>
      <c r="N2" s="14"/>
      <c r="O2" s="14"/>
      <c r="P2" s="15"/>
      <c r="Q2" s="14"/>
      <c r="R2" s="15"/>
      <c r="S2" s="14"/>
      <c r="T2" s="8" t="s">
        <v>4</v>
      </c>
      <c r="U2" s="16"/>
      <c r="V2" s="17"/>
      <c r="W2" s="29"/>
      <c r="X2" s="29"/>
      <c r="Y2" s="20"/>
      <c r="Z2" s="20"/>
      <c r="AA2" s="22"/>
      <c r="AB2" s="23"/>
      <c r="AC2" s="24"/>
      <c r="AD2" s="20"/>
      <c r="AE2" s="20"/>
      <c r="AF2" s="20"/>
      <c r="AG2" s="20"/>
      <c r="AH2" s="20"/>
      <c r="AI2" s="20"/>
      <c r="AJ2" s="20"/>
    </row>
    <row r="3" customFormat="false" ht="28.5" hidden="false" customHeight="true" outlineLevel="0" collapsed="false">
      <c r="A3" s="30" t="s">
        <v>5</v>
      </c>
      <c r="B3" s="31" t="s">
        <v>6</v>
      </c>
      <c r="C3" s="32" t="s">
        <v>7</v>
      </c>
      <c r="D3" s="33" t="s">
        <v>8</v>
      </c>
      <c r="E3" s="33" t="s">
        <v>9</v>
      </c>
      <c r="F3" s="34" t="s">
        <v>10</v>
      </c>
      <c r="G3" s="35" t="s">
        <v>11</v>
      </c>
      <c r="H3" s="36" t="s">
        <v>12</v>
      </c>
      <c r="I3" s="37" t="s">
        <v>13</v>
      </c>
      <c r="J3" s="37" t="s">
        <v>14</v>
      </c>
      <c r="K3" s="37" t="s">
        <v>13</v>
      </c>
      <c r="L3" s="37" t="s">
        <v>15</v>
      </c>
      <c r="M3" s="37" t="s">
        <v>13</v>
      </c>
      <c r="N3" s="36" t="s">
        <v>16</v>
      </c>
      <c r="O3" s="36"/>
      <c r="P3" s="38" t="s">
        <v>17</v>
      </c>
      <c r="Q3" s="38"/>
      <c r="R3" s="38" t="s">
        <v>18</v>
      </c>
      <c r="S3" s="38"/>
      <c r="T3" s="39" t="s">
        <v>19</v>
      </c>
      <c r="U3" s="40" t="s">
        <v>20</v>
      </c>
      <c r="V3" s="40" t="s">
        <v>21</v>
      </c>
      <c r="W3" s="35" t="s">
        <v>22</v>
      </c>
      <c r="X3" s="41" t="s">
        <v>23</v>
      </c>
      <c r="Y3" s="42" t="s">
        <v>24</v>
      </c>
      <c r="Z3" s="42" t="s">
        <v>25</v>
      </c>
      <c r="AA3" s="22"/>
      <c r="AB3" s="23"/>
      <c r="AC3" s="43" t="s">
        <v>26</v>
      </c>
      <c r="AD3" s="20"/>
      <c r="AE3" s="20"/>
      <c r="AF3" s="20"/>
      <c r="AG3" s="20"/>
      <c r="AH3" s="20"/>
      <c r="AI3" s="20"/>
      <c r="AJ3" s="20"/>
    </row>
    <row r="4" customFormat="false" ht="12.75" hidden="false" customHeight="true" outlineLevel="0" collapsed="false">
      <c r="A4" s="44"/>
      <c r="B4" s="45" t="n">
        <v>1</v>
      </c>
      <c r="C4" s="46" t="s">
        <v>27</v>
      </c>
      <c r="D4" s="47" t="s">
        <v>28</v>
      </c>
      <c r="E4" s="47" t="s">
        <v>29</v>
      </c>
      <c r="F4" s="48" t="s">
        <v>30</v>
      </c>
      <c r="G4" s="49" t="s">
        <v>31</v>
      </c>
      <c r="H4" s="50"/>
      <c r="I4" s="48"/>
      <c r="J4" s="51"/>
      <c r="K4" s="51"/>
      <c r="L4" s="51"/>
      <c r="M4" s="51"/>
      <c r="N4" s="52"/>
      <c r="O4" s="53"/>
      <c r="P4" s="52" t="n">
        <v>45878</v>
      </c>
      <c r="Q4" s="53" t="s">
        <v>32</v>
      </c>
      <c r="R4" s="54"/>
      <c r="S4" s="55"/>
      <c r="T4" s="56"/>
      <c r="U4" s="57" t="n">
        <v>45759</v>
      </c>
      <c r="V4" s="57"/>
      <c r="W4" s="58" t="s">
        <v>33</v>
      </c>
      <c r="X4" s="59"/>
      <c r="Y4" s="60"/>
      <c r="Z4" s="61"/>
      <c r="AA4" s="22"/>
      <c r="AB4" s="23"/>
      <c r="AC4" s="62"/>
      <c r="AD4" s="20"/>
      <c r="AE4" s="20"/>
      <c r="AF4" s="20"/>
      <c r="AG4" s="3"/>
      <c r="AH4" s="20"/>
      <c r="AI4" s="20"/>
      <c r="AJ4" s="20"/>
    </row>
    <row r="5" customFormat="false" ht="12.75" hidden="false" customHeight="true" outlineLevel="0" collapsed="false">
      <c r="A5" s="44"/>
      <c r="B5" s="45" t="n">
        <v>2</v>
      </c>
      <c r="C5" s="63" t="s">
        <v>27</v>
      </c>
      <c r="D5" s="64" t="s">
        <v>34</v>
      </c>
      <c r="E5" s="64" t="s">
        <v>35</v>
      </c>
      <c r="F5" s="65" t="s">
        <v>36</v>
      </c>
      <c r="G5" s="66" t="s">
        <v>37</v>
      </c>
      <c r="H5" s="67" t="s">
        <v>38</v>
      </c>
      <c r="I5" s="68" t="s">
        <v>39</v>
      </c>
      <c r="J5" s="68"/>
      <c r="K5" s="68"/>
      <c r="L5" s="68"/>
      <c r="M5" s="69"/>
      <c r="N5" s="54"/>
      <c r="O5" s="55"/>
      <c r="P5" s="54"/>
      <c r="Q5" s="55"/>
      <c r="R5" s="55" t="s">
        <v>40</v>
      </c>
      <c r="S5" s="55" t="s">
        <v>41</v>
      </c>
      <c r="T5" s="70"/>
      <c r="U5" s="71" t="n">
        <v>45759</v>
      </c>
      <c r="V5" s="72"/>
      <c r="W5" s="73" t="s">
        <v>42</v>
      </c>
      <c r="X5" s="74" t="str">
        <f aca="false">SUBSTITUTE(SUBSTITUTE(SUBSTITUTE(F5,"-",""),"(",""),")","")</f>
        <v>1234562222</v>
      </c>
      <c r="Y5" s="75"/>
      <c r="Z5" s="75"/>
      <c r="AA5" s="76"/>
      <c r="AB5" s="23"/>
      <c r="AC5" s="20"/>
      <c r="AD5" s="20"/>
      <c r="AE5" s="20"/>
      <c r="AF5" s="20"/>
      <c r="AG5" s="3"/>
      <c r="AH5" s="20"/>
      <c r="AI5" s="20"/>
      <c r="AJ5" s="20"/>
    </row>
    <row r="6" customFormat="false" ht="12.75" hidden="false" customHeight="true" outlineLevel="0" collapsed="false">
      <c r="A6" s="44"/>
      <c r="B6" s="45" t="n">
        <v>3</v>
      </c>
      <c r="C6" s="77" t="s">
        <v>27</v>
      </c>
      <c r="D6" s="78" t="s">
        <v>43</v>
      </c>
      <c r="E6" s="78" t="s">
        <v>44</v>
      </c>
      <c r="F6" s="79" t="s">
        <v>45</v>
      </c>
      <c r="G6" s="80" t="s">
        <v>46</v>
      </c>
      <c r="H6" s="53" t="s">
        <v>47</v>
      </c>
      <c r="I6" s="79" t="s">
        <v>48</v>
      </c>
      <c r="J6" s="81"/>
      <c r="K6" s="81"/>
      <c r="L6" s="81"/>
      <c r="M6" s="82"/>
      <c r="N6" s="52" t="n">
        <v>45815</v>
      </c>
      <c r="O6" s="53" t="s">
        <v>49</v>
      </c>
      <c r="P6" s="52"/>
      <c r="Q6" s="53"/>
      <c r="R6" s="52"/>
      <c r="S6" s="53"/>
      <c r="T6" s="83"/>
      <c r="U6" s="84" t="n">
        <v>45759</v>
      </c>
      <c r="V6" s="85"/>
      <c r="W6" s="86"/>
      <c r="X6" s="87" t="str">
        <f aca="false">SUBSTITUTE(SUBSTITUTE(SUBSTITUTE(F6,"-",""),"(",""),")","")</f>
        <v>1234563333</v>
      </c>
      <c r="Y6" s="88"/>
      <c r="Z6" s="88"/>
      <c r="AA6" s="22"/>
      <c r="AB6" s="23"/>
      <c r="AC6" s="20"/>
      <c r="AD6" s="20"/>
      <c r="AE6" s="20"/>
      <c r="AF6" s="20"/>
      <c r="AG6" s="3"/>
      <c r="AH6" s="20"/>
      <c r="AI6" s="20"/>
      <c r="AJ6" s="20"/>
    </row>
    <row r="7" customFormat="false" ht="12.75" hidden="false" customHeight="true" outlineLevel="0" collapsed="false">
      <c r="A7" s="44"/>
      <c r="B7" s="45" t="n">
        <v>4</v>
      </c>
      <c r="C7" s="89" t="s">
        <v>27</v>
      </c>
      <c r="D7" s="90" t="s">
        <v>50</v>
      </c>
      <c r="E7" s="90" t="s">
        <v>51</v>
      </c>
      <c r="F7" s="91" t="s">
        <v>52</v>
      </c>
      <c r="G7" s="92" t="s">
        <v>53</v>
      </c>
      <c r="H7" s="93" t="s">
        <v>47</v>
      </c>
      <c r="I7" s="91" t="s">
        <v>54</v>
      </c>
      <c r="J7" s="91"/>
      <c r="K7" s="91"/>
      <c r="L7" s="94"/>
      <c r="M7" s="94"/>
      <c r="N7" s="54"/>
      <c r="O7" s="55"/>
      <c r="P7" s="54"/>
      <c r="Q7" s="54"/>
      <c r="R7" s="54"/>
      <c r="S7" s="55"/>
      <c r="T7" s="95"/>
      <c r="U7" s="96" t="n">
        <v>45759</v>
      </c>
      <c r="V7" s="96"/>
      <c r="W7" s="97" t="s">
        <v>55</v>
      </c>
      <c r="X7" s="98" t="str">
        <f aca="false">SUBSTITUTE(SUBSTITUTE(SUBSTITUTE(F7,"-",""),"(",""),")","")</f>
        <v>1234564444</v>
      </c>
      <c r="Y7" s="99"/>
      <c r="Z7" s="100"/>
      <c r="AA7" s="22"/>
      <c r="AB7" s="23"/>
      <c r="AC7" s="20"/>
      <c r="AD7" s="20"/>
      <c r="AE7" s="20"/>
      <c r="AF7" s="20"/>
      <c r="AG7" s="3"/>
      <c r="AH7" s="20"/>
      <c r="AI7" s="20"/>
      <c r="AJ7" s="20"/>
    </row>
    <row r="8" customFormat="false" ht="12.75" hidden="false" customHeight="true" outlineLevel="0" collapsed="false">
      <c r="A8" s="44"/>
      <c r="B8" s="45" t="n">
        <v>5</v>
      </c>
      <c r="C8" s="101" t="s">
        <v>27</v>
      </c>
      <c r="D8" s="102" t="s">
        <v>56</v>
      </c>
      <c r="E8" s="103" t="s">
        <v>57</v>
      </c>
      <c r="F8" s="104" t="s">
        <v>58</v>
      </c>
      <c r="G8" s="105" t="s">
        <v>59</v>
      </c>
      <c r="H8" s="106"/>
      <c r="I8" s="104"/>
      <c r="J8" s="107"/>
      <c r="K8" s="107"/>
      <c r="L8" s="107"/>
      <c r="M8" s="107"/>
      <c r="N8" s="52"/>
      <c r="O8" s="53"/>
      <c r="P8" s="52" t="n">
        <v>45920</v>
      </c>
      <c r="Q8" s="53" t="s">
        <v>32</v>
      </c>
      <c r="R8" s="54"/>
      <c r="S8" s="55"/>
      <c r="T8" s="83"/>
      <c r="U8" s="108" t="n">
        <v>45759</v>
      </c>
      <c r="V8" s="108"/>
      <c r="W8" s="109" t="s">
        <v>60</v>
      </c>
      <c r="X8" s="110" t="str">
        <f aca="false">SUBSTITUTE(SUBSTITUTE(SUBSTITUTE(F8,"-",""),"(",""),")","")</f>
        <v>1234565555</v>
      </c>
      <c r="Y8" s="111"/>
      <c r="Z8" s="111"/>
      <c r="AA8" s="22"/>
      <c r="AB8" s="23"/>
      <c r="AC8" s="20"/>
      <c r="AD8" s="20"/>
      <c r="AE8" s="20"/>
      <c r="AF8" s="20"/>
      <c r="AG8" s="3"/>
      <c r="AH8" s="20"/>
      <c r="AI8" s="20"/>
      <c r="AJ8" s="20"/>
    </row>
    <row r="9" customFormat="false" ht="12.75" hidden="false" customHeight="true" outlineLevel="0" collapsed="false">
      <c r="A9" s="44"/>
      <c r="B9" s="45" t="n">
        <v>6</v>
      </c>
      <c r="C9" s="101" t="s">
        <v>27</v>
      </c>
      <c r="D9" s="102" t="s">
        <v>61</v>
      </c>
      <c r="E9" s="103" t="s">
        <v>62</v>
      </c>
      <c r="F9" s="104" t="s">
        <v>63</v>
      </c>
      <c r="G9" s="105" t="s">
        <v>64</v>
      </c>
      <c r="H9" s="106" t="s">
        <v>65</v>
      </c>
      <c r="I9" s="104" t="s">
        <v>66</v>
      </c>
      <c r="J9" s="107"/>
      <c r="K9" s="107"/>
      <c r="L9" s="107"/>
      <c r="M9" s="107"/>
      <c r="N9" s="52"/>
      <c r="O9" s="53"/>
      <c r="P9" s="52" t="n">
        <v>45920</v>
      </c>
      <c r="Q9" s="53" t="s">
        <v>67</v>
      </c>
      <c r="R9" s="54"/>
      <c r="S9" s="55"/>
      <c r="T9" s="83"/>
      <c r="U9" s="108" t="n">
        <v>45759</v>
      </c>
      <c r="V9" s="108"/>
      <c r="W9" s="109" t="s">
        <v>60</v>
      </c>
      <c r="X9" s="110" t="str">
        <f aca="false">SUBSTITUTE(SUBSTITUTE(SUBSTITUTE(F9,"-",""),"(",""),")","")</f>
        <v>1234566666</v>
      </c>
      <c r="Y9" s="111"/>
      <c r="Z9" s="111"/>
      <c r="AA9" s="22"/>
      <c r="AB9" s="23"/>
      <c r="AC9" s="20"/>
      <c r="AD9" s="20"/>
      <c r="AE9" s="20"/>
      <c r="AF9" s="20"/>
      <c r="AG9" s="3"/>
      <c r="AH9" s="20"/>
      <c r="AI9" s="20"/>
      <c r="AJ9" s="20"/>
    </row>
    <row r="10" customFormat="false" ht="12.75" hidden="false" customHeight="true" outlineLevel="0" collapsed="false">
      <c r="A10" s="44"/>
      <c r="B10" s="45" t="n">
        <v>7</v>
      </c>
      <c r="C10" s="77" t="s">
        <v>27</v>
      </c>
      <c r="D10" s="78" t="s">
        <v>68</v>
      </c>
      <c r="E10" s="78" t="s">
        <v>69</v>
      </c>
      <c r="F10" s="79" t="s">
        <v>70</v>
      </c>
      <c r="G10" s="80" t="s">
        <v>71</v>
      </c>
      <c r="H10" s="53" t="s">
        <v>72</v>
      </c>
      <c r="I10" s="79" t="s">
        <v>73</v>
      </c>
      <c r="J10" s="81"/>
      <c r="K10" s="81"/>
      <c r="L10" s="81"/>
      <c r="M10" s="82"/>
      <c r="N10" s="52"/>
      <c r="O10" s="53"/>
      <c r="P10" s="52" t="n">
        <v>45892</v>
      </c>
      <c r="Q10" s="53" t="s">
        <v>32</v>
      </c>
      <c r="R10" s="52"/>
      <c r="S10" s="53"/>
      <c r="T10" s="83"/>
      <c r="U10" s="84" t="n">
        <v>45759</v>
      </c>
      <c r="V10" s="85"/>
      <c r="W10" s="86"/>
      <c r="X10" s="87" t="str">
        <f aca="false">SUBSTITUTE(SUBSTITUTE(SUBSTITUTE(F10,"-",""),"(",""),")","")</f>
        <v>1234567777</v>
      </c>
      <c r="Y10" s="88"/>
      <c r="Z10" s="112"/>
      <c r="AA10" s="113"/>
      <c r="AB10" s="21"/>
      <c r="AC10" s="114"/>
      <c r="AD10" s="20"/>
      <c r="AE10" s="20"/>
      <c r="AF10" s="20"/>
      <c r="AG10" s="3"/>
      <c r="AH10" s="20"/>
      <c r="AI10" s="20"/>
      <c r="AJ10" s="20"/>
    </row>
    <row r="11" customFormat="false" ht="12.75" hidden="false" customHeight="true" outlineLevel="0" collapsed="false">
      <c r="A11" s="44"/>
      <c r="B11" s="45" t="n">
        <v>8</v>
      </c>
      <c r="C11" s="77" t="s">
        <v>27</v>
      </c>
      <c r="D11" s="78" t="s">
        <v>74</v>
      </c>
      <c r="E11" s="78" t="s">
        <v>75</v>
      </c>
      <c r="F11" s="79" t="s">
        <v>76</v>
      </c>
      <c r="G11" s="80" t="s">
        <v>77</v>
      </c>
      <c r="H11" s="53" t="s">
        <v>65</v>
      </c>
      <c r="I11" s="79" t="s">
        <v>78</v>
      </c>
      <c r="J11" s="81"/>
      <c r="K11" s="81"/>
      <c r="L11" s="81"/>
      <c r="M11" s="82"/>
      <c r="N11" s="52"/>
      <c r="O11" s="53"/>
      <c r="P11" s="52" t="n">
        <v>45815</v>
      </c>
      <c r="Q11" s="53" t="s">
        <v>67</v>
      </c>
      <c r="R11" s="52"/>
      <c r="S11" s="53"/>
      <c r="T11" s="83"/>
      <c r="U11" s="84" t="n">
        <v>45759</v>
      </c>
      <c r="V11" s="85"/>
      <c r="W11" s="86"/>
      <c r="X11" s="87" t="str">
        <f aca="false">SUBSTITUTE(SUBSTITUTE(SUBSTITUTE(F11,"-",""),"(",""),")","")</f>
        <v>1234568888</v>
      </c>
      <c r="Y11" s="88"/>
      <c r="Z11" s="88"/>
      <c r="AA11" s="22"/>
      <c r="AB11" s="23"/>
      <c r="AC11" s="20"/>
      <c r="AD11" s="20"/>
      <c r="AE11" s="20"/>
      <c r="AF11" s="20"/>
      <c r="AG11" s="3"/>
      <c r="AH11" s="20"/>
      <c r="AI11" s="20"/>
      <c r="AJ11" s="20"/>
    </row>
    <row r="12" customFormat="false" ht="12.75" hidden="false" customHeight="true" outlineLevel="0" collapsed="false">
      <c r="A12" s="44"/>
      <c r="B12" s="45" t="n">
        <v>9</v>
      </c>
      <c r="C12" s="77" t="s">
        <v>27</v>
      </c>
      <c r="D12" s="78" t="s">
        <v>79</v>
      </c>
      <c r="E12" s="78" t="s">
        <v>80</v>
      </c>
      <c r="F12" s="79" t="s">
        <v>81</v>
      </c>
      <c r="G12" s="80" t="s">
        <v>82</v>
      </c>
      <c r="H12" s="53"/>
      <c r="I12" s="79"/>
      <c r="J12" s="81"/>
      <c r="K12" s="81"/>
      <c r="L12" s="81"/>
      <c r="M12" s="82"/>
      <c r="N12" s="52"/>
      <c r="O12" s="53"/>
      <c r="P12" s="52" t="n">
        <v>45871</v>
      </c>
      <c r="Q12" s="53" t="s">
        <v>32</v>
      </c>
      <c r="R12" s="52"/>
      <c r="S12" s="53"/>
      <c r="T12" s="83"/>
      <c r="U12" s="84" t="n">
        <v>45759</v>
      </c>
      <c r="V12" s="85"/>
      <c r="W12" s="86"/>
      <c r="X12" s="87" t="str">
        <f aca="false">SUBSTITUTE(SUBSTITUTE(SUBSTITUTE(F12,"-",""),"(",""),")","")</f>
        <v>1234569999</v>
      </c>
      <c r="Y12" s="88"/>
      <c r="Z12" s="88"/>
      <c r="AA12" s="22"/>
      <c r="AB12" s="23"/>
      <c r="AC12" s="20"/>
      <c r="AD12" s="20"/>
      <c r="AE12" s="20"/>
      <c r="AF12" s="20"/>
      <c r="AG12" s="3"/>
      <c r="AH12" s="20"/>
      <c r="AI12" s="20"/>
      <c r="AJ12" s="20"/>
    </row>
    <row r="13" customFormat="false" ht="12.75" hidden="false" customHeight="true" outlineLevel="0" collapsed="false">
      <c r="A13" s="44"/>
      <c r="B13" s="45" t="n">
        <v>10</v>
      </c>
      <c r="C13" s="77" t="s">
        <v>27</v>
      </c>
      <c r="D13" s="78" t="s">
        <v>83</v>
      </c>
      <c r="E13" s="78" t="s">
        <v>84</v>
      </c>
      <c r="F13" s="79" t="s">
        <v>85</v>
      </c>
      <c r="G13" s="80" t="s">
        <v>86</v>
      </c>
      <c r="H13" s="53" t="s">
        <v>38</v>
      </c>
      <c r="I13" s="79" t="s">
        <v>87</v>
      </c>
      <c r="J13" s="81"/>
      <c r="K13" s="81"/>
      <c r="L13" s="81"/>
      <c r="M13" s="82"/>
      <c r="N13" s="52"/>
      <c r="O13" s="53"/>
      <c r="P13" s="52" t="n">
        <v>45871</v>
      </c>
      <c r="Q13" s="53" t="s">
        <v>67</v>
      </c>
      <c r="R13" s="52"/>
      <c r="S13" s="53"/>
      <c r="T13" s="83"/>
      <c r="U13" s="84" t="n">
        <v>45759</v>
      </c>
      <c r="V13" s="85"/>
      <c r="W13" s="86"/>
      <c r="X13" s="115" t="str">
        <f aca="false">SUBSTITUTE(SUBSTITUTE(SUBSTITUTE(F13,"-",""),"(",""),")","")</f>
        <v>1234560000</v>
      </c>
      <c r="Y13" s="116"/>
      <c r="Z13" s="116"/>
      <c r="AA13" s="22"/>
      <c r="AB13" s="23"/>
      <c r="AC13" s="20"/>
      <c r="AD13" s="20"/>
      <c r="AE13" s="20"/>
      <c r="AF13" s="20"/>
      <c r="AG13" s="3"/>
      <c r="AH13" s="20"/>
      <c r="AI13" s="20"/>
      <c r="AJ13" s="20"/>
    </row>
    <row r="14" customFormat="false" ht="12.75" hidden="false" customHeight="true" outlineLevel="0" collapsed="false">
      <c r="A14" s="117"/>
      <c r="B14" s="118"/>
      <c r="C14" s="118"/>
      <c r="D14" s="119" t="n">
        <v>1</v>
      </c>
      <c r="E14" s="119" t="n">
        <v>2</v>
      </c>
      <c r="F14" s="120" t="n">
        <v>3</v>
      </c>
      <c r="G14" s="121" t="n">
        <v>4</v>
      </c>
      <c r="H14" s="122" t="n">
        <v>5</v>
      </c>
      <c r="I14" s="123" t="n">
        <v>6</v>
      </c>
      <c r="J14" s="124" t="n">
        <v>7</v>
      </c>
      <c r="K14" s="124" t="n">
        <v>8</v>
      </c>
      <c r="L14" s="124" t="n">
        <v>9</v>
      </c>
      <c r="M14" s="124" t="n">
        <v>10</v>
      </c>
      <c r="N14" s="122" t="n">
        <v>11</v>
      </c>
      <c r="O14" s="122" t="n">
        <v>12</v>
      </c>
      <c r="P14" s="122" t="n">
        <v>13</v>
      </c>
      <c r="Q14" s="122" t="n">
        <v>14</v>
      </c>
      <c r="R14" s="122" t="n">
        <v>15</v>
      </c>
      <c r="S14" s="122" t="n">
        <v>16</v>
      </c>
      <c r="T14" s="122" t="n">
        <v>17</v>
      </c>
      <c r="U14" s="122" t="n">
        <v>18</v>
      </c>
      <c r="V14" s="122" t="n">
        <v>19</v>
      </c>
      <c r="W14" s="121" t="n">
        <v>20</v>
      </c>
      <c r="X14" s="121" t="n">
        <v>21</v>
      </c>
      <c r="Y14" s="121" t="n">
        <v>22</v>
      </c>
      <c r="Z14" s="121" t="n">
        <v>23</v>
      </c>
      <c r="AA14" s="125"/>
      <c r="AB14" s="126"/>
      <c r="AC14" s="126"/>
      <c r="AD14" s="126"/>
      <c r="AE14" s="126"/>
      <c r="AF14" s="126"/>
      <c r="AG14" s="126"/>
      <c r="AH14" s="126"/>
      <c r="AI14" s="126"/>
      <c r="AJ14" s="126"/>
    </row>
    <row r="15" customFormat="false" ht="12.75" hidden="false" customHeight="true" outlineLevel="0" collapsed="false">
      <c r="A15" s="127"/>
      <c r="B15" s="3"/>
      <c r="C15" s="3"/>
      <c r="D15" s="5"/>
      <c r="E15" s="5"/>
      <c r="F15" s="128"/>
      <c r="G15" s="129"/>
      <c r="H15" s="8"/>
      <c r="I15" s="130"/>
      <c r="J15" s="130"/>
      <c r="K15" s="130"/>
      <c r="L15" s="130"/>
      <c r="M15" s="130"/>
      <c r="N15" s="14"/>
      <c r="O15" s="14"/>
      <c r="P15" s="15"/>
      <c r="Q15" s="14"/>
      <c r="R15" s="15"/>
      <c r="S15" s="14"/>
      <c r="T15" s="8"/>
      <c r="U15" s="16"/>
      <c r="V15" s="17"/>
      <c r="W15" s="18"/>
      <c r="X15" s="18"/>
      <c r="Y15" s="20"/>
      <c r="Z15" s="20"/>
      <c r="AA15" s="22"/>
      <c r="AB15" s="20"/>
      <c r="AC15" s="24"/>
      <c r="AD15" s="20"/>
      <c r="AE15" s="20"/>
      <c r="AF15" s="20"/>
      <c r="AG15" s="20"/>
      <c r="AH15" s="20"/>
      <c r="AI15" s="20"/>
      <c r="AJ15" s="20"/>
    </row>
    <row r="16" customFormat="false" ht="12.75" hidden="false" customHeight="true" outlineLevel="0" collapsed="false">
      <c r="A16" s="127"/>
      <c r="B16" s="3"/>
      <c r="C16" s="3"/>
      <c r="D16" s="4"/>
      <c r="E16" s="5"/>
      <c r="F16" s="128"/>
      <c r="G16" s="129"/>
      <c r="H16" s="8"/>
      <c r="I16" s="9"/>
      <c r="J16" s="130"/>
      <c r="K16" s="130"/>
      <c r="L16" s="130"/>
      <c r="M16" s="130"/>
      <c r="N16" s="14"/>
      <c r="O16" s="14"/>
      <c r="P16" s="15"/>
      <c r="Q16" s="14"/>
      <c r="R16" s="15"/>
      <c r="S16" s="14"/>
      <c r="T16" s="8"/>
      <c r="U16" s="16"/>
      <c r="V16" s="17"/>
      <c r="X16" s="18"/>
      <c r="Y16" s="20"/>
      <c r="Z16" s="20"/>
      <c r="AA16" s="22"/>
      <c r="AB16" s="20"/>
      <c r="AC16" s="24"/>
      <c r="AD16" s="20"/>
      <c r="AE16" s="20"/>
      <c r="AF16" s="20"/>
      <c r="AG16" s="20"/>
      <c r="AH16" s="20"/>
      <c r="AI16" s="20"/>
      <c r="AJ16" s="20"/>
    </row>
    <row r="17" customFormat="false" ht="12.75" hidden="false" customHeight="true" outlineLevel="0" collapsed="false">
      <c r="A17" s="127"/>
      <c r="B17" s="3"/>
      <c r="C17" s="3"/>
      <c r="D17" s="4"/>
      <c r="E17" s="5"/>
      <c r="F17" s="128"/>
      <c r="G17" s="129"/>
      <c r="H17" s="131"/>
      <c r="I17" s="128"/>
      <c r="J17" s="130"/>
      <c r="K17" s="130"/>
      <c r="L17" s="130"/>
      <c r="M17" s="130"/>
      <c r="N17" s="14"/>
      <c r="O17" s="14"/>
      <c r="P17" s="15"/>
      <c r="Q17" s="14"/>
      <c r="R17" s="15"/>
      <c r="S17" s="14"/>
      <c r="T17" s="8"/>
      <c r="U17" s="16"/>
      <c r="V17" s="17"/>
      <c r="X17" s="18"/>
      <c r="Y17" s="20"/>
      <c r="Z17" s="20"/>
      <c r="AA17" s="22"/>
      <c r="AB17" s="20"/>
      <c r="AC17" s="24"/>
      <c r="AD17" s="20"/>
      <c r="AE17" s="20"/>
      <c r="AF17" s="20"/>
      <c r="AG17" s="20"/>
      <c r="AH17" s="20"/>
      <c r="AI17" s="20"/>
      <c r="AJ17" s="20"/>
    </row>
    <row r="18" customFormat="false" ht="12.75" hidden="false" customHeight="true" outlineLevel="0" collapsed="false">
      <c r="A18" s="127"/>
      <c r="B18" s="3"/>
      <c r="C18" s="3"/>
      <c r="D18" s="5"/>
      <c r="E18" s="5"/>
      <c r="F18" s="128"/>
      <c r="G18" s="129"/>
      <c r="H18" s="8"/>
      <c r="I18" s="130"/>
      <c r="J18" s="130"/>
      <c r="K18" s="130"/>
      <c r="L18" s="130"/>
      <c r="M18" s="130"/>
      <c r="N18" s="14"/>
      <c r="O18" s="14"/>
      <c r="P18" s="15"/>
      <c r="Q18" s="14"/>
      <c r="R18" s="15"/>
      <c r="S18" s="14"/>
      <c r="T18" s="8"/>
      <c r="U18" s="16"/>
      <c r="V18" s="17"/>
      <c r="X18" s="18"/>
      <c r="Y18" s="20"/>
      <c r="Z18" s="20"/>
      <c r="AA18" s="22"/>
      <c r="AB18" s="20"/>
      <c r="AC18" s="24"/>
      <c r="AD18" s="20"/>
      <c r="AE18" s="20"/>
      <c r="AF18" s="20"/>
      <c r="AG18" s="20"/>
      <c r="AH18" s="20"/>
      <c r="AI18" s="20"/>
      <c r="AJ18" s="20"/>
    </row>
    <row r="19" customFormat="false" ht="12.75" hidden="false" customHeight="true" outlineLevel="0" collapsed="false">
      <c r="A19" s="127"/>
      <c r="B19" s="3"/>
      <c r="C19" s="3"/>
      <c r="D19" s="5"/>
      <c r="E19" s="5"/>
      <c r="F19" s="128"/>
      <c r="G19" s="129"/>
      <c r="H19" s="8"/>
      <c r="I19" s="130"/>
      <c r="J19" s="130"/>
      <c r="K19" s="130"/>
      <c r="L19" s="130"/>
      <c r="M19" s="130"/>
      <c r="N19" s="14"/>
      <c r="O19" s="14"/>
      <c r="P19" s="15"/>
      <c r="Q19" s="14"/>
      <c r="R19" s="15"/>
      <c r="S19" s="14"/>
      <c r="T19" s="8"/>
      <c r="U19" s="16"/>
      <c r="V19" s="17"/>
      <c r="W19" s="18"/>
      <c r="X19" s="18"/>
      <c r="Y19" s="20"/>
      <c r="Z19" s="20"/>
      <c r="AA19" s="22"/>
      <c r="AB19" s="20"/>
      <c r="AC19" s="24"/>
      <c r="AD19" s="20"/>
      <c r="AE19" s="20"/>
      <c r="AF19" s="20"/>
      <c r="AG19" s="20"/>
      <c r="AH19" s="20"/>
      <c r="AI19" s="20"/>
      <c r="AJ19" s="20"/>
    </row>
    <row r="20" customFormat="false" ht="12.75" hidden="false" customHeight="true" outlineLevel="0" collapsed="false">
      <c r="A20" s="127"/>
      <c r="B20" s="3"/>
      <c r="C20" s="3"/>
      <c r="D20" s="5"/>
      <c r="E20" s="5"/>
      <c r="F20" s="128"/>
      <c r="G20" s="129"/>
      <c r="H20" s="8"/>
      <c r="I20" s="130"/>
      <c r="J20" s="130"/>
      <c r="K20" s="130"/>
      <c r="L20" s="130"/>
      <c r="M20" s="130"/>
      <c r="N20" s="14"/>
      <c r="O20" s="14"/>
      <c r="P20" s="15"/>
      <c r="Q20" s="14"/>
      <c r="R20" s="15"/>
      <c r="S20" s="14"/>
      <c r="T20" s="8"/>
      <c r="U20" s="16"/>
      <c r="V20" s="17"/>
      <c r="W20" s="18"/>
      <c r="X20" s="18"/>
      <c r="Y20" s="20"/>
      <c r="Z20" s="20"/>
      <c r="AA20" s="22"/>
      <c r="AB20" s="20"/>
      <c r="AC20" s="24"/>
      <c r="AD20" s="20"/>
      <c r="AE20" s="20"/>
      <c r="AF20" s="20"/>
      <c r="AG20" s="20"/>
      <c r="AH20" s="20"/>
      <c r="AI20" s="20"/>
      <c r="AJ20" s="20"/>
    </row>
    <row r="21" customFormat="false" ht="12.75" hidden="false" customHeight="true" outlineLevel="0" collapsed="false">
      <c r="A21" s="127"/>
      <c r="B21" s="3"/>
      <c r="C21" s="3"/>
      <c r="D21" s="5"/>
      <c r="E21" s="5"/>
      <c r="F21" s="128"/>
      <c r="G21" s="129"/>
      <c r="H21" s="8"/>
      <c r="I21" s="130"/>
      <c r="J21" s="130"/>
      <c r="K21" s="130"/>
      <c r="L21" s="130"/>
      <c r="M21" s="130"/>
      <c r="N21" s="14"/>
      <c r="O21" s="14"/>
      <c r="P21" s="15"/>
      <c r="Q21" s="14"/>
      <c r="R21" s="15"/>
      <c r="S21" s="14"/>
      <c r="T21" s="8"/>
      <c r="U21" s="16"/>
      <c r="V21" s="17"/>
      <c r="W21" s="18"/>
      <c r="X21" s="18"/>
      <c r="Y21" s="20"/>
      <c r="Z21" s="20"/>
      <c r="AA21" s="22"/>
      <c r="AB21" s="20"/>
      <c r="AC21" s="24"/>
      <c r="AD21" s="20"/>
      <c r="AE21" s="20"/>
      <c r="AF21" s="20"/>
      <c r="AG21" s="20"/>
      <c r="AH21" s="20"/>
      <c r="AI21" s="20"/>
      <c r="AJ21" s="20"/>
    </row>
    <row r="22" customFormat="false" ht="93.75" hidden="false" customHeight="true" outlineLevel="0" collapsed="false">
      <c r="A22" s="127"/>
      <c r="B22" s="3"/>
      <c r="C22" s="3"/>
      <c r="D22" s="5"/>
      <c r="E22" s="5"/>
      <c r="F22" s="128"/>
      <c r="G22" s="129"/>
      <c r="H22" s="8"/>
      <c r="I22" s="130"/>
      <c r="J22" s="130"/>
      <c r="K22" s="130"/>
      <c r="L22" s="130"/>
      <c r="M22" s="130"/>
      <c r="N22" s="14"/>
      <c r="O22" s="14"/>
      <c r="P22" s="15"/>
      <c r="Q22" s="14"/>
      <c r="R22" s="15"/>
      <c r="S22" s="14"/>
      <c r="T22" s="8"/>
      <c r="U22" s="16"/>
      <c r="V22" s="17"/>
      <c r="W22" s="18"/>
      <c r="X22" s="18"/>
      <c r="Y22" s="20"/>
      <c r="Z22" s="20"/>
      <c r="AA22" s="22"/>
      <c r="AB22" s="20"/>
      <c r="AC22" s="24"/>
      <c r="AD22" s="20"/>
      <c r="AE22" s="20"/>
      <c r="AF22" s="20"/>
      <c r="AG22" s="20"/>
      <c r="AH22" s="20"/>
      <c r="AI22" s="20"/>
      <c r="AJ22" s="20"/>
    </row>
    <row r="23" customFormat="false" ht="12.75" hidden="false" customHeight="true" outlineLevel="0" collapsed="false">
      <c r="A23" s="127"/>
      <c r="B23" s="3"/>
      <c r="C23" s="3"/>
      <c r="D23" s="5"/>
      <c r="E23" s="5"/>
      <c r="F23" s="128"/>
      <c r="G23" s="129"/>
      <c r="H23" s="8"/>
      <c r="I23" s="130"/>
      <c r="J23" s="130"/>
      <c r="K23" s="130"/>
      <c r="L23" s="130"/>
      <c r="M23" s="130"/>
      <c r="N23" s="14"/>
      <c r="O23" s="14"/>
      <c r="P23" s="15"/>
      <c r="Q23" s="14"/>
      <c r="R23" s="15"/>
      <c r="S23" s="14"/>
      <c r="T23" s="8"/>
      <c r="U23" s="16"/>
      <c r="V23" s="17"/>
      <c r="W23" s="18"/>
      <c r="X23" s="18"/>
      <c r="Y23" s="20"/>
      <c r="Z23" s="20"/>
      <c r="AA23" s="20"/>
      <c r="AB23" s="20"/>
      <c r="AC23" s="24"/>
      <c r="AD23" s="20"/>
      <c r="AE23" s="20"/>
      <c r="AF23" s="20"/>
      <c r="AG23" s="20"/>
      <c r="AH23" s="20"/>
      <c r="AI23" s="20"/>
      <c r="AJ23" s="20"/>
    </row>
    <row r="24" customFormat="false" ht="12.75" hidden="false" customHeight="true" outlineLevel="0" collapsed="false">
      <c r="A24" s="127"/>
      <c r="B24" s="3"/>
      <c r="C24" s="3"/>
      <c r="D24" s="5"/>
      <c r="E24" s="5"/>
      <c r="F24" s="128"/>
      <c r="G24" s="129"/>
      <c r="H24" s="8"/>
      <c r="I24" s="130"/>
      <c r="J24" s="130"/>
      <c r="K24" s="130"/>
      <c r="L24" s="130"/>
      <c r="M24" s="130"/>
      <c r="N24" s="14"/>
      <c r="O24" s="14"/>
      <c r="P24" s="15"/>
      <c r="Q24" s="14"/>
      <c r="R24" s="15"/>
      <c r="S24" s="14"/>
      <c r="T24" s="8"/>
      <c r="U24" s="16"/>
      <c r="V24" s="17"/>
      <c r="W24" s="18"/>
      <c r="X24" s="18"/>
      <c r="Y24" s="20"/>
      <c r="Z24" s="20"/>
      <c r="AA24" s="20"/>
      <c r="AB24" s="20"/>
      <c r="AC24" s="24"/>
      <c r="AD24" s="20"/>
      <c r="AE24" s="20"/>
      <c r="AF24" s="20"/>
      <c r="AG24" s="20"/>
      <c r="AH24" s="20"/>
      <c r="AI24" s="20"/>
      <c r="AJ24" s="20"/>
    </row>
    <row r="25" customFormat="false" ht="12.75" hidden="false" customHeight="true" outlineLevel="0" collapsed="false">
      <c r="A25" s="127"/>
      <c r="B25" s="3"/>
      <c r="C25" s="3"/>
      <c r="D25" s="5"/>
      <c r="E25" s="5"/>
      <c r="F25" s="128"/>
      <c r="G25" s="129"/>
      <c r="H25" s="8"/>
      <c r="I25" s="130"/>
      <c r="J25" s="130"/>
      <c r="K25" s="130"/>
      <c r="L25" s="130"/>
      <c r="M25" s="130"/>
      <c r="N25" s="14"/>
      <c r="O25" s="14"/>
      <c r="P25" s="15"/>
      <c r="Q25" s="14"/>
      <c r="R25" s="15"/>
      <c r="S25" s="14"/>
      <c r="T25" s="8"/>
      <c r="U25" s="16"/>
      <c r="V25" s="17"/>
      <c r="W25" s="18"/>
      <c r="X25" s="18"/>
      <c r="Y25" s="20"/>
      <c r="Z25" s="20"/>
      <c r="AA25" s="20"/>
      <c r="AB25" s="20"/>
      <c r="AC25" s="24"/>
      <c r="AD25" s="20"/>
      <c r="AE25" s="20"/>
      <c r="AF25" s="20"/>
      <c r="AG25" s="20"/>
      <c r="AH25" s="20"/>
      <c r="AI25" s="20"/>
      <c r="AJ25" s="20"/>
    </row>
    <row r="26" customFormat="false" ht="12.75" hidden="false" customHeight="true" outlineLevel="0" collapsed="false">
      <c r="A26" s="127"/>
      <c r="B26" s="3"/>
      <c r="C26" s="3"/>
      <c r="D26" s="5"/>
      <c r="E26" s="5"/>
      <c r="F26" s="128"/>
      <c r="G26" s="129"/>
      <c r="H26" s="8"/>
      <c r="I26" s="130"/>
      <c r="J26" s="130"/>
      <c r="K26" s="130"/>
      <c r="L26" s="130"/>
      <c r="M26" s="130"/>
      <c r="N26" s="14"/>
      <c r="O26" s="14"/>
      <c r="P26" s="15"/>
      <c r="Q26" s="14"/>
      <c r="R26" s="15"/>
      <c r="S26" s="14"/>
      <c r="T26" s="8"/>
      <c r="U26" s="16"/>
      <c r="V26" s="17"/>
      <c r="W26" s="18"/>
      <c r="X26" s="18"/>
      <c r="Y26" s="20"/>
      <c r="Z26" s="20"/>
      <c r="AA26" s="20"/>
      <c r="AB26" s="20"/>
      <c r="AC26" s="24"/>
      <c r="AD26" s="20"/>
      <c r="AE26" s="20"/>
      <c r="AF26" s="20"/>
      <c r="AG26" s="20"/>
      <c r="AH26" s="20"/>
      <c r="AI26" s="20"/>
      <c r="AJ26" s="20"/>
    </row>
    <row r="27" customFormat="false" ht="12.75" hidden="false" customHeight="true" outlineLevel="0" collapsed="false">
      <c r="A27" s="127"/>
      <c r="B27" s="3"/>
      <c r="C27" s="3"/>
      <c r="D27" s="5"/>
      <c r="E27" s="5"/>
      <c r="F27" s="128"/>
      <c r="G27" s="129"/>
      <c r="H27" s="8"/>
      <c r="I27" s="130"/>
      <c r="J27" s="130"/>
      <c r="K27" s="130"/>
      <c r="L27" s="130"/>
      <c r="M27" s="130"/>
      <c r="N27" s="14"/>
      <c r="O27" s="14"/>
      <c r="P27" s="15"/>
      <c r="Q27" s="14"/>
      <c r="R27" s="15"/>
      <c r="S27" s="14"/>
      <c r="T27" s="8"/>
      <c r="U27" s="16"/>
      <c r="V27" s="17"/>
      <c r="W27" s="18"/>
      <c r="X27" s="18"/>
      <c r="Y27" s="20"/>
      <c r="Z27" s="20"/>
      <c r="AA27" s="20"/>
      <c r="AB27" s="20"/>
      <c r="AC27" s="24"/>
      <c r="AD27" s="20"/>
      <c r="AE27" s="20"/>
      <c r="AF27" s="20"/>
      <c r="AG27" s="20"/>
      <c r="AH27" s="20"/>
      <c r="AI27" s="20"/>
      <c r="AJ27" s="20"/>
    </row>
    <row r="28" customFormat="false" ht="12.75" hidden="false" customHeight="true" outlineLevel="0" collapsed="false">
      <c r="A28" s="127"/>
      <c r="B28" s="3"/>
      <c r="C28" s="3"/>
      <c r="D28" s="5"/>
      <c r="E28" s="5"/>
      <c r="F28" s="128"/>
      <c r="G28" s="129"/>
      <c r="H28" s="8"/>
      <c r="I28" s="130"/>
      <c r="J28" s="130"/>
      <c r="K28" s="130"/>
      <c r="L28" s="130"/>
      <c r="M28" s="130"/>
      <c r="N28" s="14"/>
      <c r="O28" s="14"/>
      <c r="P28" s="15"/>
      <c r="Q28" s="14"/>
      <c r="R28" s="15"/>
      <c r="S28" s="14"/>
      <c r="T28" s="8"/>
      <c r="U28" s="16"/>
      <c r="V28" s="17"/>
      <c r="W28" s="18"/>
      <c r="X28" s="18"/>
      <c r="Y28" s="20"/>
      <c r="Z28" s="20"/>
      <c r="AA28" s="20"/>
      <c r="AB28" s="20"/>
      <c r="AC28" s="24"/>
      <c r="AD28" s="20"/>
      <c r="AE28" s="20"/>
      <c r="AF28" s="20"/>
      <c r="AG28" s="20"/>
      <c r="AH28" s="20"/>
      <c r="AI28" s="20"/>
      <c r="AJ28" s="20"/>
    </row>
    <row r="29" customFormat="false" ht="12.75" hidden="false" customHeight="true" outlineLevel="0" collapsed="false">
      <c r="A29" s="127"/>
      <c r="B29" s="3"/>
      <c r="C29" s="3"/>
      <c r="D29" s="5"/>
      <c r="E29" s="5"/>
      <c r="F29" s="128"/>
      <c r="G29" s="129"/>
      <c r="H29" s="8"/>
      <c r="I29" s="130"/>
      <c r="J29" s="130"/>
      <c r="K29" s="130"/>
      <c r="L29" s="130"/>
      <c r="M29" s="130"/>
      <c r="N29" s="14"/>
      <c r="O29" s="14"/>
      <c r="P29" s="15"/>
      <c r="Q29" s="14"/>
      <c r="R29" s="15"/>
      <c r="S29" s="14"/>
      <c r="T29" s="8"/>
      <c r="U29" s="16"/>
      <c r="V29" s="17"/>
      <c r="W29" s="18"/>
      <c r="X29" s="18"/>
      <c r="Y29" s="20"/>
      <c r="Z29" s="20"/>
      <c r="AA29" s="20"/>
      <c r="AB29" s="20"/>
      <c r="AC29" s="24"/>
      <c r="AD29" s="20"/>
      <c r="AE29" s="20"/>
      <c r="AF29" s="20"/>
      <c r="AG29" s="20"/>
      <c r="AH29" s="20"/>
      <c r="AI29" s="20"/>
      <c r="AJ29" s="20"/>
    </row>
    <row r="30" customFormat="false" ht="12.75" hidden="false" customHeight="true" outlineLevel="0" collapsed="false">
      <c r="A30" s="127"/>
      <c r="B30" s="3"/>
      <c r="C30" s="3"/>
      <c r="D30" s="5"/>
      <c r="E30" s="5"/>
      <c r="F30" s="128"/>
      <c r="G30" s="129"/>
      <c r="H30" s="8"/>
      <c r="I30" s="130"/>
      <c r="J30" s="130"/>
      <c r="K30" s="130"/>
      <c r="L30" s="130"/>
      <c r="M30" s="130"/>
      <c r="N30" s="14"/>
      <c r="O30" s="14"/>
      <c r="P30" s="15"/>
      <c r="Q30" s="14"/>
      <c r="R30" s="15"/>
      <c r="S30" s="14"/>
      <c r="T30" s="8"/>
      <c r="U30" s="16"/>
      <c r="V30" s="17"/>
      <c r="W30" s="18"/>
      <c r="X30" s="18"/>
      <c r="Y30" s="20"/>
      <c r="Z30" s="20"/>
      <c r="AA30" s="20"/>
      <c r="AB30" s="20"/>
      <c r="AC30" s="24"/>
      <c r="AD30" s="20"/>
      <c r="AE30" s="20"/>
      <c r="AF30" s="20"/>
      <c r="AG30" s="20"/>
      <c r="AH30" s="20"/>
      <c r="AI30" s="20"/>
      <c r="AJ30" s="20"/>
    </row>
    <row r="31" customFormat="false" ht="12.75" hidden="false" customHeight="true" outlineLevel="0" collapsed="false">
      <c r="A31" s="127"/>
      <c r="B31" s="3"/>
      <c r="C31" s="3"/>
      <c r="D31" s="5"/>
      <c r="E31" s="5"/>
      <c r="F31" s="128"/>
      <c r="G31" s="129"/>
      <c r="H31" s="8"/>
      <c r="I31" s="130"/>
      <c r="J31" s="130"/>
      <c r="K31" s="130"/>
      <c r="L31" s="130"/>
      <c r="M31" s="130"/>
      <c r="N31" s="14"/>
      <c r="O31" s="14"/>
      <c r="P31" s="15"/>
      <c r="Q31" s="14"/>
      <c r="R31" s="15"/>
      <c r="S31" s="14"/>
      <c r="T31" s="8"/>
      <c r="U31" s="16"/>
      <c r="V31" s="17"/>
      <c r="W31" s="18"/>
      <c r="X31" s="18"/>
      <c r="Y31" s="20"/>
      <c r="Z31" s="20"/>
      <c r="AA31" s="20"/>
      <c r="AB31" s="20"/>
      <c r="AC31" s="24"/>
      <c r="AD31" s="20"/>
      <c r="AE31" s="20"/>
      <c r="AF31" s="20"/>
      <c r="AG31" s="20"/>
      <c r="AH31" s="20"/>
      <c r="AI31" s="20"/>
      <c r="AJ31" s="20"/>
    </row>
    <row r="32" customFormat="false" ht="12.75" hidden="false" customHeight="true" outlineLevel="0" collapsed="false">
      <c r="A32" s="127"/>
      <c r="B32" s="3"/>
      <c r="C32" s="3"/>
      <c r="D32" s="5"/>
      <c r="E32" s="5"/>
      <c r="F32" s="128"/>
      <c r="G32" s="129"/>
      <c r="H32" s="8"/>
      <c r="I32" s="130"/>
      <c r="J32" s="130"/>
      <c r="K32" s="130"/>
      <c r="L32" s="130"/>
      <c r="M32" s="130"/>
      <c r="N32" s="14"/>
      <c r="O32" s="14"/>
      <c r="P32" s="15"/>
      <c r="Q32" s="14"/>
      <c r="R32" s="15"/>
      <c r="S32" s="14"/>
      <c r="T32" s="8"/>
      <c r="U32" s="16"/>
      <c r="V32" s="17"/>
      <c r="W32" s="18"/>
      <c r="X32" s="18"/>
      <c r="Y32" s="20"/>
      <c r="Z32" s="20"/>
      <c r="AA32" s="20"/>
      <c r="AB32" s="20"/>
      <c r="AC32" s="24"/>
      <c r="AD32" s="20"/>
      <c r="AE32" s="20"/>
      <c r="AF32" s="20"/>
      <c r="AG32" s="20"/>
      <c r="AH32" s="20"/>
      <c r="AI32" s="20"/>
      <c r="AJ32" s="20"/>
    </row>
    <row r="33" customFormat="false" ht="12.75" hidden="false" customHeight="true" outlineLevel="0" collapsed="false">
      <c r="A33" s="127"/>
      <c r="B33" s="3"/>
      <c r="C33" s="3"/>
      <c r="D33" s="5"/>
      <c r="E33" s="5"/>
      <c r="F33" s="128"/>
      <c r="G33" s="129"/>
      <c r="H33" s="8"/>
      <c r="I33" s="130"/>
      <c r="J33" s="130"/>
      <c r="K33" s="130"/>
      <c r="L33" s="130"/>
      <c r="M33" s="130"/>
      <c r="N33" s="14"/>
      <c r="O33" s="14"/>
      <c r="P33" s="15"/>
      <c r="Q33" s="14"/>
      <c r="R33" s="15"/>
      <c r="S33" s="14"/>
      <c r="T33" s="8"/>
      <c r="U33" s="16"/>
      <c r="V33" s="17"/>
      <c r="W33" s="18"/>
      <c r="X33" s="18"/>
      <c r="Y33" s="20"/>
      <c r="Z33" s="20"/>
      <c r="AA33" s="20"/>
      <c r="AB33" s="20"/>
      <c r="AC33" s="24"/>
      <c r="AD33" s="20"/>
      <c r="AE33" s="20"/>
      <c r="AF33" s="20"/>
      <c r="AG33" s="20"/>
      <c r="AH33" s="20"/>
      <c r="AI33" s="20"/>
      <c r="AJ33" s="20"/>
    </row>
    <row r="34" customFormat="false" ht="12.75" hidden="false" customHeight="true" outlineLevel="0" collapsed="false">
      <c r="A34" s="127"/>
      <c r="B34" s="3"/>
      <c r="C34" s="3"/>
      <c r="D34" s="5"/>
      <c r="E34" s="5"/>
      <c r="F34" s="128"/>
      <c r="G34" s="129"/>
      <c r="H34" s="8"/>
      <c r="I34" s="130"/>
      <c r="J34" s="130"/>
      <c r="K34" s="130"/>
      <c r="L34" s="130"/>
      <c r="M34" s="130"/>
      <c r="N34" s="14"/>
      <c r="O34" s="14"/>
      <c r="P34" s="15"/>
      <c r="Q34" s="14"/>
      <c r="R34" s="15"/>
      <c r="S34" s="14"/>
      <c r="T34" s="8"/>
      <c r="U34" s="16"/>
      <c r="V34" s="17"/>
      <c r="W34" s="18"/>
      <c r="X34" s="18"/>
      <c r="Y34" s="20"/>
      <c r="Z34" s="20"/>
      <c r="AA34" s="20"/>
      <c r="AB34" s="20"/>
      <c r="AC34" s="24"/>
      <c r="AD34" s="20"/>
      <c r="AE34" s="20"/>
      <c r="AF34" s="20"/>
      <c r="AG34" s="20"/>
      <c r="AH34" s="20"/>
      <c r="AI34" s="20"/>
      <c r="AJ34" s="20"/>
    </row>
    <row r="35" customFormat="false" ht="12.75" hidden="false" customHeight="true" outlineLevel="0" collapsed="false">
      <c r="A35" s="127"/>
      <c r="B35" s="3"/>
      <c r="C35" s="3"/>
      <c r="D35" s="5"/>
      <c r="E35" s="5"/>
      <c r="F35" s="128"/>
      <c r="G35" s="129"/>
      <c r="H35" s="8"/>
      <c r="I35" s="130"/>
      <c r="J35" s="130"/>
      <c r="K35" s="130"/>
      <c r="L35" s="130"/>
      <c r="M35" s="130"/>
      <c r="N35" s="14"/>
      <c r="O35" s="14"/>
      <c r="P35" s="15"/>
      <c r="Q35" s="14"/>
      <c r="R35" s="15"/>
      <c r="S35" s="14"/>
      <c r="T35" s="8"/>
      <c r="U35" s="16"/>
      <c r="V35" s="17"/>
      <c r="W35" s="18"/>
      <c r="X35" s="18"/>
      <c r="Y35" s="20"/>
      <c r="Z35" s="20"/>
      <c r="AA35" s="20"/>
      <c r="AB35" s="20"/>
      <c r="AC35" s="24"/>
      <c r="AD35" s="20"/>
      <c r="AE35" s="20"/>
      <c r="AF35" s="20"/>
      <c r="AG35" s="20"/>
      <c r="AH35" s="20"/>
      <c r="AI35" s="20"/>
      <c r="AJ35" s="20"/>
    </row>
    <row r="36" customFormat="false" ht="12.75" hidden="false" customHeight="true" outlineLevel="0" collapsed="false">
      <c r="A36" s="127"/>
      <c r="B36" s="3"/>
      <c r="C36" s="3"/>
      <c r="D36" s="5"/>
      <c r="E36" s="5"/>
      <c r="F36" s="128"/>
      <c r="G36" s="129"/>
      <c r="H36" s="8"/>
      <c r="I36" s="130"/>
      <c r="J36" s="130"/>
      <c r="K36" s="130"/>
      <c r="L36" s="130"/>
      <c r="M36" s="130"/>
      <c r="N36" s="14"/>
      <c r="O36" s="14"/>
      <c r="P36" s="15"/>
      <c r="Q36" s="14"/>
      <c r="R36" s="15"/>
      <c r="S36" s="14"/>
      <c r="T36" s="8"/>
      <c r="U36" s="16"/>
      <c r="V36" s="17"/>
      <c r="W36" s="18"/>
      <c r="X36" s="18"/>
      <c r="Y36" s="20"/>
      <c r="Z36" s="20"/>
      <c r="AA36" s="20"/>
      <c r="AB36" s="20"/>
      <c r="AC36" s="24"/>
      <c r="AD36" s="20"/>
      <c r="AE36" s="20"/>
      <c r="AF36" s="20"/>
      <c r="AG36" s="20"/>
      <c r="AH36" s="20"/>
      <c r="AI36" s="20"/>
      <c r="AJ36" s="20"/>
    </row>
    <row r="37" customFormat="false" ht="12.75" hidden="false" customHeight="true" outlineLevel="0" collapsed="false">
      <c r="A37" s="127"/>
      <c r="B37" s="3"/>
      <c r="C37" s="3"/>
      <c r="D37" s="5"/>
      <c r="E37" s="5"/>
      <c r="F37" s="128"/>
      <c r="G37" s="129"/>
      <c r="H37" s="8"/>
      <c r="I37" s="130"/>
      <c r="J37" s="130"/>
      <c r="K37" s="130"/>
      <c r="L37" s="130"/>
      <c r="M37" s="130"/>
      <c r="N37" s="14"/>
      <c r="O37" s="14"/>
      <c r="P37" s="15"/>
      <c r="Q37" s="14"/>
      <c r="R37" s="15"/>
      <c r="S37" s="14"/>
      <c r="T37" s="8"/>
      <c r="U37" s="16"/>
      <c r="V37" s="17"/>
      <c r="W37" s="18"/>
      <c r="X37" s="18"/>
      <c r="Y37" s="20"/>
      <c r="Z37" s="20"/>
      <c r="AA37" s="20"/>
      <c r="AB37" s="20"/>
      <c r="AC37" s="24"/>
      <c r="AD37" s="20"/>
      <c r="AE37" s="20"/>
      <c r="AF37" s="20"/>
      <c r="AG37" s="20"/>
      <c r="AH37" s="20"/>
      <c r="AI37" s="20"/>
      <c r="AJ37" s="20"/>
    </row>
    <row r="38" customFormat="false" ht="12.75" hidden="false" customHeight="true" outlineLevel="0" collapsed="false">
      <c r="A38" s="127"/>
      <c r="B38" s="3"/>
      <c r="C38" s="3"/>
      <c r="D38" s="5"/>
      <c r="E38" s="5"/>
      <c r="F38" s="128"/>
      <c r="G38" s="129"/>
      <c r="H38" s="8"/>
      <c r="I38" s="130"/>
      <c r="J38" s="130"/>
      <c r="K38" s="130"/>
      <c r="L38" s="130"/>
      <c r="M38" s="130"/>
      <c r="N38" s="14"/>
      <c r="O38" s="14"/>
      <c r="P38" s="15"/>
      <c r="Q38" s="14"/>
      <c r="R38" s="15"/>
      <c r="S38" s="14"/>
      <c r="T38" s="8"/>
      <c r="U38" s="16"/>
      <c r="V38" s="17"/>
      <c r="W38" s="18"/>
      <c r="X38" s="18"/>
      <c r="Y38" s="20"/>
      <c r="Z38" s="20"/>
      <c r="AA38" s="20"/>
      <c r="AB38" s="20"/>
      <c r="AC38" s="24"/>
      <c r="AD38" s="20"/>
      <c r="AE38" s="20"/>
      <c r="AF38" s="20"/>
      <c r="AG38" s="20"/>
      <c r="AH38" s="20"/>
      <c r="AI38" s="20"/>
      <c r="AJ38" s="20"/>
    </row>
    <row r="39" customFormat="false" ht="12.75" hidden="false" customHeight="true" outlineLevel="0" collapsed="false">
      <c r="A39" s="127"/>
      <c r="B39" s="3"/>
      <c r="C39" s="3"/>
      <c r="D39" s="5"/>
      <c r="E39" s="5"/>
      <c r="F39" s="128"/>
      <c r="G39" s="129"/>
      <c r="H39" s="8"/>
      <c r="I39" s="130"/>
      <c r="J39" s="130"/>
      <c r="K39" s="130"/>
      <c r="L39" s="130"/>
      <c r="M39" s="130"/>
      <c r="N39" s="14"/>
      <c r="O39" s="14"/>
      <c r="P39" s="15"/>
      <c r="Q39" s="14"/>
      <c r="R39" s="15"/>
      <c r="S39" s="14"/>
      <c r="T39" s="8"/>
      <c r="U39" s="16"/>
      <c r="V39" s="17"/>
      <c r="W39" s="18"/>
      <c r="X39" s="18"/>
      <c r="Y39" s="20"/>
      <c r="Z39" s="20"/>
      <c r="AA39" s="20"/>
      <c r="AB39" s="20"/>
      <c r="AC39" s="24"/>
      <c r="AD39" s="20"/>
      <c r="AE39" s="20"/>
      <c r="AF39" s="20"/>
      <c r="AG39" s="20"/>
      <c r="AH39" s="20"/>
      <c r="AI39" s="20"/>
      <c r="AJ39" s="20"/>
    </row>
    <row r="40" customFormat="false" ht="12.75" hidden="false" customHeight="true" outlineLevel="0" collapsed="false">
      <c r="A40" s="127"/>
      <c r="B40" s="3"/>
      <c r="C40" s="3"/>
      <c r="D40" s="5"/>
      <c r="E40" s="5"/>
      <c r="F40" s="128"/>
      <c r="G40" s="129"/>
      <c r="H40" s="8"/>
      <c r="I40" s="130"/>
      <c r="J40" s="130"/>
      <c r="K40" s="130"/>
      <c r="L40" s="130"/>
      <c r="M40" s="130"/>
      <c r="N40" s="14"/>
      <c r="O40" s="14"/>
      <c r="P40" s="15"/>
      <c r="Q40" s="14"/>
      <c r="R40" s="15"/>
      <c r="S40" s="14"/>
      <c r="T40" s="8"/>
      <c r="U40" s="16"/>
      <c r="V40" s="17"/>
      <c r="W40" s="18"/>
      <c r="X40" s="18"/>
      <c r="Y40" s="20"/>
      <c r="Z40" s="20"/>
      <c r="AA40" s="20"/>
      <c r="AB40" s="20"/>
      <c r="AC40" s="24"/>
      <c r="AD40" s="20"/>
      <c r="AE40" s="20"/>
      <c r="AF40" s="20"/>
      <c r="AG40" s="20"/>
      <c r="AH40" s="20"/>
      <c r="AI40" s="20"/>
      <c r="AJ40" s="20"/>
    </row>
    <row r="41" customFormat="false" ht="12.75" hidden="false" customHeight="true" outlineLevel="0" collapsed="false">
      <c r="A41" s="127"/>
      <c r="B41" s="3"/>
      <c r="C41" s="3"/>
      <c r="D41" s="5"/>
      <c r="E41" s="5"/>
      <c r="F41" s="128"/>
      <c r="G41" s="129"/>
      <c r="H41" s="8"/>
      <c r="I41" s="130"/>
      <c r="J41" s="130"/>
      <c r="K41" s="130"/>
      <c r="L41" s="130"/>
      <c r="M41" s="130"/>
      <c r="N41" s="14"/>
      <c r="O41" s="14"/>
      <c r="P41" s="15"/>
      <c r="Q41" s="14"/>
      <c r="R41" s="15"/>
      <c r="S41" s="14"/>
      <c r="T41" s="8"/>
      <c r="U41" s="16"/>
      <c r="V41" s="17"/>
      <c r="W41" s="18"/>
      <c r="X41" s="18"/>
      <c r="Y41" s="20"/>
      <c r="Z41" s="20"/>
      <c r="AA41" s="20"/>
      <c r="AB41" s="20"/>
      <c r="AC41" s="24"/>
      <c r="AD41" s="20"/>
      <c r="AE41" s="20"/>
      <c r="AF41" s="20"/>
      <c r="AG41" s="20"/>
      <c r="AH41" s="20"/>
      <c r="AI41" s="20"/>
      <c r="AJ41" s="20"/>
    </row>
    <row r="42" customFormat="false" ht="12.75" hidden="false" customHeight="true" outlineLevel="0" collapsed="false">
      <c r="A42" s="127"/>
      <c r="B42" s="3"/>
      <c r="C42" s="3"/>
      <c r="D42" s="5"/>
      <c r="E42" s="5"/>
      <c r="F42" s="128"/>
      <c r="G42" s="129"/>
      <c r="H42" s="8"/>
      <c r="I42" s="130"/>
      <c r="J42" s="130"/>
      <c r="K42" s="130"/>
      <c r="L42" s="130"/>
      <c r="M42" s="130"/>
      <c r="N42" s="14"/>
      <c r="O42" s="14"/>
      <c r="P42" s="15"/>
      <c r="Q42" s="14"/>
      <c r="R42" s="15"/>
      <c r="S42" s="14"/>
      <c r="T42" s="8"/>
      <c r="U42" s="16"/>
      <c r="V42" s="17"/>
      <c r="W42" s="18"/>
      <c r="X42" s="18"/>
      <c r="Y42" s="20"/>
      <c r="Z42" s="20"/>
      <c r="AA42" s="20"/>
      <c r="AB42" s="20"/>
      <c r="AC42" s="24"/>
      <c r="AD42" s="20"/>
      <c r="AE42" s="20"/>
      <c r="AF42" s="20"/>
      <c r="AG42" s="20"/>
      <c r="AH42" s="20"/>
      <c r="AI42" s="20"/>
      <c r="AJ42" s="20"/>
    </row>
    <row r="43" customFormat="false" ht="12.75" hidden="false" customHeight="true" outlineLevel="0" collapsed="false">
      <c r="A43" s="127"/>
      <c r="B43" s="3"/>
      <c r="C43" s="3"/>
      <c r="D43" s="5"/>
      <c r="E43" s="5"/>
      <c r="F43" s="128"/>
      <c r="G43" s="129"/>
      <c r="H43" s="8"/>
      <c r="I43" s="130"/>
      <c r="J43" s="130"/>
      <c r="K43" s="130"/>
      <c r="L43" s="130"/>
      <c r="M43" s="130"/>
      <c r="N43" s="14"/>
      <c r="O43" s="14"/>
      <c r="P43" s="15"/>
      <c r="Q43" s="14"/>
      <c r="R43" s="15"/>
      <c r="S43" s="14"/>
      <c r="T43" s="8"/>
      <c r="U43" s="16"/>
      <c r="V43" s="17"/>
      <c r="W43" s="18"/>
      <c r="X43" s="18"/>
      <c r="Y43" s="20"/>
      <c r="Z43" s="20"/>
      <c r="AA43" s="20"/>
      <c r="AB43" s="20"/>
      <c r="AC43" s="24"/>
      <c r="AD43" s="20"/>
      <c r="AE43" s="20"/>
      <c r="AF43" s="20"/>
      <c r="AG43" s="20"/>
      <c r="AH43" s="20"/>
      <c r="AI43" s="20"/>
      <c r="AJ43" s="20"/>
    </row>
    <row r="44" customFormat="false" ht="12.75" hidden="false" customHeight="true" outlineLevel="0" collapsed="false">
      <c r="A44" s="127"/>
      <c r="B44" s="3"/>
      <c r="C44" s="3"/>
      <c r="D44" s="5"/>
      <c r="E44" s="5"/>
      <c r="F44" s="128"/>
      <c r="G44" s="129"/>
      <c r="H44" s="8"/>
      <c r="I44" s="130"/>
      <c r="J44" s="130"/>
      <c r="K44" s="130"/>
      <c r="L44" s="130"/>
      <c r="M44" s="130"/>
      <c r="N44" s="14"/>
      <c r="O44" s="14"/>
      <c r="P44" s="15"/>
      <c r="Q44" s="14"/>
      <c r="R44" s="15"/>
      <c r="S44" s="14"/>
      <c r="T44" s="8"/>
      <c r="U44" s="16"/>
      <c r="V44" s="17"/>
      <c r="W44" s="18"/>
      <c r="X44" s="18"/>
      <c r="Y44" s="20"/>
      <c r="Z44" s="20"/>
      <c r="AA44" s="20"/>
      <c r="AB44" s="20"/>
      <c r="AC44" s="24"/>
      <c r="AD44" s="20"/>
      <c r="AE44" s="20"/>
      <c r="AF44" s="20"/>
      <c r="AG44" s="20"/>
      <c r="AH44" s="20"/>
      <c r="AI44" s="20"/>
      <c r="AJ44" s="20"/>
    </row>
    <row r="45" customFormat="false" ht="12.75" hidden="false" customHeight="true" outlineLevel="0" collapsed="false">
      <c r="A45" s="127"/>
      <c r="B45" s="3"/>
      <c r="C45" s="3"/>
      <c r="D45" s="5"/>
      <c r="E45" s="5"/>
      <c r="F45" s="128"/>
      <c r="G45" s="129"/>
      <c r="H45" s="8"/>
      <c r="I45" s="130"/>
      <c r="J45" s="130"/>
      <c r="K45" s="130"/>
      <c r="L45" s="130"/>
      <c r="M45" s="130"/>
      <c r="N45" s="14"/>
      <c r="O45" s="14"/>
      <c r="P45" s="15"/>
      <c r="Q45" s="14"/>
      <c r="R45" s="15"/>
      <c r="S45" s="14"/>
      <c r="T45" s="8"/>
      <c r="U45" s="16"/>
      <c r="V45" s="17"/>
      <c r="W45" s="18"/>
      <c r="X45" s="18"/>
      <c r="Y45" s="20"/>
      <c r="Z45" s="20"/>
      <c r="AA45" s="20"/>
      <c r="AB45" s="20"/>
      <c r="AC45" s="24"/>
      <c r="AD45" s="20"/>
      <c r="AE45" s="20"/>
      <c r="AF45" s="20"/>
      <c r="AG45" s="20"/>
      <c r="AH45" s="20"/>
      <c r="AI45" s="20"/>
      <c r="AJ45" s="20"/>
    </row>
    <row r="46" customFormat="false" ht="12.75" hidden="false" customHeight="true" outlineLevel="0" collapsed="false">
      <c r="A46" s="127"/>
      <c r="B46" s="3"/>
      <c r="C46" s="3"/>
      <c r="D46" s="5"/>
      <c r="E46" s="5"/>
      <c r="F46" s="128"/>
      <c r="G46" s="129"/>
      <c r="H46" s="8"/>
      <c r="I46" s="130"/>
      <c r="J46" s="130"/>
      <c r="K46" s="130"/>
      <c r="L46" s="130"/>
      <c r="M46" s="130"/>
      <c r="N46" s="14"/>
      <c r="O46" s="14"/>
      <c r="P46" s="15"/>
      <c r="Q46" s="14"/>
      <c r="R46" s="15"/>
      <c r="S46" s="14"/>
      <c r="T46" s="8"/>
      <c r="U46" s="16"/>
      <c r="V46" s="17"/>
      <c r="W46" s="18"/>
      <c r="X46" s="18"/>
      <c r="Y46" s="20"/>
      <c r="Z46" s="20"/>
      <c r="AA46" s="20"/>
      <c r="AB46" s="20"/>
      <c r="AC46" s="24"/>
      <c r="AD46" s="20"/>
      <c r="AE46" s="20"/>
      <c r="AF46" s="20"/>
      <c r="AG46" s="20"/>
      <c r="AH46" s="20"/>
      <c r="AI46" s="20"/>
      <c r="AJ46" s="20"/>
    </row>
    <row r="47" customFormat="false" ht="12.75" hidden="false" customHeight="true" outlineLevel="0" collapsed="false">
      <c r="A47" s="127"/>
      <c r="B47" s="3"/>
      <c r="C47" s="3"/>
      <c r="D47" s="5"/>
      <c r="E47" s="5"/>
      <c r="F47" s="128"/>
      <c r="G47" s="129"/>
      <c r="H47" s="8"/>
      <c r="I47" s="130"/>
      <c r="J47" s="130"/>
      <c r="K47" s="130"/>
      <c r="L47" s="130"/>
      <c r="M47" s="130"/>
      <c r="N47" s="14"/>
      <c r="O47" s="14"/>
      <c r="P47" s="15"/>
      <c r="Q47" s="14"/>
      <c r="R47" s="15"/>
      <c r="S47" s="14"/>
      <c r="T47" s="8"/>
      <c r="U47" s="16"/>
      <c r="V47" s="17"/>
      <c r="W47" s="18"/>
      <c r="X47" s="18"/>
      <c r="Y47" s="20"/>
      <c r="Z47" s="20"/>
      <c r="AA47" s="20"/>
      <c r="AB47" s="20"/>
      <c r="AC47" s="24"/>
      <c r="AD47" s="20"/>
      <c r="AE47" s="20"/>
      <c r="AF47" s="20"/>
      <c r="AG47" s="20"/>
      <c r="AH47" s="20"/>
      <c r="AI47" s="20"/>
      <c r="AJ47" s="20"/>
    </row>
    <row r="48" customFormat="false" ht="12.75" hidden="false" customHeight="true" outlineLevel="0" collapsed="false">
      <c r="A48" s="127"/>
      <c r="B48" s="3"/>
      <c r="C48" s="3"/>
      <c r="D48" s="5"/>
      <c r="E48" s="5"/>
      <c r="F48" s="128"/>
      <c r="G48" s="129"/>
      <c r="H48" s="8"/>
      <c r="I48" s="130"/>
      <c r="J48" s="130"/>
      <c r="K48" s="130"/>
      <c r="L48" s="130"/>
      <c r="M48" s="130"/>
      <c r="N48" s="14"/>
      <c r="O48" s="14"/>
      <c r="P48" s="15"/>
      <c r="Q48" s="14"/>
      <c r="R48" s="15"/>
      <c r="S48" s="14"/>
      <c r="T48" s="8"/>
      <c r="U48" s="16"/>
      <c r="V48" s="17"/>
      <c r="W48" s="18"/>
      <c r="X48" s="18"/>
      <c r="Y48" s="20"/>
      <c r="Z48" s="20"/>
      <c r="AA48" s="20"/>
      <c r="AB48" s="20"/>
      <c r="AC48" s="24"/>
      <c r="AD48" s="20"/>
      <c r="AE48" s="20"/>
      <c r="AF48" s="20"/>
      <c r="AG48" s="20"/>
      <c r="AH48" s="20"/>
      <c r="AI48" s="20"/>
      <c r="AJ48" s="20"/>
    </row>
    <row r="49" customFormat="false" ht="12.75" hidden="false" customHeight="true" outlineLevel="0" collapsed="false">
      <c r="A49" s="127"/>
      <c r="B49" s="3"/>
      <c r="C49" s="3"/>
      <c r="D49" s="5"/>
      <c r="E49" s="5"/>
      <c r="F49" s="128"/>
      <c r="G49" s="129"/>
      <c r="H49" s="8"/>
      <c r="I49" s="130"/>
      <c r="J49" s="130"/>
      <c r="K49" s="130"/>
      <c r="L49" s="130"/>
      <c r="M49" s="130"/>
      <c r="N49" s="14"/>
      <c r="O49" s="14"/>
      <c r="P49" s="15"/>
      <c r="Q49" s="14"/>
      <c r="R49" s="15"/>
      <c r="S49" s="14"/>
      <c r="T49" s="8"/>
      <c r="U49" s="16"/>
      <c r="V49" s="17"/>
      <c r="W49" s="18"/>
      <c r="X49" s="18"/>
      <c r="Y49" s="20"/>
      <c r="Z49" s="20"/>
      <c r="AA49" s="20"/>
      <c r="AB49" s="20"/>
      <c r="AC49" s="24"/>
      <c r="AD49" s="20"/>
      <c r="AE49" s="20"/>
      <c r="AF49" s="20"/>
      <c r="AG49" s="20"/>
      <c r="AH49" s="20"/>
      <c r="AI49" s="20"/>
      <c r="AJ49" s="20"/>
    </row>
    <row r="50" customFormat="false" ht="12.75" hidden="false" customHeight="true" outlineLevel="0" collapsed="false">
      <c r="A50" s="127"/>
      <c r="B50" s="3"/>
      <c r="C50" s="3"/>
      <c r="D50" s="5"/>
      <c r="E50" s="5"/>
      <c r="F50" s="128"/>
      <c r="G50" s="129"/>
      <c r="H50" s="8"/>
      <c r="I50" s="130"/>
      <c r="J50" s="130"/>
      <c r="K50" s="130"/>
      <c r="L50" s="130"/>
      <c r="M50" s="130"/>
      <c r="N50" s="14"/>
      <c r="O50" s="14"/>
      <c r="P50" s="15"/>
      <c r="Q50" s="14"/>
      <c r="R50" s="15"/>
      <c r="S50" s="14"/>
      <c r="T50" s="8"/>
      <c r="U50" s="16"/>
      <c r="V50" s="17"/>
      <c r="W50" s="18"/>
      <c r="X50" s="18"/>
      <c r="Y50" s="20"/>
      <c r="Z50" s="20"/>
      <c r="AA50" s="20"/>
      <c r="AB50" s="20"/>
      <c r="AC50" s="24"/>
      <c r="AD50" s="20"/>
      <c r="AE50" s="20"/>
      <c r="AF50" s="20"/>
      <c r="AG50" s="20"/>
      <c r="AH50" s="20"/>
      <c r="AI50" s="20"/>
      <c r="AJ50" s="20"/>
    </row>
    <row r="51" customFormat="false" ht="12.75" hidden="false" customHeight="true" outlineLevel="0" collapsed="false">
      <c r="A51" s="127"/>
      <c r="B51" s="3"/>
      <c r="C51" s="3"/>
      <c r="D51" s="5"/>
      <c r="E51" s="5"/>
      <c r="F51" s="128"/>
      <c r="G51" s="129"/>
      <c r="H51" s="8"/>
      <c r="I51" s="130"/>
      <c r="J51" s="130"/>
      <c r="K51" s="130"/>
      <c r="L51" s="130"/>
      <c r="M51" s="130"/>
      <c r="N51" s="14"/>
      <c r="O51" s="14"/>
      <c r="P51" s="15"/>
      <c r="Q51" s="14"/>
      <c r="R51" s="15"/>
      <c r="S51" s="14"/>
      <c r="T51" s="8"/>
      <c r="U51" s="16"/>
      <c r="V51" s="17"/>
      <c r="W51" s="18"/>
      <c r="X51" s="18"/>
      <c r="Y51" s="20"/>
      <c r="Z51" s="20"/>
      <c r="AA51" s="20"/>
      <c r="AB51" s="20"/>
      <c r="AC51" s="24"/>
      <c r="AD51" s="20"/>
      <c r="AE51" s="20"/>
      <c r="AF51" s="20"/>
      <c r="AG51" s="20"/>
      <c r="AH51" s="20"/>
      <c r="AI51" s="20"/>
      <c r="AJ51" s="20"/>
    </row>
    <row r="52" customFormat="false" ht="12.75" hidden="false" customHeight="true" outlineLevel="0" collapsed="false">
      <c r="A52" s="127"/>
      <c r="B52" s="3"/>
      <c r="C52" s="3"/>
      <c r="D52" s="5"/>
      <c r="E52" s="5"/>
      <c r="F52" s="128"/>
      <c r="G52" s="129"/>
      <c r="H52" s="8"/>
      <c r="I52" s="130"/>
      <c r="J52" s="130"/>
      <c r="K52" s="130"/>
      <c r="L52" s="130"/>
      <c r="M52" s="130"/>
      <c r="N52" s="14"/>
      <c r="O52" s="14"/>
      <c r="P52" s="15"/>
      <c r="Q52" s="14"/>
      <c r="R52" s="15"/>
      <c r="S52" s="14"/>
      <c r="T52" s="8"/>
      <c r="U52" s="16"/>
      <c r="V52" s="17"/>
      <c r="W52" s="18"/>
      <c r="X52" s="18"/>
      <c r="Y52" s="20"/>
      <c r="Z52" s="20"/>
      <c r="AA52" s="20"/>
      <c r="AB52" s="20"/>
      <c r="AC52" s="24"/>
      <c r="AD52" s="20"/>
      <c r="AE52" s="20"/>
      <c r="AF52" s="20"/>
      <c r="AG52" s="20"/>
      <c r="AH52" s="20"/>
      <c r="AI52" s="20"/>
      <c r="AJ52" s="20"/>
    </row>
    <row r="53" customFormat="false" ht="12.75" hidden="false" customHeight="true" outlineLevel="0" collapsed="false">
      <c r="A53" s="127"/>
      <c r="B53" s="3"/>
      <c r="C53" s="3"/>
      <c r="D53" s="5"/>
      <c r="E53" s="5"/>
      <c r="F53" s="128"/>
      <c r="G53" s="129"/>
      <c r="H53" s="8"/>
      <c r="I53" s="130"/>
      <c r="J53" s="130"/>
      <c r="K53" s="130"/>
      <c r="L53" s="130"/>
      <c r="M53" s="130"/>
      <c r="N53" s="14"/>
      <c r="O53" s="14"/>
      <c r="P53" s="15"/>
      <c r="Q53" s="14"/>
      <c r="R53" s="15"/>
      <c r="S53" s="14"/>
      <c r="T53" s="8"/>
      <c r="U53" s="16"/>
      <c r="V53" s="17"/>
      <c r="W53" s="18"/>
      <c r="X53" s="18"/>
      <c r="Y53" s="20"/>
      <c r="Z53" s="20"/>
      <c r="AA53" s="20"/>
      <c r="AB53" s="20"/>
      <c r="AC53" s="24"/>
      <c r="AD53" s="20"/>
      <c r="AE53" s="20"/>
      <c r="AF53" s="20"/>
      <c r="AG53" s="20"/>
      <c r="AH53" s="20"/>
      <c r="AI53" s="20"/>
      <c r="AJ53" s="20"/>
    </row>
    <row r="54" customFormat="false" ht="12.75" hidden="false" customHeight="true" outlineLevel="0" collapsed="false">
      <c r="A54" s="127"/>
      <c r="B54" s="3"/>
      <c r="C54" s="3"/>
      <c r="D54" s="5"/>
      <c r="E54" s="5"/>
      <c r="F54" s="128"/>
      <c r="G54" s="129"/>
      <c r="H54" s="8"/>
      <c r="I54" s="130"/>
      <c r="J54" s="130"/>
      <c r="K54" s="130"/>
      <c r="L54" s="130"/>
      <c r="M54" s="130"/>
      <c r="N54" s="14"/>
      <c r="O54" s="14"/>
      <c r="P54" s="15"/>
      <c r="Q54" s="14"/>
      <c r="R54" s="15"/>
      <c r="S54" s="14"/>
      <c r="T54" s="8"/>
      <c r="U54" s="16"/>
      <c r="V54" s="17"/>
      <c r="W54" s="18"/>
      <c r="X54" s="18"/>
      <c r="Y54" s="20"/>
      <c r="Z54" s="20"/>
      <c r="AA54" s="20"/>
      <c r="AB54" s="20"/>
      <c r="AC54" s="24"/>
      <c r="AD54" s="20"/>
      <c r="AE54" s="20"/>
      <c r="AF54" s="20"/>
      <c r="AG54" s="20"/>
      <c r="AH54" s="20"/>
      <c r="AI54" s="20"/>
      <c r="AJ54" s="20"/>
    </row>
    <row r="55" customFormat="false" ht="12.75" hidden="false" customHeight="true" outlineLevel="0" collapsed="false">
      <c r="A55" s="127"/>
      <c r="B55" s="3"/>
      <c r="C55" s="3"/>
      <c r="D55" s="5"/>
      <c r="E55" s="5"/>
      <c r="F55" s="128"/>
      <c r="G55" s="129"/>
      <c r="H55" s="8"/>
      <c r="I55" s="130"/>
      <c r="J55" s="130"/>
      <c r="K55" s="130"/>
      <c r="L55" s="130"/>
      <c r="M55" s="130"/>
      <c r="N55" s="14"/>
      <c r="O55" s="14"/>
      <c r="P55" s="15"/>
      <c r="Q55" s="14"/>
      <c r="R55" s="15"/>
      <c r="S55" s="14"/>
      <c r="T55" s="8"/>
      <c r="U55" s="16"/>
      <c r="V55" s="17"/>
      <c r="W55" s="18"/>
      <c r="X55" s="18"/>
      <c r="Y55" s="20"/>
      <c r="Z55" s="20"/>
      <c r="AA55" s="20"/>
      <c r="AB55" s="20"/>
      <c r="AC55" s="24"/>
      <c r="AD55" s="20"/>
      <c r="AE55" s="20"/>
      <c r="AF55" s="20"/>
      <c r="AG55" s="20"/>
      <c r="AH55" s="20"/>
      <c r="AI55" s="20"/>
      <c r="AJ55" s="20"/>
    </row>
    <row r="56" customFormat="false" ht="12.75" hidden="false" customHeight="true" outlineLevel="0" collapsed="false">
      <c r="A56" s="127"/>
      <c r="B56" s="3"/>
      <c r="C56" s="3"/>
      <c r="D56" s="5"/>
      <c r="E56" s="5"/>
      <c r="F56" s="128"/>
      <c r="G56" s="129"/>
      <c r="H56" s="8"/>
      <c r="I56" s="130"/>
      <c r="J56" s="130"/>
      <c r="K56" s="130"/>
      <c r="L56" s="130"/>
      <c r="M56" s="130"/>
      <c r="N56" s="14"/>
      <c r="O56" s="14"/>
      <c r="P56" s="15"/>
      <c r="Q56" s="14"/>
      <c r="R56" s="15"/>
      <c r="S56" s="14"/>
      <c r="T56" s="8"/>
      <c r="U56" s="16"/>
      <c r="V56" s="17"/>
      <c r="W56" s="18"/>
      <c r="X56" s="18"/>
      <c r="Y56" s="20"/>
      <c r="Z56" s="20"/>
      <c r="AA56" s="20"/>
      <c r="AB56" s="20"/>
      <c r="AC56" s="24"/>
      <c r="AD56" s="20"/>
      <c r="AE56" s="20"/>
      <c r="AF56" s="20"/>
      <c r="AG56" s="20"/>
      <c r="AH56" s="20"/>
      <c r="AI56" s="20"/>
      <c r="AJ56" s="20"/>
    </row>
    <row r="57" customFormat="false" ht="12.75" hidden="false" customHeight="true" outlineLevel="0" collapsed="false">
      <c r="A57" s="127"/>
      <c r="B57" s="3"/>
      <c r="C57" s="3"/>
      <c r="D57" s="5"/>
      <c r="E57" s="5"/>
      <c r="F57" s="128"/>
      <c r="G57" s="129"/>
      <c r="H57" s="8"/>
      <c r="I57" s="130"/>
      <c r="J57" s="130"/>
      <c r="K57" s="130"/>
      <c r="L57" s="130"/>
      <c r="M57" s="130"/>
      <c r="N57" s="14"/>
      <c r="O57" s="14"/>
      <c r="P57" s="15"/>
      <c r="Q57" s="14"/>
      <c r="R57" s="15"/>
      <c r="S57" s="14"/>
      <c r="T57" s="8"/>
      <c r="U57" s="16"/>
      <c r="V57" s="17"/>
      <c r="W57" s="18"/>
      <c r="X57" s="18"/>
      <c r="Y57" s="20"/>
      <c r="Z57" s="20"/>
      <c r="AA57" s="20"/>
      <c r="AB57" s="20"/>
      <c r="AC57" s="24"/>
      <c r="AD57" s="20"/>
      <c r="AE57" s="20"/>
      <c r="AF57" s="20"/>
      <c r="AG57" s="20"/>
      <c r="AH57" s="20"/>
      <c r="AI57" s="20"/>
      <c r="AJ57" s="20"/>
    </row>
    <row r="58" customFormat="false" ht="12.75" hidden="false" customHeight="true" outlineLevel="0" collapsed="false">
      <c r="A58" s="127"/>
      <c r="B58" s="3"/>
      <c r="C58" s="3"/>
      <c r="D58" s="5"/>
      <c r="E58" s="5"/>
      <c r="F58" s="128"/>
      <c r="G58" s="129"/>
      <c r="H58" s="8"/>
      <c r="I58" s="130"/>
      <c r="J58" s="130"/>
      <c r="K58" s="130"/>
      <c r="L58" s="130"/>
      <c r="M58" s="130"/>
      <c r="N58" s="14"/>
      <c r="O58" s="14"/>
      <c r="P58" s="15"/>
      <c r="Q58" s="14"/>
      <c r="R58" s="15"/>
      <c r="S58" s="14"/>
      <c r="T58" s="8"/>
      <c r="U58" s="16"/>
      <c r="V58" s="17"/>
      <c r="W58" s="18"/>
      <c r="X58" s="18"/>
      <c r="Y58" s="20"/>
      <c r="Z58" s="20"/>
      <c r="AA58" s="20"/>
      <c r="AB58" s="20"/>
      <c r="AC58" s="24"/>
      <c r="AD58" s="20"/>
      <c r="AE58" s="20"/>
      <c r="AF58" s="20"/>
      <c r="AG58" s="20"/>
      <c r="AH58" s="20"/>
      <c r="AI58" s="20"/>
      <c r="AJ58" s="20"/>
    </row>
    <row r="59" customFormat="false" ht="12.75" hidden="false" customHeight="true" outlineLevel="0" collapsed="false">
      <c r="A59" s="127"/>
      <c r="B59" s="3"/>
      <c r="C59" s="3"/>
      <c r="D59" s="5"/>
      <c r="E59" s="5"/>
      <c r="F59" s="128"/>
      <c r="G59" s="129"/>
      <c r="H59" s="8"/>
      <c r="I59" s="130"/>
      <c r="J59" s="130"/>
      <c r="K59" s="130"/>
      <c r="L59" s="130"/>
      <c r="M59" s="130"/>
      <c r="N59" s="14"/>
      <c r="O59" s="14"/>
      <c r="P59" s="15"/>
      <c r="Q59" s="14"/>
      <c r="R59" s="15"/>
      <c r="S59" s="14"/>
      <c r="T59" s="8"/>
      <c r="U59" s="16"/>
      <c r="V59" s="17"/>
      <c r="W59" s="18"/>
      <c r="X59" s="18"/>
      <c r="Y59" s="20"/>
      <c r="Z59" s="20"/>
      <c r="AA59" s="20"/>
      <c r="AB59" s="20"/>
      <c r="AC59" s="24"/>
      <c r="AD59" s="20"/>
      <c r="AE59" s="20"/>
      <c r="AF59" s="20"/>
      <c r="AG59" s="20"/>
      <c r="AH59" s="20"/>
      <c r="AI59" s="20"/>
      <c r="AJ59" s="20"/>
    </row>
    <row r="60" customFormat="false" ht="12.75" hidden="false" customHeight="true" outlineLevel="0" collapsed="false">
      <c r="A60" s="127"/>
      <c r="B60" s="3"/>
      <c r="C60" s="3"/>
      <c r="D60" s="5"/>
      <c r="E60" s="5"/>
      <c r="F60" s="128"/>
      <c r="G60" s="129"/>
      <c r="H60" s="8"/>
      <c r="I60" s="130"/>
      <c r="J60" s="130"/>
      <c r="K60" s="130"/>
      <c r="L60" s="130"/>
      <c r="M60" s="130"/>
      <c r="N60" s="14"/>
      <c r="O60" s="14"/>
      <c r="P60" s="15"/>
      <c r="Q60" s="14"/>
      <c r="R60" s="15"/>
      <c r="S60" s="14"/>
      <c r="T60" s="8"/>
      <c r="U60" s="16"/>
      <c r="V60" s="17"/>
      <c r="W60" s="18"/>
      <c r="X60" s="18"/>
      <c r="Y60" s="20"/>
      <c r="Z60" s="20"/>
      <c r="AA60" s="20"/>
      <c r="AB60" s="20"/>
      <c r="AC60" s="24"/>
      <c r="AD60" s="20"/>
      <c r="AE60" s="20"/>
      <c r="AF60" s="20"/>
      <c r="AG60" s="20"/>
      <c r="AH60" s="20"/>
      <c r="AI60" s="20"/>
      <c r="AJ60" s="20"/>
    </row>
    <row r="61" customFormat="false" ht="12.75" hidden="false" customHeight="true" outlineLevel="0" collapsed="false">
      <c r="A61" s="127"/>
      <c r="B61" s="3"/>
      <c r="C61" s="3"/>
      <c r="D61" s="5"/>
      <c r="E61" s="5"/>
      <c r="F61" s="128"/>
      <c r="G61" s="129"/>
      <c r="H61" s="8"/>
      <c r="I61" s="130"/>
      <c r="J61" s="130"/>
      <c r="K61" s="130"/>
      <c r="L61" s="130"/>
      <c r="M61" s="130"/>
      <c r="N61" s="14"/>
      <c r="O61" s="14"/>
      <c r="P61" s="15"/>
      <c r="Q61" s="14"/>
      <c r="R61" s="15"/>
      <c r="S61" s="14"/>
      <c r="T61" s="8"/>
      <c r="U61" s="16"/>
      <c r="V61" s="17"/>
      <c r="W61" s="18"/>
      <c r="X61" s="18"/>
      <c r="Y61" s="20"/>
      <c r="Z61" s="20"/>
      <c r="AA61" s="20"/>
      <c r="AB61" s="20"/>
      <c r="AC61" s="24"/>
      <c r="AD61" s="20"/>
      <c r="AE61" s="20"/>
      <c r="AF61" s="20"/>
      <c r="AG61" s="20"/>
      <c r="AH61" s="20"/>
      <c r="AI61" s="20"/>
      <c r="AJ61" s="20"/>
    </row>
    <row r="62" customFormat="false" ht="12.75" hidden="false" customHeight="true" outlineLevel="0" collapsed="false">
      <c r="A62" s="127"/>
      <c r="B62" s="3"/>
      <c r="C62" s="3"/>
      <c r="D62" s="5"/>
      <c r="E62" s="5"/>
      <c r="F62" s="128"/>
      <c r="G62" s="129"/>
      <c r="H62" s="8"/>
      <c r="I62" s="130"/>
      <c r="J62" s="130"/>
      <c r="K62" s="130"/>
      <c r="L62" s="130"/>
      <c r="M62" s="130"/>
      <c r="N62" s="14"/>
      <c r="O62" s="14"/>
      <c r="P62" s="15"/>
      <c r="Q62" s="14"/>
      <c r="R62" s="15"/>
      <c r="S62" s="14"/>
      <c r="T62" s="8"/>
      <c r="U62" s="16"/>
      <c r="V62" s="17"/>
      <c r="W62" s="18"/>
      <c r="X62" s="18"/>
      <c r="Y62" s="20"/>
      <c r="Z62" s="20"/>
      <c r="AA62" s="20"/>
      <c r="AB62" s="20"/>
      <c r="AC62" s="24"/>
      <c r="AD62" s="20"/>
      <c r="AE62" s="20"/>
      <c r="AF62" s="20"/>
      <c r="AG62" s="20"/>
      <c r="AH62" s="20"/>
      <c r="AI62" s="20"/>
      <c r="AJ62" s="20"/>
    </row>
    <row r="63" customFormat="false" ht="12.75" hidden="false" customHeight="true" outlineLevel="0" collapsed="false">
      <c r="A63" s="127"/>
      <c r="B63" s="3"/>
      <c r="C63" s="3"/>
      <c r="D63" s="5"/>
      <c r="E63" s="5"/>
      <c r="F63" s="128"/>
      <c r="G63" s="129"/>
      <c r="H63" s="8"/>
      <c r="I63" s="130"/>
      <c r="J63" s="130"/>
      <c r="K63" s="130"/>
      <c r="L63" s="130"/>
      <c r="M63" s="130"/>
      <c r="N63" s="14"/>
      <c r="O63" s="14"/>
      <c r="P63" s="15"/>
      <c r="Q63" s="14"/>
      <c r="R63" s="15"/>
      <c r="S63" s="14"/>
      <c r="T63" s="8"/>
      <c r="U63" s="16"/>
      <c r="V63" s="17"/>
      <c r="W63" s="18"/>
      <c r="X63" s="18"/>
      <c r="Y63" s="20"/>
      <c r="Z63" s="20"/>
      <c r="AA63" s="20"/>
      <c r="AB63" s="20"/>
      <c r="AC63" s="24"/>
      <c r="AD63" s="20"/>
      <c r="AE63" s="20"/>
      <c r="AF63" s="20"/>
      <c r="AG63" s="20"/>
      <c r="AH63" s="20"/>
      <c r="AI63" s="20"/>
      <c r="AJ63" s="20"/>
    </row>
    <row r="64" customFormat="false" ht="12.75" hidden="false" customHeight="true" outlineLevel="0" collapsed="false">
      <c r="A64" s="127"/>
      <c r="B64" s="3"/>
      <c r="C64" s="3"/>
      <c r="D64" s="5"/>
      <c r="E64" s="5"/>
      <c r="F64" s="128"/>
      <c r="G64" s="129"/>
      <c r="H64" s="8"/>
      <c r="I64" s="130"/>
      <c r="J64" s="130"/>
      <c r="K64" s="130"/>
      <c r="L64" s="130"/>
      <c r="M64" s="130"/>
      <c r="N64" s="14"/>
      <c r="O64" s="14"/>
      <c r="P64" s="15"/>
      <c r="Q64" s="14"/>
      <c r="R64" s="15"/>
      <c r="S64" s="14"/>
      <c r="T64" s="8"/>
      <c r="U64" s="16"/>
      <c r="V64" s="17"/>
      <c r="W64" s="18"/>
      <c r="X64" s="18"/>
      <c r="Y64" s="20"/>
      <c r="Z64" s="20"/>
      <c r="AA64" s="20"/>
      <c r="AB64" s="20"/>
      <c r="AC64" s="24"/>
      <c r="AD64" s="20"/>
      <c r="AE64" s="20"/>
      <c r="AF64" s="20"/>
      <c r="AG64" s="20"/>
      <c r="AH64" s="20"/>
      <c r="AI64" s="20"/>
      <c r="AJ64" s="20"/>
    </row>
    <row r="65" customFormat="false" ht="12.75" hidden="false" customHeight="true" outlineLevel="0" collapsed="false">
      <c r="A65" s="127"/>
      <c r="B65" s="3"/>
      <c r="C65" s="3"/>
      <c r="D65" s="5"/>
      <c r="E65" s="5"/>
      <c r="F65" s="128"/>
      <c r="G65" s="129"/>
      <c r="H65" s="8"/>
      <c r="I65" s="130"/>
      <c r="J65" s="130"/>
      <c r="K65" s="130"/>
      <c r="L65" s="130"/>
      <c r="M65" s="130"/>
      <c r="N65" s="14"/>
      <c r="O65" s="14"/>
      <c r="P65" s="15"/>
      <c r="Q65" s="14"/>
      <c r="R65" s="15"/>
      <c r="S65" s="14"/>
      <c r="T65" s="8"/>
      <c r="U65" s="16"/>
      <c r="V65" s="17"/>
      <c r="W65" s="18"/>
      <c r="X65" s="18"/>
      <c r="Y65" s="20"/>
      <c r="Z65" s="20"/>
      <c r="AA65" s="20"/>
      <c r="AB65" s="20"/>
      <c r="AC65" s="24"/>
      <c r="AD65" s="20"/>
      <c r="AE65" s="20"/>
      <c r="AF65" s="20"/>
      <c r="AG65" s="20"/>
      <c r="AH65" s="20"/>
      <c r="AI65" s="20"/>
      <c r="AJ65" s="20"/>
    </row>
    <row r="66" customFormat="false" ht="12.75" hidden="false" customHeight="true" outlineLevel="0" collapsed="false">
      <c r="A66" s="127"/>
      <c r="B66" s="3"/>
      <c r="C66" s="3"/>
      <c r="D66" s="5"/>
      <c r="E66" s="5"/>
      <c r="F66" s="128"/>
      <c r="G66" s="129"/>
      <c r="H66" s="8"/>
      <c r="I66" s="130"/>
      <c r="J66" s="130"/>
      <c r="K66" s="130"/>
      <c r="L66" s="130"/>
      <c r="M66" s="130"/>
      <c r="N66" s="14"/>
      <c r="O66" s="14"/>
      <c r="P66" s="15"/>
      <c r="Q66" s="14"/>
      <c r="R66" s="15"/>
      <c r="S66" s="14"/>
      <c r="T66" s="8"/>
      <c r="U66" s="16"/>
      <c r="V66" s="17"/>
      <c r="W66" s="18"/>
      <c r="X66" s="18"/>
      <c r="Y66" s="20"/>
      <c r="Z66" s="20"/>
      <c r="AA66" s="20"/>
      <c r="AB66" s="20"/>
      <c r="AC66" s="24"/>
      <c r="AD66" s="20"/>
      <c r="AE66" s="20"/>
      <c r="AF66" s="20"/>
      <c r="AG66" s="20"/>
      <c r="AH66" s="20"/>
      <c r="AI66" s="20"/>
      <c r="AJ66" s="20"/>
    </row>
    <row r="67" customFormat="false" ht="12.75" hidden="false" customHeight="true" outlineLevel="0" collapsed="false">
      <c r="A67" s="127"/>
      <c r="B67" s="3"/>
      <c r="C67" s="3"/>
      <c r="D67" s="5"/>
      <c r="E67" s="5"/>
      <c r="F67" s="128"/>
      <c r="G67" s="129"/>
      <c r="H67" s="8"/>
      <c r="I67" s="130"/>
      <c r="J67" s="130"/>
      <c r="K67" s="130"/>
      <c r="L67" s="130"/>
      <c r="M67" s="130"/>
      <c r="N67" s="14"/>
      <c r="O67" s="14"/>
      <c r="P67" s="15"/>
      <c r="Q67" s="14"/>
      <c r="R67" s="15"/>
      <c r="S67" s="14"/>
      <c r="T67" s="8"/>
      <c r="U67" s="16"/>
      <c r="V67" s="17"/>
      <c r="W67" s="18"/>
      <c r="X67" s="18"/>
      <c r="Y67" s="20"/>
      <c r="Z67" s="20"/>
      <c r="AA67" s="20"/>
      <c r="AB67" s="20"/>
      <c r="AC67" s="24"/>
      <c r="AD67" s="20"/>
      <c r="AE67" s="20"/>
      <c r="AF67" s="20"/>
      <c r="AG67" s="20"/>
      <c r="AH67" s="20"/>
      <c r="AI67" s="20"/>
      <c r="AJ67" s="20"/>
    </row>
    <row r="68" customFormat="false" ht="12.75" hidden="false" customHeight="true" outlineLevel="0" collapsed="false">
      <c r="A68" s="127"/>
      <c r="B68" s="3"/>
      <c r="C68" s="3"/>
      <c r="D68" s="5"/>
      <c r="E68" s="5"/>
      <c r="F68" s="128"/>
      <c r="G68" s="129"/>
      <c r="H68" s="8"/>
      <c r="I68" s="130"/>
      <c r="J68" s="130"/>
      <c r="K68" s="130"/>
      <c r="L68" s="130"/>
      <c r="M68" s="130"/>
      <c r="N68" s="14"/>
      <c r="O68" s="14"/>
      <c r="P68" s="15"/>
      <c r="Q68" s="14"/>
      <c r="R68" s="15"/>
      <c r="S68" s="14"/>
      <c r="T68" s="8"/>
      <c r="U68" s="16"/>
      <c r="V68" s="17"/>
      <c r="W68" s="18"/>
      <c r="X68" s="18"/>
      <c r="Y68" s="20"/>
      <c r="Z68" s="20"/>
      <c r="AA68" s="20"/>
      <c r="AB68" s="20"/>
      <c r="AC68" s="24"/>
      <c r="AD68" s="20"/>
      <c r="AE68" s="20"/>
      <c r="AF68" s="20"/>
      <c r="AG68" s="20"/>
      <c r="AH68" s="20"/>
      <c r="AI68" s="20"/>
      <c r="AJ68" s="20"/>
    </row>
    <row r="69" customFormat="false" ht="12.75" hidden="false" customHeight="true" outlineLevel="0" collapsed="false">
      <c r="A69" s="127"/>
      <c r="B69" s="3"/>
      <c r="C69" s="3"/>
      <c r="D69" s="5"/>
      <c r="E69" s="5"/>
      <c r="F69" s="128"/>
      <c r="G69" s="129"/>
      <c r="H69" s="8"/>
      <c r="I69" s="130"/>
      <c r="J69" s="130"/>
      <c r="K69" s="130"/>
      <c r="L69" s="130"/>
      <c r="M69" s="130"/>
      <c r="N69" s="14"/>
      <c r="O69" s="14"/>
      <c r="P69" s="15"/>
      <c r="Q69" s="14"/>
      <c r="R69" s="15"/>
      <c r="S69" s="14"/>
      <c r="T69" s="8"/>
      <c r="U69" s="16"/>
      <c r="V69" s="17"/>
      <c r="W69" s="18"/>
      <c r="X69" s="18"/>
      <c r="Y69" s="20"/>
      <c r="Z69" s="20"/>
      <c r="AA69" s="20"/>
      <c r="AB69" s="20"/>
      <c r="AC69" s="24"/>
      <c r="AD69" s="20"/>
      <c r="AE69" s="20"/>
      <c r="AF69" s="20"/>
      <c r="AG69" s="20"/>
      <c r="AH69" s="20"/>
      <c r="AI69" s="20"/>
      <c r="AJ69" s="20"/>
    </row>
    <row r="70" customFormat="false" ht="12.75" hidden="false" customHeight="true" outlineLevel="0" collapsed="false">
      <c r="A70" s="127"/>
      <c r="B70" s="3"/>
      <c r="C70" s="3"/>
      <c r="D70" s="5"/>
      <c r="E70" s="5"/>
      <c r="F70" s="128"/>
      <c r="G70" s="129"/>
      <c r="H70" s="8"/>
      <c r="I70" s="130"/>
      <c r="J70" s="130"/>
      <c r="K70" s="130"/>
      <c r="L70" s="130"/>
      <c r="M70" s="130"/>
      <c r="N70" s="14"/>
      <c r="O70" s="14"/>
      <c r="P70" s="15"/>
      <c r="Q70" s="14"/>
      <c r="R70" s="15"/>
      <c r="S70" s="14"/>
      <c r="T70" s="8"/>
      <c r="U70" s="16"/>
      <c r="V70" s="17"/>
      <c r="W70" s="18"/>
      <c r="X70" s="18"/>
      <c r="Y70" s="20"/>
      <c r="Z70" s="20"/>
      <c r="AA70" s="20"/>
      <c r="AB70" s="20"/>
      <c r="AC70" s="24"/>
      <c r="AD70" s="20"/>
      <c r="AE70" s="20"/>
      <c r="AF70" s="20"/>
      <c r="AG70" s="20"/>
      <c r="AH70" s="20"/>
      <c r="AI70" s="20"/>
      <c r="AJ70" s="20"/>
    </row>
    <row r="71" customFormat="false" ht="12.75" hidden="false" customHeight="true" outlineLevel="0" collapsed="false">
      <c r="A71" s="127"/>
      <c r="B71" s="3"/>
      <c r="C71" s="3"/>
      <c r="D71" s="5"/>
      <c r="E71" s="5"/>
      <c r="F71" s="128"/>
      <c r="G71" s="129"/>
      <c r="H71" s="8"/>
      <c r="I71" s="130"/>
      <c r="J71" s="130"/>
      <c r="K71" s="130"/>
      <c r="L71" s="130"/>
      <c r="M71" s="130"/>
      <c r="N71" s="14"/>
      <c r="O71" s="14"/>
      <c r="P71" s="15"/>
      <c r="Q71" s="14"/>
      <c r="R71" s="15"/>
      <c r="S71" s="14"/>
      <c r="T71" s="8"/>
      <c r="U71" s="16"/>
      <c r="V71" s="17"/>
      <c r="W71" s="18"/>
      <c r="X71" s="18"/>
      <c r="Y71" s="20"/>
      <c r="Z71" s="20"/>
      <c r="AA71" s="20"/>
      <c r="AB71" s="20"/>
      <c r="AC71" s="24"/>
      <c r="AD71" s="20"/>
      <c r="AE71" s="20"/>
      <c r="AF71" s="20"/>
      <c r="AG71" s="20"/>
      <c r="AH71" s="20"/>
      <c r="AI71" s="20"/>
      <c r="AJ71" s="20"/>
    </row>
    <row r="72" customFormat="false" ht="12.75" hidden="false" customHeight="true" outlineLevel="0" collapsed="false">
      <c r="A72" s="127"/>
      <c r="B72" s="3"/>
      <c r="C72" s="3"/>
      <c r="D72" s="5"/>
      <c r="E72" s="5"/>
      <c r="F72" s="128"/>
      <c r="G72" s="129"/>
      <c r="H72" s="8"/>
      <c r="I72" s="130"/>
      <c r="J72" s="130"/>
      <c r="K72" s="130"/>
      <c r="L72" s="130"/>
      <c r="M72" s="130"/>
      <c r="N72" s="14"/>
      <c r="O72" s="14"/>
      <c r="P72" s="15"/>
      <c r="Q72" s="14"/>
      <c r="R72" s="15"/>
      <c r="S72" s="14"/>
      <c r="T72" s="8"/>
      <c r="U72" s="16"/>
      <c r="V72" s="17"/>
      <c r="W72" s="18"/>
      <c r="X72" s="18"/>
      <c r="Y72" s="20"/>
      <c r="Z72" s="20"/>
      <c r="AA72" s="20"/>
      <c r="AB72" s="20"/>
      <c r="AC72" s="24"/>
      <c r="AD72" s="20"/>
      <c r="AE72" s="20"/>
      <c r="AF72" s="20"/>
      <c r="AG72" s="20"/>
      <c r="AH72" s="20"/>
      <c r="AI72" s="20"/>
      <c r="AJ72" s="20"/>
    </row>
    <row r="73" customFormat="false" ht="12.75" hidden="false" customHeight="true" outlineLevel="0" collapsed="false">
      <c r="A73" s="127"/>
      <c r="B73" s="3"/>
      <c r="C73" s="3"/>
      <c r="D73" s="5"/>
      <c r="E73" s="5"/>
      <c r="F73" s="128"/>
      <c r="G73" s="129"/>
      <c r="H73" s="8"/>
      <c r="I73" s="130"/>
      <c r="J73" s="130"/>
      <c r="K73" s="130"/>
      <c r="L73" s="130"/>
      <c r="M73" s="130"/>
      <c r="N73" s="14"/>
      <c r="O73" s="14"/>
      <c r="P73" s="15"/>
      <c r="Q73" s="14"/>
      <c r="R73" s="15"/>
      <c r="S73" s="14"/>
      <c r="T73" s="8"/>
      <c r="U73" s="16"/>
      <c r="V73" s="17"/>
      <c r="W73" s="18"/>
      <c r="X73" s="18"/>
      <c r="Y73" s="20"/>
      <c r="Z73" s="20"/>
      <c r="AA73" s="20"/>
      <c r="AB73" s="20"/>
      <c r="AC73" s="24"/>
      <c r="AD73" s="20"/>
      <c r="AE73" s="20"/>
      <c r="AF73" s="20"/>
      <c r="AG73" s="20"/>
      <c r="AH73" s="20"/>
      <c r="AI73" s="20"/>
      <c r="AJ73" s="20"/>
    </row>
    <row r="74" customFormat="false" ht="12.75" hidden="false" customHeight="true" outlineLevel="0" collapsed="false">
      <c r="A74" s="127"/>
      <c r="B74" s="3"/>
      <c r="C74" s="3"/>
      <c r="D74" s="5"/>
      <c r="E74" s="5"/>
      <c r="F74" s="128"/>
      <c r="G74" s="129"/>
      <c r="H74" s="8"/>
      <c r="I74" s="130"/>
      <c r="J74" s="130"/>
      <c r="K74" s="130"/>
      <c r="L74" s="130"/>
      <c r="M74" s="130"/>
      <c r="N74" s="14"/>
      <c r="O74" s="14"/>
      <c r="P74" s="15"/>
      <c r="Q74" s="14"/>
      <c r="R74" s="15"/>
      <c r="S74" s="14"/>
      <c r="T74" s="8"/>
      <c r="U74" s="16"/>
      <c r="V74" s="17"/>
      <c r="W74" s="18"/>
      <c r="X74" s="18"/>
      <c r="Y74" s="20"/>
      <c r="Z74" s="20"/>
      <c r="AA74" s="20"/>
      <c r="AB74" s="20"/>
      <c r="AC74" s="24"/>
      <c r="AD74" s="20"/>
      <c r="AE74" s="20"/>
      <c r="AF74" s="20"/>
      <c r="AG74" s="20"/>
      <c r="AH74" s="20"/>
      <c r="AI74" s="20"/>
      <c r="AJ74" s="20"/>
    </row>
    <row r="75" customFormat="false" ht="12.75" hidden="false" customHeight="true" outlineLevel="0" collapsed="false">
      <c r="A75" s="127"/>
      <c r="B75" s="3"/>
      <c r="C75" s="3"/>
      <c r="D75" s="5"/>
      <c r="E75" s="5"/>
      <c r="F75" s="128"/>
      <c r="G75" s="129"/>
      <c r="H75" s="8"/>
      <c r="I75" s="130"/>
      <c r="J75" s="130"/>
      <c r="K75" s="130"/>
      <c r="L75" s="130"/>
      <c r="M75" s="130"/>
      <c r="N75" s="14"/>
      <c r="O75" s="14"/>
      <c r="P75" s="15"/>
      <c r="Q75" s="14"/>
      <c r="R75" s="15"/>
      <c r="S75" s="14"/>
      <c r="T75" s="8"/>
      <c r="U75" s="16"/>
      <c r="V75" s="17"/>
      <c r="W75" s="18"/>
      <c r="X75" s="18"/>
      <c r="Y75" s="20"/>
      <c r="Z75" s="20"/>
      <c r="AA75" s="20"/>
      <c r="AB75" s="20"/>
      <c r="AC75" s="24"/>
      <c r="AD75" s="20"/>
      <c r="AE75" s="20"/>
      <c r="AF75" s="20"/>
      <c r="AG75" s="20"/>
      <c r="AH75" s="20"/>
      <c r="AI75" s="20"/>
      <c r="AJ75" s="20"/>
    </row>
    <row r="76" customFormat="false" ht="12.75" hidden="false" customHeight="true" outlineLevel="0" collapsed="false">
      <c r="A76" s="127"/>
      <c r="B76" s="3"/>
      <c r="C76" s="3"/>
      <c r="D76" s="5"/>
      <c r="E76" s="5"/>
      <c r="F76" s="128"/>
      <c r="G76" s="129"/>
      <c r="H76" s="8"/>
      <c r="I76" s="130"/>
      <c r="J76" s="130"/>
      <c r="K76" s="130"/>
      <c r="L76" s="130"/>
      <c r="M76" s="130"/>
      <c r="N76" s="14"/>
      <c r="O76" s="14"/>
      <c r="P76" s="15"/>
      <c r="Q76" s="14"/>
      <c r="R76" s="15"/>
      <c r="S76" s="14"/>
      <c r="T76" s="8"/>
      <c r="U76" s="16"/>
      <c r="V76" s="17"/>
      <c r="W76" s="18"/>
      <c r="X76" s="18"/>
      <c r="Y76" s="20"/>
      <c r="Z76" s="20"/>
      <c r="AA76" s="20"/>
      <c r="AB76" s="20"/>
      <c r="AC76" s="24"/>
      <c r="AD76" s="20"/>
      <c r="AE76" s="20"/>
      <c r="AF76" s="20"/>
      <c r="AG76" s="20"/>
      <c r="AH76" s="20"/>
      <c r="AI76" s="20"/>
      <c r="AJ76" s="20"/>
    </row>
    <row r="77" customFormat="false" ht="12.75" hidden="false" customHeight="true" outlineLevel="0" collapsed="false">
      <c r="A77" s="127"/>
      <c r="B77" s="3"/>
      <c r="C77" s="3"/>
      <c r="D77" s="5"/>
      <c r="E77" s="5"/>
      <c r="F77" s="128"/>
      <c r="G77" s="129"/>
      <c r="H77" s="8"/>
      <c r="I77" s="130"/>
      <c r="J77" s="130"/>
      <c r="K77" s="130"/>
      <c r="L77" s="130"/>
      <c r="M77" s="130"/>
      <c r="N77" s="14"/>
      <c r="O77" s="14"/>
      <c r="P77" s="15"/>
      <c r="Q77" s="14"/>
      <c r="R77" s="15"/>
      <c r="S77" s="14"/>
      <c r="T77" s="8"/>
      <c r="U77" s="16"/>
      <c r="V77" s="17"/>
      <c r="W77" s="18"/>
      <c r="X77" s="18"/>
      <c r="Y77" s="20"/>
      <c r="Z77" s="20"/>
      <c r="AA77" s="20"/>
      <c r="AB77" s="20"/>
      <c r="AC77" s="24"/>
      <c r="AD77" s="20"/>
      <c r="AE77" s="20"/>
      <c r="AF77" s="20"/>
      <c r="AG77" s="20"/>
      <c r="AH77" s="20"/>
      <c r="AI77" s="20"/>
      <c r="AJ77" s="20"/>
    </row>
    <row r="78" customFormat="false" ht="12.75" hidden="false" customHeight="true" outlineLevel="0" collapsed="false">
      <c r="A78" s="127"/>
      <c r="B78" s="3"/>
      <c r="C78" s="3"/>
      <c r="D78" s="5"/>
      <c r="E78" s="5"/>
      <c r="F78" s="128"/>
      <c r="G78" s="129"/>
      <c r="H78" s="8"/>
      <c r="I78" s="130"/>
      <c r="J78" s="130"/>
      <c r="K78" s="130"/>
      <c r="L78" s="130"/>
      <c r="M78" s="130"/>
      <c r="N78" s="14"/>
      <c r="O78" s="14"/>
      <c r="P78" s="15"/>
      <c r="Q78" s="14"/>
      <c r="R78" s="15"/>
      <c r="S78" s="14"/>
      <c r="T78" s="8"/>
      <c r="U78" s="16"/>
      <c r="V78" s="17"/>
      <c r="W78" s="18"/>
      <c r="X78" s="18"/>
      <c r="Y78" s="20"/>
      <c r="Z78" s="20"/>
      <c r="AA78" s="20"/>
      <c r="AB78" s="20"/>
      <c r="AC78" s="24"/>
      <c r="AD78" s="20"/>
      <c r="AE78" s="20"/>
      <c r="AF78" s="20"/>
      <c r="AG78" s="20"/>
      <c r="AH78" s="20"/>
      <c r="AI78" s="20"/>
      <c r="AJ78" s="20"/>
    </row>
    <row r="79" customFormat="false" ht="12.75" hidden="false" customHeight="true" outlineLevel="0" collapsed="false">
      <c r="A79" s="127"/>
      <c r="B79" s="3"/>
      <c r="C79" s="3"/>
      <c r="D79" s="5"/>
      <c r="E79" s="5"/>
      <c r="F79" s="128"/>
      <c r="G79" s="129"/>
      <c r="H79" s="8"/>
      <c r="I79" s="130"/>
      <c r="J79" s="130"/>
      <c r="K79" s="130"/>
      <c r="L79" s="130"/>
      <c r="M79" s="130"/>
      <c r="N79" s="14"/>
      <c r="O79" s="14"/>
      <c r="P79" s="15"/>
      <c r="Q79" s="14"/>
      <c r="R79" s="15"/>
      <c r="S79" s="14"/>
      <c r="T79" s="8"/>
      <c r="U79" s="16"/>
      <c r="V79" s="17"/>
      <c r="W79" s="18"/>
      <c r="X79" s="18"/>
      <c r="Y79" s="20"/>
      <c r="Z79" s="20"/>
      <c r="AA79" s="20"/>
      <c r="AB79" s="20"/>
      <c r="AC79" s="24"/>
      <c r="AD79" s="20"/>
      <c r="AE79" s="20"/>
      <c r="AF79" s="20"/>
      <c r="AG79" s="20"/>
      <c r="AH79" s="20"/>
      <c r="AI79" s="20"/>
      <c r="AJ79" s="20"/>
    </row>
    <row r="80" customFormat="false" ht="12.75" hidden="false" customHeight="true" outlineLevel="0" collapsed="false">
      <c r="A80" s="127"/>
      <c r="B80" s="3"/>
      <c r="C80" s="3"/>
      <c r="D80" s="5"/>
      <c r="E80" s="5"/>
      <c r="F80" s="128"/>
      <c r="G80" s="129"/>
      <c r="H80" s="8"/>
      <c r="I80" s="130"/>
      <c r="J80" s="130"/>
      <c r="K80" s="130"/>
      <c r="L80" s="130"/>
      <c r="M80" s="130"/>
      <c r="N80" s="14"/>
      <c r="O80" s="14"/>
      <c r="P80" s="15"/>
      <c r="Q80" s="14"/>
      <c r="R80" s="15"/>
      <c r="S80" s="14"/>
      <c r="T80" s="8"/>
      <c r="U80" s="16"/>
      <c r="V80" s="17"/>
      <c r="W80" s="18"/>
      <c r="X80" s="18"/>
      <c r="Y80" s="20"/>
      <c r="Z80" s="20"/>
      <c r="AA80" s="20"/>
      <c r="AB80" s="20"/>
      <c r="AC80" s="24"/>
      <c r="AD80" s="20"/>
      <c r="AE80" s="20"/>
      <c r="AF80" s="20"/>
      <c r="AG80" s="20"/>
      <c r="AH80" s="20"/>
      <c r="AI80" s="20"/>
      <c r="AJ80" s="20"/>
    </row>
    <row r="81" customFormat="false" ht="12.75" hidden="false" customHeight="true" outlineLevel="0" collapsed="false">
      <c r="A81" s="127"/>
      <c r="B81" s="3"/>
      <c r="C81" s="3"/>
      <c r="D81" s="5"/>
      <c r="E81" s="5"/>
      <c r="F81" s="128"/>
      <c r="G81" s="129"/>
      <c r="H81" s="8"/>
      <c r="I81" s="130"/>
      <c r="J81" s="130"/>
      <c r="K81" s="130"/>
      <c r="L81" s="130"/>
      <c r="M81" s="130"/>
      <c r="N81" s="14"/>
      <c r="O81" s="14"/>
      <c r="P81" s="15"/>
      <c r="Q81" s="14"/>
      <c r="R81" s="15"/>
      <c r="S81" s="14"/>
      <c r="T81" s="8"/>
      <c r="U81" s="16"/>
      <c r="V81" s="17"/>
      <c r="W81" s="18"/>
      <c r="X81" s="18"/>
      <c r="Y81" s="20"/>
      <c r="Z81" s="20"/>
      <c r="AA81" s="20"/>
      <c r="AB81" s="20"/>
      <c r="AC81" s="24"/>
      <c r="AD81" s="20"/>
      <c r="AE81" s="20"/>
      <c r="AF81" s="20"/>
      <c r="AG81" s="20"/>
      <c r="AH81" s="20"/>
      <c r="AI81" s="20"/>
      <c r="AJ81" s="20"/>
    </row>
    <row r="82" customFormat="false" ht="12.75" hidden="false" customHeight="true" outlineLevel="0" collapsed="false">
      <c r="A82" s="127"/>
      <c r="B82" s="3"/>
      <c r="C82" s="3"/>
      <c r="D82" s="5"/>
      <c r="E82" s="5"/>
      <c r="F82" s="128"/>
      <c r="G82" s="129"/>
      <c r="H82" s="8"/>
      <c r="I82" s="130"/>
      <c r="J82" s="130"/>
      <c r="K82" s="130"/>
      <c r="L82" s="130"/>
      <c r="M82" s="130"/>
      <c r="N82" s="14"/>
      <c r="O82" s="14"/>
      <c r="P82" s="15"/>
      <c r="Q82" s="14"/>
      <c r="R82" s="15"/>
      <c r="S82" s="14"/>
      <c r="T82" s="8"/>
      <c r="U82" s="16"/>
      <c r="V82" s="17"/>
      <c r="W82" s="18"/>
      <c r="X82" s="18"/>
      <c r="Y82" s="20"/>
      <c r="Z82" s="20"/>
      <c r="AA82" s="20"/>
      <c r="AB82" s="20"/>
      <c r="AC82" s="24"/>
      <c r="AD82" s="20"/>
      <c r="AE82" s="20"/>
      <c r="AF82" s="20"/>
      <c r="AG82" s="20"/>
      <c r="AH82" s="20"/>
      <c r="AI82" s="20"/>
      <c r="AJ82" s="20"/>
    </row>
    <row r="83" customFormat="false" ht="12.75" hidden="false" customHeight="true" outlineLevel="0" collapsed="false">
      <c r="A83" s="127"/>
      <c r="B83" s="3"/>
      <c r="C83" s="3"/>
      <c r="D83" s="5"/>
      <c r="E83" s="5"/>
      <c r="F83" s="128"/>
      <c r="G83" s="129"/>
      <c r="H83" s="8"/>
      <c r="I83" s="130"/>
      <c r="J83" s="130"/>
      <c r="K83" s="130"/>
      <c r="L83" s="130"/>
      <c r="M83" s="130"/>
      <c r="N83" s="14"/>
      <c r="O83" s="14"/>
      <c r="P83" s="15"/>
      <c r="Q83" s="14"/>
      <c r="R83" s="15"/>
      <c r="S83" s="14"/>
      <c r="T83" s="8"/>
      <c r="U83" s="16"/>
      <c r="V83" s="17"/>
      <c r="W83" s="18"/>
      <c r="X83" s="18"/>
      <c r="Y83" s="20"/>
      <c r="Z83" s="20"/>
      <c r="AA83" s="20"/>
      <c r="AB83" s="20"/>
      <c r="AC83" s="24"/>
      <c r="AD83" s="20"/>
      <c r="AE83" s="20"/>
      <c r="AF83" s="20"/>
      <c r="AG83" s="20"/>
      <c r="AH83" s="20"/>
      <c r="AI83" s="20"/>
      <c r="AJ83" s="20"/>
    </row>
    <row r="84" customFormat="false" ht="12.75" hidden="false" customHeight="true" outlineLevel="0" collapsed="false">
      <c r="A84" s="127"/>
      <c r="B84" s="3"/>
      <c r="C84" s="3"/>
      <c r="D84" s="5"/>
      <c r="E84" s="5"/>
      <c r="F84" s="128"/>
      <c r="G84" s="129"/>
      <c r="H84" s="8"/>
      <c r="I84" s="130"/>
      <c r="J84" s="130"/>
      <c r="K84" s="130"/>
      <c r="L84" s="130"/>
      <c r="M84" s="130"/>
      <c r="N84" s="14"/>
      <c r="O84" s="14"/>
      <c r="P84" s="15"/>
      <c r="Q84" s="14"/>
      <c r="R84" s="15"/>
      <c r="S84" s="14"/>
      <c r="T84" s="8"/>
      <c r="U84" s="16"/>
      <c r="V84" s="17"/>
      <c r="W84" s="18"/>
      <c r="X84" s="18"/>
      <c r="Y84" s="20"/>
      <c r="Z84" s="20"/>
      <c r="AA84" s="20"/>
      <c r="AB84" s="20"/>
      <c r="AC84" s="24"/>
      <c r="AD84" s="20"/>
      <c r="AE84" s="20"/>
      <c r="AF84" s="20"/>
      <c r="AG84" s="20"/>
      <c r="AH84" s="20"/>
      <c r="AI84" s="20"/>
      <c r="AJ84" s="20"/>
    </row>
    <row r="85" customFormat="false" ht="12.75" hidden="false" customHeight="true" outlineLevel="0" collapsed="false">
      <c r="A85" s="127"/>
      <c r="B85" s="3"/>
      <c r="C85" s="3"/>
      <c r="D85" s="5"/>
      <c r="E85" s="5"/>
      <c r="F85" s="128"/>
      <c r="G85" s="129"/>
      <c r="H85" s="8"/>
      <c r="I85" s="130"/>
      <c r="J85" s="130"/>
      <c r="K85" s="130"/>
      <c r="L85" s="130"/>
      <c r="M85" s="130"/>
      <c r="N85" s="14"/>
      <c r="O85" s="14"/>
      <c r="P85" s="15"/>
      <c r="Q85" s="14"/>
      <c r="R85" s="15"/>
      <c r="S85" s="14"/>
      <c r="T85" s="8"/>
      <c r="U85" s="16"/>
      <c r="V85" s="17"/>
      <c r="W85" s="18"/>
      <c r="X85" s="18"/>
      <c r="Y85" s="20"/>
      <c r="Z85" s="20"/>
      <c r="AA85" s="20"/>
      <c r="AB85" s="20"/>
      <c r="AC85" s="24"/>
      <c r="AD85" s="20"/>
      <c r="AE85" s="20"/>
      <c r="AF85" s="20"/>
      <c r="AG85" s="20"/>
      <c r="AH85" s="20"/>
      <c r="AI85" s="20"/>
      <c r="AJ85" s="20"/>
    </row>
    <row r="86" customFormat="false" ht="12.75" hidden="false" customHeight="true" outlineLevel="0" collapsed="false">
      <c r="A86" s="127"/>
      <c r="B86" s="3"/>
      <c r="C86" s="3"/>
      <c r="D86" s="5"/>
      <c r="E86" s="5"/>
      <c r="F86" s="128"/>
      <c r="G86" s="129"/>
      <c r="H86" s="8"/>
      <c r="I86" s="130"/>
      <c r="J86" s="130"/>
      <c r="K86" s="130"/>
      <c r="L86" s="130"/>
      <c r="M86" s="130"/>
      <c r="N86" s="14"/>
      <c r="O86" s="14"/>
      <c r="P86" s="15"/>
      <c r="Q86" s="14"/>
      <c r="R86" s="15"/>
      <c r="S86" s="14"/>
      <c r="T86" s="8"/>
      <c r="U86" s="16"/>
      <c r="V86" s="17"/>
      <c r="W86" s="18"/>
      <c r="X86" s="18"/>
      <c r="Y86" s="20"/>
      <c r="Z86" s="20"/>
      <c r="AA86" s="20"/>
      <c r="AB86" s="20"/>
      <c r="AC86" s="24"/>
      <c r="AD86" s="20"/>
      <c r="AE86" s="20"/>
      <c r="AF86" s="20"/>
      <c r="AG86" s="20"/>
      <c r="AH86" s="20"/>
      <c r="AI86" s="20"/>
      <c r="AJ86" s="20"/>
    </row>
    <row r="87" customFormat="false" ht="12.75" hidden="false" customHeight="true" outlineLevel="0" collapsed="false">
      <c r="A87" s="127"/>
      <c r="B87" s="3"/>
      <c r="C87" s="3"/>
      <c r="D87" s="5"/>
      <c r="E87" s="5"/>
      <c r="F87" s="128"/>
      <c r="G87" s="129"/>
      <c r="H87" s="8"/>
      <c r="I87" s="130"/>
      <c r="J87" s="130"/>
      <c r="K87" s="130"/>
      <c r="L87" s="130"/>
      <c r="M87" s="130"/>
      <c r="N87" s="14"/>
      <c r="O87" s="14"/>
      <c r="P87" s="15"/>
      <c r="Q87" s="14"/>
      <c r="R87" s="15"/>
      <c r="S87" s="14"/>
      <c r="T87" s="8"/>
      <c r="U87" s="16"/>
      <c r="V87" s="17"/>
      <c r="W87" s="18"/>
      <c r="X87" s="18"/>
      <c r="Y87" s="20"/>
      <c r="Z87" s="20"/>
      <c r="AA87" s="20"/>
      <c r="AB87" s="20"/>
      <c r="AC87" s="24"/>
      <c r="AD87" s="20"/>
      <c r="AE87" s="20"/>
      <c r="AF87" s="20"/>
      <c r="AG87" s="20"/>
      <c r="AH87" s="20"/>
      <c r="AI87" s="20"/>
      <c r="AJ87" s="20"/>
    </row>
    <row r="88" customFormat="false" ht="12.75" hidden="false" customHeight="true" outlineLevel="0" collapsed="false">
      <c r="A88" s="127"/>
      <c r="B88" s="3"/>
      <c r="C88" s="3"/>
      <c r="D88" s="5"/>
      <c r="E88" s="5"/>
      <c r="F88" s="128"/>
      <c r="G88" s="129"/>
      <c r="H88" s="8"/>
      <c r="I88" s="130"/>
      <c r="J88" s="130"/>
      <c r="K88" s="130"/>
      <c r="L88" s="130"/>
      <c r="M88" s="130"/>
      <c r="N88" s="14"/>
      <c r="O88" s="14"/>
      <c r="P88" s="15"/>
      <c r="Q88" s="14"/>
      <c r="R88" s="15"/>
      <c r="S88" s="14"/>
      <c r="T88" s="8"/>
      <c r="U88" s="16"/>
      <c r="V88" s="17"/>
      <c r="W88" s="18"/>
      <c r="X88" s="18"/>
      <c r="Y88" s="20"/>
      <c r="Z88" s="20"/>
      <c r="AA88" s="20"/>
      <c r="AB88" s="20"/>
      <c r="AC88" s="24"/>
      <c r="AD88" s="20"/>
      <c r="AE88" s="20"/>
      <c r="AF88" s="20"/>
      <c r="AG88" s="20"/>
      <c r="AH88" s="20"/>
      <c r="AI88" s="20"/>
      <c r="AJ88" s="20"/>
    </row>
    <row r="89" customFormat="false" ht="12.75" hidden="false" customHeight="true" outlineLevel="0" collapsed="false">
      <c r="A89" s="127"/>
      <c r="B89" s="3"/>
      <c r="C89" s="3"/>
      <c r="D89" s="5"/>
      <c r="E89" s="5"/>
      <c r="F89" s="128"/>
      <c r="G89" s="129"/>
      <c r="H89" s="8"/>
      <c r="I89" s="130"/>
      <c r="J89" s="130"/>
      <c r="K89" s="130"/>
      <c r="L89" s="130"/>
      <c r="M89" s="130"/>
      <c r="N89" s="14"/>
      <c r="O89" s="14"/>
      <c r="P89" s="15"/>
      <c r="Q89" s="14"/>
      <c r="R89" s="15"/>
      <c r="S89" s="14"/>
      <c r="T89" s="8"/>
      <c r="U89" s="16"/>
      <c r="V89" s="17"/>
      <c r="W89" s="18"/>
      <c r="X89" s="18"/>
      <c r="Y89" s="20"/>
      <c r="Z89" s="20"/>
      <c r="AA89" s="20"/>
      <c r="AB89" s="20"/>
      <c r="AC89" s="24"/>
      <c r="AD89" s="20"/>
      <c r="AE89" s="20"/>
      <c r="AF89" s="20"/>
      <c r="AG89" s="20"/>
      <c r="AH89" s="20"/>
      <c r="AI89" s="20"/>
      <c r="AJ89" s="20"/>
    </row>
    <row r="90" customFormat="false" ht="12.75" hidden="false" customHeight="true" outlineLevel="0" collapsed="false">
      <c r="A90" s="127"/>
      <c r="B90" s="3"/>
      <c r="C90" s="3"/>
      <c r="D90" s="5"/>
      <c r="E90" s="5"/>
      <c r="F90" s="128"/>
      <c r="G90" s="129"/>
      <c r="H90" s="8"/>
      <c r="I90" s="130"/>
      <c r="J90" s="130"/>
      <c r="K90" s="130"/>
      <c r="L90" s="130"/>
      <c r="M90" s="130"/>
      <c r="N90" s="14"/>
      <c r="O90" s="14"/>
      <c r="P90" s="15"/>
      <c r="Q90" s="14"/>
      <c r="R90" s="15"/>
      <c r="S90" s="14"/>
      <c r="T90" s="8"/>
      <c r="U90" s="16"/>
      <c r="V90" s="17"/>
      <c r="W90" s="18"/>
      <c r="X90" s="18"/>
      <c r="Y90" s="20"/>
      <c r="Z90" s="20"/>
      <c r="AA90" s="20"/>
      <c r="AB90" s="20"/>
      <c r="AC90" s="24"/>
      <c r="AD90" s="20"/>
      <c r="AE90" s="20"/>
      <c r="AF90" s="20"/>
      <c r="AG90" s="20"/>
      <c r="AH90" s="20"/>
      <c r="AI90" s="20"/>
      <c r="AJ90" s="20"/>
    </row>
    <row r="91" customFormat="false" ht="12.75" hidden="false" customHeight="true" outlineLevel="0" collapsed="false">
      <c r="A91" s="127"/>
      <c r="B91" s="3"/>
      <c r="C91" s="3"/>
      <c r="D91" s="5"/>
      <c r="E91" s="5"/>
      <c r="F91" s="128"/>
      <c r="G91" s="129"/>
      <c r="H91" s="8"/>
      <c r="I91" s="130"/>
      <c r="J91" s="130"/>
      <c r="K91" s="130"/>
      <c r="L91" s="130"/>
      <c r="M91" s="130"/>
      <c r="N91" s="14"/>
      <c r="O91" s="14"/>
      <c r="P91" s="15"/>
      <c r="Q91" s="14"/>
      <c r="R91" s="15"/>
      <c r="S91" s="14"/>
      <c r="T91" s="8"/>
      <c r="U91" s="16"/>
      <c r="V91" s="17"/>
      <c r="W91" s="18"/>
      <c r="X91" s="18"/>
      <c r="Y91" s="20"/>
      <c r="Z91" s="20"/>
      <c r="AA91" s="20"/>
      <c r="AB91" s="20"/>
      <c r="AC91" s="24"/>
      <c r="AD91" s="20"/>
      <c r="AE91" s="20"/>
      <c r="AF91" s="20"/>
      <c r="AG91" s="20"/>
      <c r="AH91" s="20"/>
      <c r="AI91" s="20"/>
      <c r="AJ91" s="20"/>
    </row>
    <row r="92" customFormat="false" ht="12.75" hidden="false" customHeight="true" outlineLevel="0" collapsed="false">
      <c r="A92" s="127"/>
      <c r="B92" s="3"/>
      <c r="C92" s="3"/>
      <c r="D92" s="5"/>
      <c r="E92" s="5"/>
      <c r="F92" s="128"/>
      <c r="G92" s="129"/>
      <c r="H92" s="8"/>
      <c r="I92" s="130"/>
      <c r="J92" s="130"/>
      <c r="K92" s="130"/>
      <c r="L92" s="130"/>
      <c r="M92" s="130"/>
      <c r="N92" s="14"/>
      <c r="O92" s="14"/>
      <c r="P92" s="15"/>
      <c r="Q92" s="14"/>
      <c r="R92" s="15"/>
      <c r="S92" s="14"/>
      <c r="T92" s="8"/>
      <c r="U92" s="16"/>
      <c r="V92" s="17"/>
      <c r="W92" s="18"/>
      <c r="X92" s="18"/>
      <c r="Y92" s="20"/>
      <c r="Z92" s="20"/>
      <c r="AA92" s="20"/>
      <c r="AB92" s="20"/>
      <c r="AC92" s="24"/>
      <c r="AD92" s="20"/>
      <c r="AE92" s="20"/>
      <c r="AF92" s="20"/>
      <c r="AG92" s="20"/>
      <c r="AH92" s="20"/>
      <c r="AI92" s="20"/>
      <c r="AJ92" s="20"/>
    </row>
    <row r="93" customFormat="false" ht="12.75" hidden="false" customHeight="true" outlineLevel="0" collapsed="false">
      <c r="A93" s="127"/>
      <c r="B93" s="3"/>
      <c r="C93" s="3"/>
      <c r="D93" s="5"/>
      <c r="E93" s="5"/>
      <c r="F93" s="128"/>
      <c r="G93" s="129"/>
      <c r="H93" s="8"/>
      <c r="I93" s="130"/>
      <c r="J93" s="130"/>
      <c r="K93" s="130"/>
      <c r="L93" s="130"/>
      <c r="M93" s="130"/>
      <c r="N93" s="14"/>
      <c r="O93" s="14"/>
      <c r="P93" s="15"/>
      <c r="Q93" s="14"/>
      <c r="R93" s="15"/>
      <c r="S93" s="14"/>
      <c r="T93" s="8"/>
      <c r="U93" s="16"/>
      <c r="V93" s="17"/>
      <c r="W93" s="18"/>
      <c r="X93" s="18"/>
      <c r="Y93" s="20"/>
      <c r="Z93" s="20"/>
      <c r="AA93" s="20"/>
      <c r="AB93" s="20"/>
      <c r="AC93" s="24"/>
      <c r="AD93" s="20"/>
      <c r="AE93" s="20"/>
      <c r="AF93" s="20"/>
      <c r="AG93" s="20"/>
      <c r="AH93" s="20"/>
      <c r="AI93" s="20"/>
      <c r="AJ93" s="20"/>
    </row>
    <row r="94" customFormat="false" ht="12.75" hidden="false" customHeight="true" outlineLevel="0" collapsed="false">
      <c r="A94" s="127"/>
      <c r="B94" s="3"/>
      <c r="C94" s="3"/>
      <c r="D94" s="5"/>
      <c r="E94" s="5"/>
      <c r="F94" s="128"/>
      <c r="G94" s="129"/>
      <c r="H94" s="8"/>
      <c r="I94" s="130"/>
      <c r="J94" s="130"/>
      <c r="K94" s="130"/>
      <c r="L94" s="130"/>
      <c r="M94" s="130"/>
      <c r="N94" s="14"/>
      <c r="O94" s="14"/>
      <c r="P94" s="15"/>
      <c r="Q94" s="14"/>
      <c r="R94" s="15"/>
      <c r="S94" s="14"/>
      <c r="T94" s="8"/>
      <c r="U94" s="16"/>
      <c r="V94" s="17"/>
      <c r="W94" s="18"/>
      <c r="X94" s="18"/>
      <c r="Y94" s="20"/>
      <c r="Z94" s="20"/>
      <c r="AA94" s="20"/>
      <c r="AB94" s="20"/>
      <c r="AC94" s="24"/>
      <c r="AD94" s="20"/>
      <c r="AE94" s="20"/>
      <c r="AF94" s="20"/>
      <c r="AG94" s="20"/>
      <c r="AH94" s="20"/>
      <c r="AI94" s="20"/>
      <c r="AJ94" s="20"/>
    </row>
    <row r="95" customFormat="false" ht="12.75" hidden="false" customHeight="true" outlineLevel="0" collapsed="false">
      <c r="A95" s="127"/>
      <c r="B95" s="3"/>
      <c r="C95" s="3"/>
      <c r="D95" s="5"/>
      <c r="E95" s="5"/>
      <c r="F95" s="128"/>
      <c r="G95" s="129"/>
      <c r="H95" s="8"/>
      <c r="I95" s="130"/>
      <c r="J95" s="130"/>
      <c r="K95" s="130"/>
      <c r="L95" s="130"/>
      <c r="M95" s="130"/>
      <c r="N95" s="14"/>
      <c r="O95" s="14"/>
      <c r="P95" s="15"/>
      <c r="Q95" s="14"/>
      <c r="R95" s="15"/>
      <c r="S95" s="14"/>
      <c r="T95" s="8"/>
      <c r="U95" s="16"/>
      <c r="V95" s="17"/>
      <c r="W95" s="18"/>
      <c r="X95" s="18"/>
      <c r="Y95" s="20"/>
      <c r="Z95" s="20"/>
      <c r="AA95" s="20"/>
      <c r="AB95" s="20"/>
      <c r="AC95" s="24"/>
      <c r="AD95" s="20"/>
      <c r="AE95" s="20"/>
      <c r="AF95" s="20"/>
      <c r="AG95" s="20"/>
      <c r="AH95" s="20"/>
      <c r="AI95" s="20"/>
      <c r="AJ95" s="20"/>
    </row>
    <row r="96" customFormat="false" ht="12.75" hidden="false" customHeight="true" outlineLevel="0" collapsed="false">
      <c r="A96" s="127"/>
      <c r="B96" s="3"/>
      <c r="C96" s="3"/>
      <c r="D96" s="5"/>
      <c r="E96" s="5"/>
      <c r="F96" s="128"/>
      <c r="G96" s="129"/>
      <c r="H96" s="8"/>
      <c r="I96" s="130"/>
      <c r="J96" s="130"/>
      <c r="K96" s="130"/>
      <c r="L96" s="130"/>
      <c r="M96" s="130"/>
      <c r="N96" s="14"/>
      <c r="O96" s="14"/>
      <c r="P96" s="15"/>
      <c r="Q96" s="14"/>
      <c r="R96" s="15"/>
      <c r="S96" s="14"/>
      <c r="T96" s="8"/>
      <c r="U96" s="16"/>
      <c r="V96" s="17"/>
      <c r="W96" s="18"/>
      <c r="X96" s="18"/>
      <c r="Y96" s="20"/>
      <c r="Z96" s="20"/>
      <c r="AA96" s="20"/>
      <c r="AB96" s="20"/>
      <c r="AC96" s="24"/>
      <c r="AD96" s="20"/>
      <c r="AE96" s="20"/>
      <c r="AF96" s="20"/>
      <c r="AG96" s="20"/>
      <c r="AH96" s="20"/>
      <c r="AI96" s="20"/>
      <c r="AJ96" s="20"/>
    </row>
    <row r="97" customFormat="false" ht="12.75" hidden="false" customHeight="true" outlineLevel="0" collapsed="false">
      <c r="A97" s="127"/>
      <c r="B97" s="3"/>
      <c r="C97" s="3"/>
      <c r="D97" s="5"/>
      <c r="E97" s="5"/>
      <c r="F97" s="128"/>
      <c r="G97" s="129"/>
      <c r="H97" s="8"/>
      <c r="I97" s="130"/>
      <c r="J97" s="130"/>
      <c r="K97" s="130"/>
      <c r="L97" s="130"/>
      <c r="M97" s="130"/>
      <c r="N97" s="14"/>
      <c r="O97" s="14"/>
      <c r="P97" s="15"/>
      <c r="Q97" s="14"/>
      <c r="R97" s="15"/>
      <c r="S97" s="14"/>
      <c r="T97" s="8"/>
      <c r="U97" s="16"/>
      <c r="V97" s="17"/>
      <c r="W97" s="18"/>
      <c r="X97" s="18"/>
      <c r="Y97" s="20"/>
      <c r="Z97" s="20"/>
      <c r="AA97" s="20"/>
      <c r="AB97" s="20"/>
      <c r="AC97" s="24"/>
      <c r="AD97" s="20"/>
      <c r="AE97" s="20"/>
      <c r="AF97" s="20"/>
      <c r="AG97" s="20"/>
      <c r="AH97" s="20"/>
      <c r="AI97" s="20"/>
      <c r="AJ97" s="20"/>
    </row>
    <row r="98" customFormat="false" ht="12.75" hidden="false" customHeight="true" outlineLevel="0" collapsed="false">
      <c r="A98" s="127"/>
      <c r="B98" s="3"/>
      <c r="C98" s="3"/>
      <c r="D98" s="5"/>
      <c r="E98" s="5"/>
      <c r="F98" s="128"/>
      <c r="G98" s="129"/>
      <c r="H98" s="8"/>
      <c r="I98" s="130"/>
      <c r="J98" s="130"/>
      <c r="K98" s="130"/>
      <c r="L98" s="130"/>
      <c r="M98" s="130"/>
      <c r="N98" s="14"/>
      <c r="O98" s="14"/>
      <c r="P98" s="15"/>
      <c r="Q98" s="14"/>
      <c r="R98" s="15"/>
      <c r="S98" s="14"/>
      <c r="T98" s="8"/>
      <c r="U98" s="16"/>
      <c r="V98" s="17"/>
      <c r="W98" s="18"/>
      <c r="X98" s="18"/>
      <c r="Y98" s="20"/>
      <c r="Z98" s="20"/>
      <c r="AA98" s="20"/>
      <c r="AB98" s="20"/>
      <c r="AC98" s="24"/>
      <c r="AD98" s="20"/>
      <c r="AE98" s="20"/>
      <c r="AF98" s="20"/>
      <c r="AG98" s="20"/>
      <c r="AH98" s="20"/>
      <c r="AI98" s="20"/>
      <c r="AJ98" s="20"/>
    </row>
    <row r="99" customFormat="false" ht="12.75" hidden="false" customHeight="true" outlineLevel="0" collapsed="false">
      <c r="A99" s="127"/>
      <c r="B99" s="3"/>
      <c r="C99" s="3"/>
      <c r="D99" s="5"/>
      <c r="E99" s="5"/>
      <c r="F99" s="128"/>
      <c r="G99" s="129"/>
      <c r="H99" s="8"/>
      <c r="I99" s="130"/>
      <c r="J99" s="130"/>
      <c r="K99" s="130"/>
      <c r="L99" s="130"/>
      <c r="M99" s="130"/>
      <c r="N99" s="14"/>
      <c r="O99" s="14"/>
      <c r="P99" s="15"/>
      <c r="Q99" s="14"/>
      <c r="R99" s="15"/>
      <c r="S99" s="14"/>
      <c r="T99" s="8"/>
      <c r="U99" s="16"/>
      <c r="V99" s="17"/>
      <c r="W99" s="18"/>
      <c r="X99" s="18"/>
      <c r="Y99" s="20"/>
      <c r="Z99" s="20"/>
      <c r="AA99" s="20"/>
      <c r="AB99" s="20"/>
      <c r="AC99" s="24"/>
      <c r="AD99" s="20"/>
      <c r="AE99" s="20"/>
      <c r="AF99" s="20"/>
      <c r="AG99" s="20"/>
      <c r="AH99" s="20"/>
      <c r="AI99" s="20"/>
      <c r="AJ99" s="20"/>
    </row>
    <row r="100" customFormat="false" ht="12.75" hidden="false" customHeight="true" outlineLevel="0" collapsed="false">
      <c r="A100" s="127"/>
      <c r="B100" s="3"/>
      <c r="C100" s="3"/>
      <c r="D100" s="5"/>
      <c r="E100" s="5"/>
      <c r="F100" s="128"/>
      <c r="G100" s="129"/>
      <c r="H100" s="8"/>
      <c r="I100" s="130"/>
      <c r="J100" s="130"/>
      <c r="K100" s="130"/>
      <c r="L100" s="130"/>
      <c r="M100" s="130"/>
      <c r="N100" s="14"/>
      <c r="O100" s="14"/>
      <c r="P100" s="15"/>
      <c r="Q100" s="14"/>
      <c r="R100" s="15"/>
      <c r="S100" s="14"/>
      <c r="T100" s="8"/>
      <c r="U100" s="16"/>
      <c r="V100" s="17"/>
      <c r="W100" s="18"/>
      <c r="X100" s="18"/>
      <c r="Y100" s="20"/>
      <c r="Z100" s="20"/>
      <c r="AA100" s="20"/>
      <c r="AB100" s="20"/>
      <c r="AC100" s="24"/>
      <c r="AD100" s="20"/>
      <c r="AE100" s="20"/>
      <c r="AF100" s="20"/>
      <c r="AG100" s="20"/>
      <c r="AH100" s="20"/>
      <c r="AI100" s="20"/>
      <c r="AJ100" s="20"/>
    </row>
    <row r="101" customFormat="false" ht="12.75" hidden="false" customHeight="true" outlineLevel="0" collapsed="false">
      <c r="A101" s="127"/>
      <c r="B101" s="3"/>
      <c r="C101" s="3"/>
      <c r="D101" s="5"/>
      <c r="E101" s="5"/>
      <c r="F101" s="128"/>
      <c r="G101" s="129"/>
      <c r="H101" s="8"/>
      <c r="I101" s="130"/>
      <c r="J101" s="130"/>
      <c r="K101" s="130"/>
      <c r="L101" s="130"/>
      <c r="M101" s="130"/>
      <c r="N101" s="14"/>
      <c r="O101" s="14"/>
      <c r="P101" s="15"/>
      <c r="Q101" s="14"/>
      <c r="R101" s="15"/>
      <c r="S101" s="14"/>
      <c r="T101" s="8"/>
      <c r="U101" s="16"/>
      <c r="V101" s="17"/>
      <c r="W101" s="18"/>
      <c r="X101" s="18"/>
      <c r="Y101" s="20"/>
      <c r="Z101" s="20"/>
      <c r="AA101" s="20"/>
      <c r="AB101" s="20"/>
      <c r="AC101" s="24"/>
      <c r="AD101" s="20"/>
      <c r="AE101" s="20"/>
      <c r="AF101" s="20"/>
      <c r="AG101" s="20"/>
      <c r="AH101" s="20"/>
      <c r="AI101" s="20"/>
      <c r="AJ101" s="20"/>
    </row>
    <row r="102" customFormat="false" ht="12.75" hidden="false" customHeight="true" outlineLevel="0" collapsed="false">
      <c r="A102" s="127"/>
      <c r="B102" s="3"/>
      <c r="C102" s="3"/>
      <c r="D102" s="5"/>
      <c r="E102" s="5"/>
      <c r="F102" s="128"/>
      <c r="G102" s="129"/>
      <c r="H102" s="8"/>
      <c r="I102" s="130"/>
      <c r="J102" s="130"/>
      <c r="K102" s="130"/>
      <c r="L102" s="130"/>
      <c r="M102" s="130"/>
      <c r="N102" s="14"/>
      <c r="O102" s="14"/>
      <c r="P102" s="15"/>
      <c r="Q102" s="14"/>
      <c r="R102" s="15"/>
      <c r="S102" s="14"/>
      <c r="T102" s="8"/>
      <c r="U102" s="16"/>
      <c r="V102" s="17"/>
      <c r="W102" s="18"/>
      <c r="X102" s="18"/>
      <c r="Y102" s="20"/>
      <c r="Z102" s="20"/>
      <c r="AA102" s="20"/>
      <c r="AB102" s="20"/>
      <c r="AC102" s="24"/>
      <c r="AD102" s="20"/>
      <c r="AE102" s="20"/>
      <c r="AF102" s="20"/>
      <c r="AG102" s="20"/>
      <c r="AH102" s="20"/>
      <c r="AI102" s="20"/>
      <c r="AJ102" s="20"/>
    </row>
    <row r="103" customFormat="false" ht="12.75" hidden="false" customHeight="true" outlineLevel="0" collapsed="false">
      <c r="A103" s="127"/>
      <c r="B103" s="3"/>
      <c r="C103" s="3"/>
      <c r="D103" s="5"/>
      <c r="E103" s="5"/>
      <c r="F103" s="128"/>
      <c r="G103" s="129"/>
      <c r="H103" s="8"/>
      <c r="I103" s="130"/>
      <c r="J103" s="130"/>
      <c r="K103" s="130"/>
      <c r="L103" s="130"/>
      <c r="M103" s="130"/>
      <c r="N103" s="14"/>
      <c r="O103" s="14"/>
      <c r="P103" s="15"/>
      <c r="Q103" s="14"/>
      <c r="R103" s="15"/>
      <c r="S103" s="14"/>
      <c r="T103" s="8"/>
      <c r="U103" s="16"/>
      <c r="V103" s="17"/>
      <c r="W103" s="18"/>
      <c r="X103" s="18"/>
      <c r="Y103" s="20"/>
      <c r="Z103" s="20"/>
      <c r="AA103" s="20"/>
      <c r="AB103" s="20"/>
      <c r="AC103" s="24"/>
      <c r="AD103" s="20"/>
      <c r="AE103" s="20"/>
      <c r="AF103" s="20"/>
      <c r="AG103" s="20"/>
      <c r="AH103" s="20"/>
      <c r="AI103" s="20"/>
      <c r="AJ103" s="20"/>
    </row>
    <row r="104" customFormat="false" ht="12.75" hidden="false" customHeight="true" outlineLevel="0" collapsed="false">
      <c r="A104" s="127"/>
      <c r="B104" s="3"/>
      <c r="C104" s="3"/>
      <c r="D104" s="5"/>
      <c r="E104" s="5"/>
      <c r="F104" s="128"/>
      <c r="G104" s="129"/>
      <c r="H104" s="8"/>
      <c r="I104" s="130"/>
      <c r="J104" s="130"/>
      <c r="K104" s="130"/>
      <c r="L104" s="130"/>
      <c r="M104" s="130"/>
      <c r="N104" s="14"/>
      <c r="O104" s="14"/>
      <c r="P104" s="15"/>
      <c r="Q104" s="14"/>
      <c r="R104" s="15"/>
      <c r="S104" s="14"/>
      <c r="T104" s="8"/>
      <c r="U104" s="16"/>
      <c r="V104" s="17"/>
      <c r="W104" s="18"/>
      <c r="X104" s="18"/>
      <c r="Y104" s="20"/>
      <c r="Z104" s="20"/>
      <c r="AA104" s="20"/>
      <c r="AB104" s="20"/>
      <c r="AC104" s="24"/>
      <c r="AD104" s="20"/>
      <c r="AE104" s="20"/>
      <c r="AF104" s="20"/>
      <c r="AG104" s="20"/>
      <c r="AH104" s="20"/>
      <c r="AI104" s="20"/>
      <c r="AJ104" s="20"/>
    </row>
    <row r="105" customFormat="false" ht="12.75" hidden="false" customHeight="true" outlineLevel="0" collapsed="false">
      <c r="A105" s="127"/>
      <c r="B105" s="3"/>
      <c r="C105" s="3"/>
      <c r="D105" s="5"/>
      <c r="E105" s="5"/>
      <c r="F105" s="128"/>
      <c r="G105" s="129"/>
      <c r="H105" s="8"/>
      <c r="I105" s="130"/>
      <c r="J105" s="130"/>
      <c r="K105" s="130"/>
      <c r="L105" s="130"/>
      <c r="M105" s="130"/>
      <c r="N105" s="14"/>
      <c r="O105" s="14"/>
      <c r="P105" s="15"/>
      <c r="Q105" s="14"/>
      <c r="R105" s="15"/>
      <c r="S105" s="14"/>
      <c r="T105" s="8"/>
      <c r="U105" s="16"/>
      <c r="V105" s="17"/>
      <c r="W105" s="18"/>
      <c r="X105" s="18"/>
      <c r="Y105" s="20"/>
      <c r="Z105" s="20"/>
      <c r="AA105" s="20"/>
      <c r="AB105" s="20"/>
      <c r="AC105" s="24"/>
      <c r="AD105" s="20"/>
      <c r="AE105" s="20"/>
      <c r="AF105" s="20"/>
      <c r="AG105" s="20"/>
      <c r="AH105" s="20"/>
      <c r="AI105" s="20"/>
      <c r="AJ105" s="20"/>
    </row>
    <row r="106" customFormat="false" ht="12.75" hidden="false" customHeight="true" outlineLevel="0" collapsed="false">
      <c r="A106" s="127"/>
      <c r="B106" s="3"/>
      <c r="C106" s="3"/>
      <c r="D106" s="5"/>
      <c r="E106" s="5"/>
      <c r="F106" s="128"/>
      <c r="G106" s="129"/>
      <c r="H106" s="8"/>
      <c r="I106" s="130"/>
      <c r="J106" s="130"/>
      <c r="K106" s="130"/>
      <c r="L106" s="130"/>
      <c r="M106" s="130"/>
      <c r="N106" s="14"/>
      <c r="O106" s="14"/>
      <c r="P106" s="15"/>
      <c r="Q106" s="14"/>
      <c r="R106" s="15"/>
      <c r="S106" s="14"/>
      <c r="T106" s="8"/>
      <c r="U106" s="16"/>
      <c r="V106" s="17"/>
      <c r="W106" s="18"/>
      <c r="X106" s="18"/>
      <c r="Y106" s="20"/>
      <c r="Z106" s="20"/>
      <c r="AA106" s="20"/>
      <c r="AB106" s="20"/>
      <c r="AC106" s="24"/>
      <c r="AD106" s="20"/>
      <c r="AE106" s="20"/>
      <c r="AF106" s="20"/>
      <c r="AG106" s="20"/>
      <c r="AH106" s="20"/>
      <c r="AI106" s="20"/>
      <c r="AJ106" s="20"/>
    </row>
    <row r="107" customFormat="false" ht="12.75" hidden="false" customHeight="true" outlineLevel="0" collapsed="false">
      <c r="A107" s="127"/>
      <c r="B107" s="3"/>
      <c r="C107" s="3"/>
      <c r="D107" s="5"/>
      <c r="E107" s="5"/>
      <c r="F107" s="128"/>
      <c r="G107" s="129"/>
      <c r="H107" s="8"/>
      <c r="I107" s="130"/>
      <c r="J107" s="130"/>
      <c r="K107" s="130"/>
      <c r="L107" s="130"/>
      <c r="M107" s="130"/>
      <c r="N107" s="14"/>
      <c r="O107" s="14"/>
      <c r="P107" s="15"/>
      <c r="Q107" s="14"/>
      <c r="R107" s="15"/>
      <c r="S107" s="14"/>
      <c r="T107" s="8"/>
      <c r="U107" s="16"/>
      <c r="V107" s="17"/>
      <c r="W107" s="18"/>
      <c r="X107" s="18"/>
      <c r="Y107" s="20"/>
      <c r="Z107" s="20"/>
      <c r="AA107" s="20"/>
      <c r="AB107" s="20"/>
      <c r="AC107" s="24"/>
      <c r="AD107" s="20"/>
      <c r="AE107" s="20"/>
      <c r="AF107" s="20"/>
      <c r="AG107" s="20"/>
      <c r="AH107" s="20"/>
      <c r="AI107" s="20"/>
      <c r="AJ107" s="20"/>
    </row>
    <row r="108" customFormat="false" ht="12.75" hidden="false" customHeight="true" outlineLevel="0" collapsed="false">
      <c r="A108" s="127"/>
      <c r="B108" s="3"/>
      <c r="C108" s="3"/>
      <c r="D108" s="5"/>
      <c r="E108" s="5"/>
      <c r="F108" s="128"/>
      <c r="G108" s="129"/>
      <c r="H108" s="8"/>
      <c r="I108" s="130"/>
      <c r="J108" s="130"/>
      <c r="K108" s="130"/>
      <c r="L108" s="130"/>
      <c r="M108" s="130"/>
      <c r="N108" s="14"/>
      <c r="O108" s="14"/>
      <c r="P108" s="15"/>
      <c r="Q108" s="14"/>
      <c r="R108" s="15"/>
      <c r="S108" s="14"/>
      <c r="T108" s="8"/>
      <c r="U108" s="16"/>
      <c r="V108" s="17"/>
      <c r="W108" s="18"/>
      <c r="X108" s="18"/>
      <c r="Y108" s="20"/>
      <c r="Z108" s="20"/>
      <c r="AA108" s="20"/>
      <c r="AB108" s="20"/>
      <c r="AC108" s="24"/>
      <c r="AD108" s="20"/>
      <c r="AE108" s="20"/>
      <c r="AF108" s="20"/>
      <c r="AG108" s="20"/>
      <c r="AH108" s="20"/>
      <c r="AI108" s="20"/>
      <c r="AJ108" s="20"/>
    </row>
    <row r="109" customFormat="false" ht="12.75" hidden="false" customHeight="true" outlineLevel="0" collapsed="false">
      <c r="A109" s="127"/>
      <c r="B109" s="3"/>
      <c r="C109" s="3"/>
      <c r="D109" s="5"/>
      <c r="E109" s="5"/>
      <c r="F109" s="128"/>
      <c r="G109" s="129"/>
      <c r="H109" s="8"/>
      <c r="I109" s="130"/>
      <c r="J109" s="130"/>
      <c r="K109" s="130"/>
      <c r="L109" s="130"/>
      <c r="M109" s="130"/>
      <c r="N109" s="14"/>
      <c r="O109" s="14"/>
      <c r="P109" s="15"/>
      <c r="Q109" s="14"/>
      <c r="R109" s="15"/>
      <c r="S109" s="14"/>
      <c r="T109" s="8"/>
      <c r="U109" s="16"/>
      <c r="V109" s="17"/>
      <c r="W109" s="18"/>
      <c r="X109" s="18"/>
      <c r="Y109" s="20"/>
      <c r="Z109" s="20"/>
      <c r="AA109" s="20"/>
      <c r="AB109" s="20"/>
      <c r="AC109" s="24"/>
      <c r="AD109" s="20"/>
      <c r="AE109" s="20"/>
      <c r="AF109" s="20"/>
      <c r="AG109" s="20"/>
      <c r="AH109" s="20"/>
      <c r="AI109" s="20"/>
      <c r="AJ109" s="20"/>
    </row>
    <row r="110" customFormat="false" ht="12.75" hidden="false" customHeight="true" outlineLevel="0" collapsed="false">
      <c r="A110" s="127"/>
      <c r="B110" s="3"/>
      <c r="C110" s="3"/>
      <c r="D110" s="5"/>
      <c r="E110" s="5"/>
      <c r="F110" s="128"/>
      <c r="G110" s="129"/>
      <c r="H110" s="8"/>
      <c r="I110" s="130"/>
      <c r="J110" s="130"/>
      <c r="K110" s="130"/>
      <c r="L110" s="130"/>
      <c r="M110" s="130"/>
      <c r="N110" s="14"/>
      <c r="O110" s="14"/>
      <c r="P110" s="15"/>
      <c r="Q110" s="14"/>
      <c r="R110" s="15"/>
      <c r="S110" s="14"/>
      <c r="T110" s="8"/>
      <c r="U110" s="16"/>
      <c r="V110" s="17"/>
      <c r="W110" s="18"/>
      <c r="X110" s="18"/>
      <c r="Y110" s="20"/>
      <c r="Z110" s="20"/>
      <c r="AA110" s="20"/>
      <c r="AB110" s="20"/>
      <c r="AC110" s="24"/>
      <c r="AD110" s="20"/>
      <c r="AE110" s="20"/>
      <c r="AF110" s="20"/>
      <c r="AG110" s="20"/>
      <c r="AH110" s="20"/>
      <c r="AI110" s="20"/>
      <c r="AJ110" s="20"/>
    </row>
    <row r="111" customFormat="false" ht="12.75" hidden="false" customHeight="true" outlineLevel="0" collapsed="false">
      <c r="A111" s="127"/>
      <c r="B111" s="3"/>
      <c r="C111" s="3"/>
      <c r="D111" s="5"/>
      <c r="E111" s="5"/>
      <c r="F111" s="128"/>
      <c r="G111" s="129"/>
      <c r="H111" s="8"/>
      <c r="I111" s="130"/>
      <c r="J111" s="130"/>
      <c r="K111" s="130"/>
      <c r="L111" s="130"/>
      <c r="M111" s="130"/>
      <c r="N111" s="14"/>
      <c r="O111" s="14"/>
      <c r="P111" s="15"/>
      <c r="Q111" s="14"/>
      <c r="R111" s="15"/>
      <c r="S111" s="14"/>
      <c r="T111" s="8"/>
      <c r="U111" s="16"/>
      <c r="V111" s="17"/>
      <c r="W111" s="18"/>
      <c r="X111" s="18"/>
      <c r="Y111" s="20"/>
      <c r="Z111" s="20"/>
      <c r="AA111" s="20"/>
      <c r="AB111" s="20"/>
      <c r="AC111" s="24"/>
      <c r="AD111" s="20"/>
      <c r="AE111" s="20"/>
      <c r="AF111" s="20"/>
      <c r="AG111" s="20"/>
      <c r="AH111" s="20"/>
      <c r="AI111" s="20"/>
      <c r="AJ111" s="20"/>
    </row>
    <row r="112" customFormat="false" ht="12.75" hidden="false" customHeight="true" outlineLevel="0" collapsed="false">
      <c r="A112" s="127"/>
      <c r="B112" s="3"/>
      <c r="C112" s="3"/>
      <c r="D112" s="5"/>
      <c r="E112" s="5"/>
      <c r="F112" s="128"/>
      <c r="G112" s="129"/>
      <c r="H112" s="8"/>
      <c r="I112" s="130"/>
      <c r="J112" s="130"/>
      <c r="K112" s="130"/>
      <c r="L112" s="130"/>
      <c r="M112" s="130"/>
      <c r="N112" s="14"/>
      <c r="O112" s="14"/>
      <c r="P112" s="15"/>
      <c r="Q112" s="14"/>
      <c r="R112" s="15"/>
      <c r="S112" s="14"/>
      <c r="T112" s="8"/>
      <c r="U112" s="16"/>
      <c r="V112" s="17"/>
      <c r="W112" s="18"/>
      <c r="X112" s="18"/>
      <c r="Y112" s="20"/>
      <c r="Z112" s="20"/>
      <c r="AA112" s="20"/>
      <c r="AB112" s="20"/>
      <c r="AC112" s="24"/>
      <c r="AD112" s="20"/>
      <c r="AE112" s="20"/>
      <c r="AF112" s="20"/>
      <c r="AG112" s="20"/>
      <c r="AH112" s="20"/>
      <c r="AI112" s="20"/>
      <c r="AJ112" s="20"/>
    </row>
    <row r="113" customFormat="false" ht="12.75" hidden="false" customHeight="true" outlineLevel="0" collapsed="false">
      <c r="A113" s="127"/>
      <c r="B113" s="3"/>
      <c r="C113" s="3"/>
      <c r="D113" s="5"/>
      <c r="E113" s="5"/>
      <c r="F113" s="128"/>
      <c r="G113" s="129"/>
      <c r="H113" s="8"/>
      <c r="I113" s="130"/>
      <c r="J113" s="130"/>
      <c r="K113" s="130"/>
      <c r="L113" s="130"/>
      <c r="M113" s="130"/>
      <c r="N113" s="14"/>
      <c r="O113" s="14"/>
      <c r="P113" s="15"/>
      <c r="Q113" s="14"/>
      <c r="R113" s="15"/>
      <c r="S113" s="14"/>
      <c r="T113" s="8"/>
      <c r="U113" s="16"/>
      <c r="V113" s="17"/>
      <c r="W113" s="18"/>
      <c r="X113" s="18"/>
      <c r="Y113" s="20"/>
      <c r="Z113" s="20"/>
      <c r="AA113" s="20"/>
      <c r="AB113" s="20"/>
      <c r="AC113" s="24"/>
      <c r="AD113" s="20"/>
      <c r="AE113" s="20"/>
      <c r="AF113" s="20"/>
      <c r="AG113" s="20"/>
      <c r="AH113" s="20"/>
      <c r="AI113" s="20"/>
      <c r="AJ113" s="20"/>
    </row>
    <row r="114" customFormat="false" ht="12.75" hidden="false" customHeight="true" outlineLevel="0" collapsed="false">
      <c r="A114" s="127"/>
      <c r="B114" s="3"/>
      <c r="C114" s="3"/>
      <c r="D114" s="5"/>
      <c r="E114" s="5"/>
      <c r="F114" s="128"/>
      <c r="G114" s="129"/>
      <c r="H114" s="8"/>
      <c r="I114" s="130"/>
      <c r="J114" s="130"/>
      <c r="K114" s="130"/>
      <c r="L114" s="130"/>
      <c r="M114" s="130"/>
      <c r="N114" s="14"/>
      <c r="O114" s="14"/>
      <c r="P114" s="15"/>
      <c r="Q114" s="14"/>
      <c r="R114" s="15"/>
      <c r="S114" s="14"/>
      <c r="T114" s="8"/>
      <c r="U114" s="16"/>
      <c r="V114" s="17"/>
      <c r="W114" s="18"/>
      <c r="X114" s="18"/>
      <c r="Y114" s="20"/>
      <c r="Z114" s="20"/>
      <c r="AA114" s="20"/>
      <c r="AB114" s="20"/>
      <c r="AC114" s="24"/>
      <c r="AD114" s="20"/>
      <c r="AE114" s="20"/>
      <c r="AF114" s="20"/>
      <c r="AG114" s="20"/>
      <c r="AH114" s="20"/>
      <c r="AI114" s="20"/>
      <c r="AJ114" s="20"/>
    </row>
    <row r="115" customFormat="false" ht="12.75" hidden="false" customHeight="true" outlineLevel="0" collapsed="false">
      <c r="A115" s="127"/>
      <c r="B115" s="3"/>
      <c r="C115" s="3"/>
      <c r="D115" s="5"/>
      <c r="E115" s="5"/>
      <c r="F115" s="128"/>
      <c r="G115" s="129"/>
      <c r="H115" s="8"/>
      <c r="I115" s="130"/>
      <c r="J115" s="130"/>
      <c r="K115" s="130"/>
      <c r="L115" s="130"/>
      <c r="M115" s="130"/>
      <c r="N115" s="14"/>
      <c r="O115" s="14"/>
      <c r="P115" s="15"/>
      <c r="Q115" s="14"/>
      <c r="R115" s="15"/>
      <c r="S115" s="14"/>
      <c r="T115" s="8"/>
      <c r="U115" s="16"/>
      <c r="V115" s="17"/>
      <c r="W115" s="18"/>
      <c r="X115" s="18"/>
      <c r="Y115" s="20"/>
      <c r="Z115" s="20"/>
      <c r="AA115" s="20"/>
      <c r="AB115" s="20"/>
      <c r="AC115" s="24"/>
      <c r="AD115" s="20"/>
      <c r="AE115" s="20"/>
      <c r="AF115" s="20"/>
      <c r="AG115" s="20"/>
      <c r="AH115" s="20"/>
      <c r="AI115" s="20"/>
      <c r="AJ115" s="20"/>
    </row>
    <row r="116" customFormat="false" ht="12.75" hidden="false" customHeight="true" outlineLevel="0" collapsed="false">
      <c r="A116" s="127"/>
      <c r="B116" s="3"/>
      <c r="C116" s="3"/>
      <c r="D116" s="5"/>
      <c r="E116" s="5"/>
      <c r="F116" s="128"/>
      <c r="G116" s="129"/>
      <c r="H116" s="8"/>
      <c r="I116" s="130"/>
      <c r="J116" s="130"/>
      <c r="K116" s="130"/>
      <c r="L116" s="130"/>
      <c r="M116" s="130"/>
      <c r="N116" s="14"/>
      <c r="O116" s="14"/>
      <c r="P116" s="15"/>
      <c r="Q116" s="14"/>
      <c r="R116" s="15"/>
      <c r="S116" s="14"/>
      <c r="T116" s="8"/>
      <c r="U116" s="16"/>
      <c r="V116" s="17"/>
      <c r="W116" s="18"/>
      <c r="X116" s="18"/>
      <c r="Y116" s="20"/>
      <c r="Z116" s="20"/>
      <c r="AA116" s="20"/>
      <c r="AB116" s="20"/>
      <c r="AC116" s="24"/>
      <c r="AD116" s="20"/>
      <c r="AE116" s="20"/>
      <c r="AF116" s="20"/>
      <c r="AG116" s="20"/>
      <c r="AH116" s="20"/>
      <c r="AI116" s="20"/>
      <c r="AJ116" s="20"/>
    </row>
    <row r="117" customFormat="false" ht="12.75" hidden="false" customHeight="true" outlineLevel="0" collapsed="false">
      <c r="A117" s="127"/>
      <c r="B117" s="3"/>
      <c r="C117" s="3"/>
      <c r="D117" s="5"/>
      <c r="E117" s="5"/>
      <c r="F117" s="128"/>
      <c r="G117" s="129"/>
      <c r="H117" s="8"/>
      <c r="I117" s="130"/>
      <c r="J117" s="130"/>
      <c r="K117" s="130"/>
      <c r="L117" s="130"/>
      <c r="M117" s="130"/>
      <c r="N117" s="14"/>
      <c r="O117" s="14"/>
      <c r="P117" s="15"/>
      <c r="Q117" s="14"/>
      <c r="R117" s="15"/>
      <c r="S117" s="14"/>
      <c r="T117" s="8"/>
      <c r="U117" s="16"/>
      <c r="V117" s="17"/>
      <c r="W117" s="18"/>
      <c r="X117" s="18"/>
      <c r="Y117" s="20"/>
      <c r="Z117" s="20"/>
      <c r="AA117" s="20"/>
      <c r="AB117" s="20"/>
      <c r="AC117" s="24"/>
      <c r="AD117" s="20"/>
      <c r="AE117" s="20"/>
      <c r="AF117" s="20"/>
      <c r="AG117" s="20"/>
      <c r="AH117" s="20"/>
      <c r="AI117" s="20"/>
      <c r="AJ117" s="20"/>
    </row>
    <row r="118" customFormat="false" ht="12.75" hidden="false" customHeight="true" outlineLevel="0" collapsed="false">
      <c r="A118" s="127"/>
      <c r="B118" s="3"/>
      <c r="C118" s="3"/>
      <c r="D118" s="5"/>
      <c r="E118" s="5"/>
      <c r="F118" s="128"/>
      <c r="G118" s="129"/>
      <c r="H118" s="8"/>
      <c r="I118" s="130"/>
      <c r="J118" s="130"/>
      <c r="K118" s="130"/>
      <c r="L118" s="130"/>
      <c r="M118" s="130"/>
      <c r="N118" s="14"/>
      <c r="O118" s="14"/>
      <c r="P118" s="15"/>
      <c r="Q118" s="14"/>
      <c r="R118" s="15"/>
      <c r="S118" s="14"/>
      <c r="T118" s="8"/>
      <c r="U118" s="16"/>
      <c r="V118" s="17"/>
      <c r="W118" s="18"/>
      <c r="X118" s="18"/>
      <c r="Y118" s="20"/>
      <c r="Z118" s="20"/>
      <c r="AA118" s="20"/>
      <c r="AB118" s="20"/>
      <c r="AC118" s="24"/>
      <c r="AD118" s="20"/>
      <c r="AE118" s="20"/>
      <c r="AF118" s="20"/>
      <c r="AG118" s="20"/>
      <c r="AH118" s="20"/>
      <c r="AI118" s="20"/>
      <c r="AJ118" s="20"/>
    </row>
    <row r="119" customFormat="false" ht="12.75" hidden="false" customHeight="true" outlineLevel="0" collapsed="false">
      <c r="A119" s="127"/>
      <c r="B119" s="3"/>
      <c r="C119" s="3"/>
      <c r="D119" s="5"/>
      <c r="E119" s="5"/>
      <c r="F119" s="128"/>
      <c r="G119" s="129"/>
      <c r="H119" s="8"/>
      <c r="I119" s="130"/>
      <c r="J119" s="130"/>
      <c r="K119" s="130"/>
      <c r="L119" s="130"/>
      <c r="M119" s="130"/>
      <c r="N119" s="14"/>
      <c r="O119" s="14"/>
      <c r="P119" s="15"/>
      <c r="Q119" s="14"/>
      <c r="R119" s="15"/>
      <c r="S119" s="14"/>
      <c r="T119" s="8"/>
      <c r="U119" s="16"/>
      <c r="V119" s="17"/>
      <c r="W119" s="18"/>
      <c r="X119" s="18"/>
      <c r="Y119" s="20"/>
      <c r="Z119" s="20"/>
      <c r="AA119" s="20"/>
      <c r="AB119" s="20"/>
      <c r="AC119" s="24"/>
      <c r="AD119" s="20"/>
      <c r="AE119" s="20"/>
      <c r="AF119" s="20"/>
      <c r="AG119" s="20"/>
      <c r="AH119" s="20"/>
      <c r="AI119" s="20"/>
      <c r="AJ119" s="20"/>
    </row>
    <row r="120" customFormat="false" ht="12.75" hidden="false" customHeight="true" outlineLevel="0" collapsed="false">
      <c r="A120" s="127"/>
      <c r="B120" s="3"/>
      <c r="C120" s="3"/>
      <c r="D120" s="5"/>
      <c r="E120" s="5"/>
      <c r="F120" s="128"/>
      <c r="G120" s="129"/>
      <c r="H120" s="8"/>
      <c r="I120" s="130"/>
      <c r="J120" s="130"/>
      <c r="K120" s="130"/>
      <c r="L120" s="130"/>
      <c r="M120" s="130"/>
      <c r="N120" s="14"/>
      <c r="O120" s="14"/>
      <c r="P120" s="15"/>
      <c r="Q120" s="14"/>
      <c r="R120" s="15"/>
      <c r="S120" s="14"/>
      <c r="T120" s="8"/>
      <c r="U120" s="16"/>
      <c r="V120" s="17"/>
      <c r="W120" s="18"/>
      <c r="X120" s="18"/>
      <c r="Y120" s="20"/>
      <c r="Z120" s="20"/>
      <c r="AA120" s="20"/>
      <c r="AB120" s="20"/>
      <c r="AC120" s="24"/>
      <c r="AD120" s="20"/>
      <c r="AE120" s="20"/>
      <c r="AF120" s="20"/>
      <c r="AG120" s="20"/>
      <c r="AH120" s="20"/>
      <c r="AI120" s="20"/>
      <c r="AJ120" s="20"/>
    </row>
    <row r="121" customFormat="false" ht="12.75" hidden="false" customHeight="true" outlineLevel="0" collapsed="false">
      <c r="A121" s="127"/>
      <c r="B121" s="3"/>
      <c r="C121" s="3"/>
      <c r="D121" s="5"/>
      <c r="E121" s="5"/>
      <c r="F121" s="128"/>
      <c r="G121" s="129"/>
      <c r="H121" s="8"/>
      <c r="I121" s="130"/>
      <c r="J121" s="130"/>
      <c r="K121" s="130"/>
      <c r="L121" s="130"/>
      <c r="M121" s="130"/>
      <c r="N121" s="14"/>
      <c r="O121" s="14"/>
      <c r="P121" s="15"/>
      <c r="Q121" s="14"/>
      <c r="R121" s="15"/>
      <c r="S121" s="14"/>
      <c r="T121" s="8"/>
      <c r="U121" s="16"/>
      <c r="V121" s="17"/>
      <c r="W121" s="18"/>
      <c r="X121" s="18"/>
      <c r="Y121" s="20"/>
      <c r="Z121" s="20"/>
      <c r="AA121" s="20"/>
      <c r="AB121" s="20"/>
      <c r="AC121" s="24"/>
      <c r="AD121" s="20"/>
      <c r="AE121" s="20"/>
      <c r="AF121" s="20"/>
      <c r="AG121" s="20"/>
      <c r="AH121" s="20"/>
      <c r="AI121" s="20"/>
      <c r="AJ121" s="20"/>
    </row>
    <row r="122" customFormat="false" ht="12.75" hidden="false" customHeight="true" outlineLevel="0" collapsed="false">
      <c r="A122" s="127"/>
      <c r="B122" s="3"/>
      <c r="C122" s="3"/>
      <c r="D122" s="5"/>
      <c r="E122" s="5"/>
      <c r="F122" s="128"/>
      <c r="G122" s="129"/>
      <c r="H122" s="8"/>
      <c r="I122" s="130"/>
      <c r="J122" s="130"/>
      <c r="K122" s="130"/>
      <c r="L122" s="130"/>
      <c r="M122" s="130"/>
      <c r="N122" s="14"/>
      <c r="O122" s="14"/>
      <c r="P122" s="15"/>
      <c r="Q122" s="14"/>
      <c r="R122" s="15"/>
      <c r="S122" s="14"/>
      <c r="T122" s="8"/>
      <c r="U122" s="16"/>
      <c r="V122" s="17"/>
      <c r="W122" s="18"/>
      <c r="X122" s="18"/>
      <c r="Y122" s="20"/>
      <c r="Z122" s="20"/>
      <c r="AA122" s="20"/>
      <c r="AB122" s="20"/>
      <c r="AC122" s="24"/>
      <c r="AD122" s="20"/>
      <c r="AE122" s="20"/>
      <c r="AF122" s="20"/>
      <c r="AG122" s="20"/>
      <c r="AH122" s="20"/>
      <c r="AI122" s="20"/>
      <c r="AJ122" s="20"/>
    </row>
    <row r="123" customFormat="false" ht="12.75" hidden="false" customHeight="true" outlineLevel="0" collapsed="false">
      <c r="A123" s="127"/>
      <c r="B123" s="3"/>
      <c r="C123" s="3"/>
      <c r="D123" s="5"/>
      <c r="E123" s="5"/>
      <c r="F123" s="128"/>
      <c r="G123" s="129"/>
      <c r="H123" s="8"/>
      <c r="I123" s="130"/>
      <c r="J123" s="130"/>
      <c r="K123" s="130"/>
      <c r="L123" s="130"/>
      <c r="M123" s="130"/>
      <c r="N123" s="14"/>
      <c r="O123" s="14"/>
      <c r="P123" s="15"/>
      <c r="Q123" s="14"/>
      <c r="R123" s="15"/>
      <c r="S123" s="14"/>
      <c r="T123" s="8"/>
      <c r="U123" s="16"/>
      <c r="V123" s="17"/>
      <c r="W123" s="18"/>
      <c r="X123" s="18"/>
      <c r="Y123" s="20"/>
      <c r="Z123" s="20"/>
      <c r="AA123" s="20"/>
      <c r="AB123" s="20"/>
      <c r="AC123" s="24"/>
      <c r="AD123" s="20"/>
      <c r="AE123" s="20"/>
      <c r="AF123" s="20"/>
      <c r="AG123" s="20"/>
      <c r="AH123" s="20"/>
      <c r="AI123" s="20"/>
      <c r="AJ123" s="20"/>
    </row>
    <row r="124" customFormat="false" ht="12.75" hidden="false" customHeight="true" outlineLevel="0" collapsed="false">
      <c r="A124" s="127"/>
      <c r="B124" s="3"/>
      <c r="C124" s="3"/>
      <c r="D124" s="5"/>
      <c r="E124" s="5"/>
      <c r="F124" s="128"/>
      <c r="G124" s="129"/>
      <c r="H124" s="8"/>
      <c r="I124" s="130"/>
      <c r="J124" s="130"/>
      <c r="K124" s="130"/>
      <c r="L124" s="130"/>
      <c r="M124" s="130"/>
      <c r="N124" s="14"/>
      <c r="O124" s="14"/>
      <c r="P124" s="15"/>
      <c r="Q124" s="14"/>
      <c r="R124" s="15"/>
      <c r="S124" s="14"/>
      <c r="T124" s="8"/>
      <c r="U124" s="16"/>
      <c r="V124" s="17"/>
      <c r="W124" s="18"/>
      <c r="X124" s="18"/>
      <c r="Y124" s="20"/>
      <c r="Z124" s="20"/>
      <c r="AA124" s="20"/>
      <c r="AB124" s="20"/>
      <c r="AC124" s="24"/>
      <c r="AD124" s="20"/>
      <c r="AE124" s="20"/>
      <c r="AF124" s="20"/>
      <c r="AG124" s="20"/>
      <c r="AH124" s="20"/>
      <c r="AI124" s="20"/>
      <c r="AJ124" s="20"/>
    </row>
    <row r="125" customFormat="false" ht="12.75" hidden="false" customHeight="true" outlineLevel="0" collapsed="false">
      <c r="A125" s="127"/>
      <c r="B125" s="3"/>
      <c r="C125" s="3"/>
      <c r="D125" s="5"/>
      <c r="E125" s="5"/>
      <c r="F125" s="128"/>
      <c r="G125" s="129"/>
      <c r="H125" s="8"/>
      <c r="I125" s="130"/>
      <c r="J125" s="130"/>
      <c r="K125" s="130"/>
      <c r="L125" s="130"/>
      <c r="M125" s="130"/>
      <c r="N125" s="14"/>
      <c r="O125" s="14"/>
      <c r="P125" s="15"/>
      <c r="Q125" s="14"/>
      <c r="R125" s="15"/>
      <c r="S125" s="14"/>
      <c r="T125" s="8"/>
      <c r="U125" s="16"/>
      <c r="V125" s="17"/>
      <c r="W125" s="18"/>
      <c r="X125" s="18"/>
      <c r="Y125" s="20"/>
      <c r="Z125" s="20"/>
      <c r="AA125" s="20"/>
      <c r="AB125" s="20"/>
      <c r="AC125" s="24"/>
      <c r="AD125" s="20"/>
      <c r="AE125" s="20"/>
      <c r="AF125" s="20"/>
      <c r="AG125" s="20"/>
      <c r="AH125" s="20"/>
      <c r="AI125" s="20"/>
      <c r="AJ125" s="20"/>
    </row>
    <row r="126" customFormat="false" ht="12.75" hidden="false" customHeight="true" outlineLevel="0" collapsed="false">
      <c r="A126" s="127"/>
      <c r="B126" s="3"/>
      <c r="C126" s="3"/>
      <c r="D126" s="5"/>
      <c r="E126" s="5"/>
      <c r="F126" s="128"/>
      <c r="G126" s="129"/>
      <c r="H126" s="8"/>
      <c r="I126" s="130"/>
      <c r="J126" s="130"/>
      <c r="K126" s="130"/>
      <c r="L126" s="130"/>
      <c r="M126" s="130"/>
      <c r="N126" s="14"/>
      <c r="O126" s="14"/>
      <c r="P126" s="15"/>
      <c r="Q126" s="14"/>
      <c r="R126" s="15"/>
      <c r="S126" s="14"/>
      <c r="T126" s="8"/>
      <c r="U126" s="16"/>
      <c r="V126" s="17"/>
      <c r="W126" s="18"/>
      <c r="X126" s="18"/>
      <c r="Y126" s="20"/>
      <c r="Z126" s="20"/>
      <c r="AA126" s="20"/>
      <c r="AB126" s="20"/>
      <c r="AC126" s="24"/>
      <c r="AD126" s="20"/>
      <c r="AE126" s="20"/>
      <c r="AF126" s="20"/>
      <c r="AG126" s="20"/>
      <c r="AH126" s="20"/>
      <c r="AI126" s="20"/>
      <c r="AJ126" s="20"/>
    </row>
    <row r="127" customFormat="false" ht="12.75" hidden="false" customHeight="true" outlineLevel="0" collapsed="false">
      <c r="A127" s="127"/>
      <c r="B127" s="3"/>
      <c r="C127" s="3"/>
      <c r="D127" s="5"/>
      <c r="E127" s="5"/>
      <c r="F127" s="128"/>
      <c r="G127" s="129"/>
      <c r="H127" s="8"/>
      <c r="I127" s="130"/>
      <c r="J127" s="130"/>
      <c r="K127" s="130"/>
      <c r="L127" s="130"/>
      <c r="M127" s="130"/>
      <c r="N127" s="14"/>
      <c r="O127" s="14"/>
      <c r="P127" s="15"/>
      <c r="Q127" s="14"/>
      <c r="R127" s="15"/>
      <c r="S127" s="14"/>
      <c r="T127" s="8"/>
      <c r="U127" s="16"/>
      <c r="V127" s="17"/>
      <c r="W127" s="18"/>
      <c r="X127" s="18"/>
      <c r="Y127" s="20"/>
      <c r="Z127" s="20"/>
      <c r="AA127" s="20"/>
      <c r="AB127" s="20"/>
      <c r="AC127" s="24"/>
      <c r="AD127" s="20"/>
      <c r="AE127" s="20"/>
      <c r="AF127" s="20"/>
      <c r="AG127" s="20"/>
      <c r="AH127" s="20"/>
      <c r="AI127" s="20"/>
      <c r="AJ127" s="20"/>
    </row>
    <row r="128" customFormat="false" ht="12.75" hidden="false" customHeight="true" outlineLevel="0" collapsed="false">
      <c r="A128" s="127"/>
      <c r="B128" s="3"/>
      <c r="C128" s="3"/>
      <c r="D128" s="5"/>
      <c r="E128" s="5"/>
      <c r="F128" s="128"/>
      <c r="G128" s="129"/>
      <c r="H128" s="8"/>
      <c r="I128" s="130"/>
      <c r="J128" s="130"/>
      <c r="K128" s="130"/>
      <c r="L128" s="130"/>
      <c r="M128" s="130"/>
      <c r="N128" s="14"/>
      <c r="O128" s="14"/>
      <c r="P128" s="15"/>
      <c r="Q128" s="14"/>
      <c r="R128" s="15"/>
      <c r="S128" s="14"/>
      <c r="T128" s="8"/>
      <c r="U128" s="16"/>
      <c r="V128" s="17"/>
      <c r="W128" s="18"/>
      <c r="X128" s="18"/>
      <c r="Y128" s="20"/>
      <c r="Z128" s="20"/>
      <c r="AA128" s="20"/>
      <c r="AB128" s="20"/>
      <c r="AC128" s="24"/>
      <c r="AD128" s="20"/>
      <c r="AE128" s="20"/>
      <c r="AF128" s="20"/>
      <c r="AG128" s="20"/>
      <c r="AH128" s="20"/>
      <c r="AI128" s="20"/>
      <c r="AJ128" s="20"/>
    </row>
    <row r="129" customFormat="false" ht="12.75" hidden="false" customHeight="true" outlineLevel="0" collapsed="false">
      <c r="A129" s="127"/>
      <c r="B129" s="3"/>
      <c r="C129" s="3"/>
      <c r="D129" s="5"/>
      <c r="E129" s="5"/>
      <c r="F129" s="128"/>
      <c r="G129" s="129"/>
      <c r="H129" s="8"/>
      <c r="I129" s="130"/>
      <c r="J129" s="130"/>
      <c r="K129" s="130"/>
      <c r="L129" s="130"/>
      <c r="M129" s="130"/>
      <c r="N129" s="14"/>
      <c r="O129" s="14"/>
      <c r="P129" s="15"/>
      <c r="Q129" s="14"/>
      <c r="R129" s="15"/>
      <c r="S129" s="14"/>
      <c r="T129" s="8"/>
      <c r="U129" s="16"/>
      <c r="V129" s="17"/>
      <c r="W129" s="18"/>
      <c r="X129" s="18"/>
      <c r="Y129" s="20"/>
      <c r="Z129" s="20"/>
      <c r="AA129" s="20"/>
      <c r="AB129" s="20"/>
      <c r="AC129" s="24"/>
      <c r="AD129" s="20"/>
      <c r="AE129" s="20"/>
      <c r="AF129" s="20"/>
      <c r="AG129" s="20"/>
      <c r="AH129" s="20"/>
      <c r="AI129" s="20"/>
      <c r="AJ129" s="20"/>
    </row>
    <row r="130" customFormat="false" ht="12.75" hidden="false" customHeight="true" outlineLevel="0" collapsed="false">
      <c r="A130" s="127"/>
      <c r="B130" s="3"/>
      <c r="C130" s="3"/>
      <c r="D130" s="5"/>
      <c r="E130" s="5"/>
      <c r="F130" s="128"/>
      <c r="G130" s="129"/>
      <c r="H130" s="8"/>
      <c r="I130" s="130"/>
      <c r="J130" s="130"/>
      <c r="K130" s="130"/>
      <c r="L130" s="130"/>
      <c r="M130" s="130"/>
      <c r="N130" s="14"/>
      <c r="O130" s="14"/>
      <c r="P130" s="15"/>
      <c r="Q130" s="14"/>
      <c r="R130" s="15"/>
      <c r="S130" s="14"/>
      <c r="T130" s="8"/>
      <c r="U130" s="16"/>
      <c r="V130" s="17"/>
      <c r="W130" s="18"/>
      <c r="X130" s="18"/>
      <c r="Y130" s="20"/>
      <c r="Z130" s="20"/>
      <c r="AA130" s="20"/>
      <c r="AB130" s="20"/>
      <c r="AC130" s="24"/>
      <c r="AD130" s="20"/>
      <c r="AE130" s="20"/>
      <c r="AF130" s="20"/>
      <c r="AG130" s="20"/>
      <c r="AH130" s="20"/>
      <c r="AI130" s="20"/>
      <c r="AJ130" s="20"/>
    </row>
    <row r="131" customFormat="false" ht="12.75" hidden="false" customHeight="true" outlineLevel="0" collapsed="false">
      <c r="A131" s="127"/>
      <c r="B131" s="3"/>
      <c r="C131" s="3"/>
      <c r="D131" s="5"/>
      <c r="E131" s="5"/>
      <c r="F131" s="128"/>
      <c r="G131" s="129"/>
      <c r="H131" s="8"/>
      <c r="I131" s="130"/>
      <c r="J131" s="130"/>
      <c r="K131" s="130"/>
      <c r="L131" s="130"/>
      <c r="M131" s="130"/>
      <c r="N131" s="14"/>
      <c r="O131" s="14"/>
      <c r="P131" s="15"/>
      <c r="Q131" s="14"/>
      <c r="R131" s="15"/>
      <c r="S131" s="14"/>
      <c r="T131" s="8"/>
      <c r="U131" s="16"/>
      <c r="V131" s="17"/>
      <c r="W131" s="18"/>
      <c r="X131" s="18"/>
      <c r="Y131" s="20"/>
      <c r="Z131" s="20"/>
      <c r="AA131" s="20"/>
      <c r="AB131" s="20"/>
      <c r="AC131" s="24"/>
      <c r="AD131" s="20"/>
      <c r="AE131" s="20"/>
      <c r="AF131" s="20"/>
      <c r="AG131" s="20"/>
      <c r="AH131" s="20"/>
      <c r="AI131" s="20"/>
      <c r="AJ131" s="20"/>
    </row>
    <row r="132" customFormat="false" ht="12.75" hidden="false" customHeight="true" outlineLevel="0" collapsed="false">
      <c r="A132" s="127"/>
      <c r="B132" s="3"/>
      <c r="C132" s="3"/>
      <c r="D132" s="5"/>
      <c r="E132" s="5"/>
      <c r="F132" s="128"/>
      <c r="G132" s="129"/>
      <c r="H132" s="8"/>
      <c r="I132" s="130"/>
      <c r="J132" s="130"/>
      <c r="K132" s="130"/>
      <c r="L132" s="130"/>
      <c r="M132" s="130"/>
      <c r="N132" s="14"/>
      <c r="O132" s="14"/>
      <c r="P132" s="15"/>
      <c r="Q132" s="14"/>
      <c r="R132" s="15"/>
      <c r="S132" s="14"/>
      <c r="T132" s="8"/>
      <c r="U132" s="16"/>
      <c r="V132" s="17"/>
      <c r="W132" s="18"/>
      <c r="X132" s="18"/>
      <c r="Y132" s="20"/>
      <c r="Z132" s="20"/>
      <c r="AA132" s="20"/>
      <c r="AB132" s="20"/>
      <c r="AC132" s="24"/>
      <c r="AD132" s="20"/>
      <c r="AE132" s="20"/>
      <c r="AF132" s="20"/>
      <c r="AG132" s="20"/>
      <c r="AH132" s="20"/>
      <c r="AI132" s="20"/>
      <c r="AJ132" s="20"/>
    </row>
    <row r="133" customFormat="false" ht="12.75" hidden="false" customHeight="true" outlineLevel="0" collapsed="false">
      <c r="A133" s="127"/>
      <c r="B133" s="3"/>
      <c r="C133" s="3"/>
      <c r="D133" s="5"/>
      <c r="E133" s="5"/>
      <c r="F133" s="128"/>
      <c r="G133" s="129"/>
      <c r="H133" s="8"/>
      <c r="I133" s="130"/>
      <c r="J133" s="130"/>
      <c r="K133" s="130"/>
      <c r="L133" s="130"/>
      <c r="M133" s="130"/>
      <c r="N133" s="14"/>
      <c r="O133" s="14"/>
      <c r="P133" s="15"/>
      <c r="Q133" s="14"/>
      <c r="R133" s="15"/>
      <c r="S133" s="14"/>
      <c r="T133" s="8"/>
      <c r="U133" s="16"/>
      <c r="V133" s="17"/>
      <c r="W133" s="18"/>
      <c r="X133" s="18"/>
      <c r="Y133" s="20"/>
      <c r="Z133" s="20"/>
      <c r="AA133" s="20"/>
      <c r="AB133" s="20"/>
      <c r="AC133" s="24"/>
      <c r="AD133" s="20"/>
      <c r="AE133" s="20"/>
      <c r="AF133" s="20"/>
      <c r="AG133" s="20"/>
      <c r="AH133" s="20"/>
      <c r="AI133" s="20"/>
      <c r="AJ133" s="20"/>
    </row>
    <row r="134" customFormat="false" ht="12.75" hidden="false" customHeight="true" outlineLevel="0" collapsed="false">
      <c r="A134" s="127"/>
      <c r="B134" s="3"/>
      <c r="C134" s="3"/>
      <c r="D134" s="5"/>
      <c r="E134" s="5"/>
      <c r="F134" s="128"/>
      <c r="G134" s="129"/>
      <c r="H134" s="8"/>
      <c r="I134" s="130"/>
      <c r="J134" s="130"/>
      <c r="K134" s="130"/>
      <c r="L134" s="130"/>
      <c r="M134" s="130"/>
      <c r="N134" s="14"/>
      <c r="O134" s="14"/>
      <c r="P134" s="15"/>
      <c r="Q134" s="14"/>
      <c r="R134" s="15"/>
      <c r="S134" s="14"/>
      <c r="T134" s="8"/>
      <c r="U134" s="16"/>
      <c r="V134" s="17"/>
      <c r="W134" s="18"/>
      <c r="X134" s="18"/>
      <c r="Y134" s="20"/>
      <c r="Z134" s="20"/>
      <c r="AA134" s="20"/>
      <c r="AB134" s="20"/>
      <c r="AC134" s="24"/>
      <c r="AD134" s="20"/>
      <c r="AE134" s="20"/>
      <c r="AF134" s="20"/>
      <c r="AG134" s="20"/>
      <c r="AH134" s="20"/>
      <c r="AI134" s="20"/>
      <c r="AJ134" s="20"/>
    </row>
    <row r="135" customFormat="false" ht="12.75" hidden="false" customHeight="true" outlineLevel="0" collapsed="false">
      <c r="A135" s="127"/>
      <c r="B135" s="3"/>
      <c r="C135" s="3"/>
      <c r="D135" s="5"/>
      <c r="E135" s="5"/>
      <c r="F135" s="128"/>
      <c r="G135" s="129"/>
      <c r="H135" s="8"/>
      <c r="I135" s="130"/>
      <c r="J135" s="130"/>
      <c r="K135" s="130"/>
      <c r="L135" s="130"/>
      <c r="M135" s="130"/>
      <c r="N135" s="14"/>
      <c r="O135" s="14"/>
      <c r="P135" s="15"/>
      <c r="Q135" s="14"/>
      <c r="R135" s="15"/>
      <c r="S135" s="14"/>
      <c r="T135" s="8"/>
      <c r="U135" s="16"/>
      <c r="V135" s="17"/>
      <c r="W135" s="18"/>
      <c r="X135" s="18"/>
      <c r="Y135" s="20"/>
      <c r="Z135" s="20"/>
      <c r="AA135" s="20"/>
      <c r="AB135" s="20"/>
      <c r="AC135" s="24"/>
      <c r="AD135" s="20"/>
      <c r="AE135" s="20"/>
      <c r="AF135" s="20"/>
      <c r="AG135" s="20"/>
      <c r="AH135" s="20"/>
      <c r="AI135" s="20"/>
      <c r="AJ135" s="20"/>
    </row>
    <row r="136" customFormat="false" ht="12.75" hidden="false" customHeight="true" outlineLevel="0" collapsed="false">
      <c r="A136" s="127"/>
      <c r="B136" s="3"/>
      <c r="C136" s="3"/>
      <c r="D136" s="5"/>
      <c r="E136" s="5"/>
      <c r="F136" s="128"/>
      <c r="G136" s="129"/>
      <c r="H136" s="8"/>
      <c r="I136" s="130"/>
      <c r="J136" s="130"/>
      <c r="K136" s="130"/>
      <c r="L136" s="130"/>
      <c r="M136" s="130"/>
      <c r="N136" s="14"/>
      <c r="O136" s="14"/>
      <c r="P136" s="15"/>
      <c r="Q136" s="14"/>
      <c r="R136" s="15"/>
      <c r="S136" s="14"/>
      <c r="T136" s="8"/>
      <c r="U136" s="16"/>
      <c r="V136" s="17"/>
      <c r="W136" s="18"/>
      <c r="X136" s="18"/>
      <c r="Y136" s="20"/>
      <c r="Z136" s="20"/>
      <c r="AA136" s="20"/>
      <c r="AB136" s="20"/>
      <c r="AC136" s="24"/>
      <c r="AD136" s="20"/>
      <c r="AE136" s="20"/>
      <c r="AF136" s="20"/>
      <c r="AG136" s="20"/>
      <c r="AH136" s="20"/>
      <c r="AI136" s="20"/>
      <c r="AJ136" s="20"/>
    </row>
    <row r="137" customFormat="false" ht="12.75" hidden="false" customHeight="true" outlineLevel="0" collapsed="false">
      <c r="A137" s="127"/>
      <c r="B137" s="3"/>
      <c r="C137" s="3"/>
      <c r="D137" s="5"/>
      <c r="E137" s="5"/>
      <c r="F137" s="128"/>
      <c r="G137" s="129"/>
      <c r="H137" s="8"/>
      <c r="I137" s="130"/>
      <c r="J137" s="130"/>
      <c r="K137" s="130"/>
      <c r="L137" s="130"/>
      <c r="M137" s="130"/>
      <c r="N137" s="14"/>
      <c r="O137" s="14"/>
      <c r="P137" s="15"/>
      <c r="Q137" s="14"/>
      <c r="R137" s="15"/>
      <c r="S137" s="14"/>
      <c r="T137" s="8"/>
      <c r="U137" s="16"/>
      <c r="V137" s="17"/>
      <c r="W137" s="18"/>
      <c r="X137" s="18"/>
      <c r="Y137" s="20"/>
      <c r="Z137" s="20"/>
      <c r="AA137" s="20"/>
      <c r="AB137" s="20"/>
      <c r="AC137" s="24"/>
      <c r="AD137" s="20"/>
      <c r="AE137" s="20"/>
      <c r="AF137" s="20"/>
      <c r="AG137" s="20"/>
      <c r="AH137" s="20"/>
      <c r="AI137" s="20"/>
      <c r="AJ137" s="20"/>
    </row>
    <row r="138" customFormat="false" ht="12.75" hidden="false" customHeight="true" outlineLevel="0" collapsed="false">
      <c r="A138" s="127"/>
      <c r="B138" s="3"/>
      <c r="C138" s="3"/>
      <c r="D138" s="5"/>
      <c r="E138" s="5"/>
      <c r="F138" s="128"/>
      <c r="G138" s="129"/>
      <c r="H138" s="8"/>
      <c r="I138" s="130"/>
      <c r="J138" s="130"/>
      <c r="K138" s="130"/>
      <c r="L138" s="130"/>
      <c r="M138" s="130"/>
      <c r="N138" s="14"/>
      <c r="O138" s="14"/>
      <c r="P138" s="15"/>
      <c r="Q138" s="14"/>
      <c r="R138" s="15"/>
      <c r="S138" s="14"/>
      <c r="T138" s="8"/>
      <c r="U138" s="16"/>
      <c r="V138" s="17"/>
      <c r="W138" s="18"/>
      <c r="X138" s="18"/>
      <c r="Y138" s="20"/>
      <c r="Z138" s="20"/>
      <c r="AA138" s="20"/>
      <c r="AB138" s="20"/>
      <c r="AC138" s="24"/>
      <c r="AD138" s="20"/>
      <c r="AE138" s="20"/>
      <c r="AF138" s="20"/>
      <c r="AG138" s="20"/>
      <c r="AH138" s="20"/>
      <c r="AI138" s="20"/>
      <c r="AJ138" s="20"/>
    </row>
    <row r="139" customFormat="false" ht="12.75" hidden="false" customHeight="true" outlineLevel="0" collapsed="false">
      <c r="A139" s="127"/>
      <c r="B139" s="3"/>
      <c r="C139" s="3"/>
      <c r="D139" s="5"/>
      <c r="E139" s="5"/>
      <c r="F139" s="128"/>
      <c r="G139" s="129"/>
      <c r="H139" s="8"/>
      <c r="I139" s="130"/>
      <c r="J139" s="130"/>
      <c r="K139" s="130"/>
      <c r="L139" s="130"/>
      <c r="M139" s="130"/>
      <c r="N139" s="14"/>
      <c r="O139" s="14"/>
      <c r="P139" s="15"/>
      <c r="Q139" s="14"/>
      <c r="R139" s="15"/>
      <c r="S139" s="14"/>
      <c r="T139" s="8"/>
      <c r="U139" s="16"/>
      <c r="V139" s="17"/>
      <c r="W139" s="18"/>
      <c r="X139" s="18"/>
      <c r="Y139" s="20"/>
      <c r="Z139" s="20"/>
      <c r="AA139" s="20"/>
      <c r="AB139" s="20"/>
      <c r="AC139" s="24"/>
      <c r="AD139" s="20"/>
      <c r="AE139" s="20"/>
      <c r="AF139" s="20"/>
      <c r="AG139" s="20"/>
      <c r="AH139" s="20"/>
      <c r="AI139" s="20"/>
      <c r="AJ139" s="20"/>
    </row>
    <row r="140" customFormat="false" ht="12.75" hidden="false" customHeight="true" outlineLevel="0" collapsed="false">
      <c r="A140" s="127"/>
      <c r="B140" s="3"/>
      <c r="C140" s="3"/>
      <c r="D140" s="5"/>
      <c r="E140" s="5"/>
      <c r="F140" s="128"/>
      <c r="G140" s="129"/>
      <c r="H140" s="8"/>
      <c r="I140" s="130"/>
      <c r="J140" s="130"/>
      <c r="K140" s="130"/>
      <c r="L140" s="130"/>
      <c r="M140" s="130"/>
      <c r="N140" s="14"/>
      <c r="O140" s="14"/>
      <c r="P140" s="15"/>
      <c r="Q140" s="14"/>
      <c r="R140" s="15"/>
      <c r="S140" s="14"/>
      <c r="T140" s="8"/>
      <c r="U140" s="16"/>
      <c r="V140" s="17"/>
      <c r="W140" s="18"/>
      <c r="X140" s="18"/>
      <c r="Y140" s="20"/>
      <c r="Z140" s="20"/>
      <c r="AA140" s="20"/>
      <c r="AB140" s="20"/>
      <c r="AC140" s="24"/>
      <c r="AD140" s="20"/>
      <c r="AE140" s="20"/>
      <c r="AF140" s="20"/>
      <c r="AG140" s="20"/>
      <c r="AH140" s="20"/>
      <c r="AI140" s="20"/>
      <c r="AJ140" s="20"/>
    </row>
    <row r="141" customFormat="false" ht="12.75" hidden="false" customHeight="true" outlineLevel="0" collapsed="false">
      <c r="A141" s="127"/>
      <c r="B141" s="3"/>
      <c r="C141" s="3"/>
      <c r="D141" s="5"/>
      <c r="E141" s="5"/>
      <c r="F141" s="128"/>
      <c r="G141" s="129"/>
      <c r="H141" s="8"/>
      <c r="I141" s="130"/>
      <c r="J141" s="130"/>
      <c r="K141" s="130"/>
      <c r="L141" s="130"/>
      <c r="M141" s="130"/>
      <c r="N141" s="14"/>
      <c r="O141" s="14"/>
      <c r="P141" s="15"/>
      <c r="Q141" s="14"/>
      <c r="R141" s="15"/>
      <c r="S141" s="14"/>
      <c r="T141" s="8"/>
      <c r="U141" s="16"/>
      <c r="V141" s="17"/>
      <c r="W141" s="18"/>
      <c r="X141" s="18"/>
      <c r="Y141" s="20"/>
      <c r="Z141" s="20"/>
      <c r="AA141" s="20"/>
      <c r="AB141" s="20"/>
      <c r="AC141" s="24"/>
      <c r="AD141" s="20"/>
      <c r="AE141" s="20"/>
      <c r="AF141" s="20"/>
      <c r="AG141" s="20"/>
      <c r="AH141" s="20"/>
      <c r="AI141" s="20"/>
      <c r="AJ141" s="20"/>
    </row>
    <row r="142" customFormat="false" ht="12.75" hidden="false" customHeight="true" outlineLevel="0" collapsed="false">
      <c r="A142" s="127"/>
      <c r="B142" s="3"/>
      <c r="C142" s="3"/>
      <c r="D142" s="5"/>
      <c r="E142" s="5"/>
      <c r="F142" s="128"/>
      <c r="G142" s="129"/>
      <c r="H142" s="8"/>
      <c r="I142" s="130"/>
      <c r="J142" s="130"/>
      <c r="K142" s="130"/>
      <c r="L142" s="130"/>
      <c r="M142" s="130"/>
      <c r="N142" s="14"/>
      <c r="O142" s="14"/>
      <c r="P142" s="15"/>
      <c r="Q142" s="14"/>
      <c r="R142" s="15"/>
      <c r="S142" s="14"/>
      <c r="T142" s="8"/>
      <c r="U142" s="16"/>
      <c r="V142" s="17"/>
      <c r="W142" s="18"/>
      <c r="X142" s="18"/>
      <c r="Y142" s="20"/>
      <c r="Z142" s="20"/>
      <c r="AA142" s="20"/>
      <c r="AB142" s="20"/>
      <c r="AC142" s="24"/>
      <c r="AD142" s="20"/>
      <c r="AE142" s="20"/>
      <c r="AF142" s="20"/>
      <c r="AG142" s="20"/>
      <c r="AH142" s="20"/>
      <c r="AI142" s="20"/>
      <c r="AJ142" s="20"/>
    </row>
    <row r="143" customFormat="false" ht="12.75" hidden="false" customHeight="true" outlineLevel="0" collapsed="false">
      <c r="A143" s="127"/>
      <c r="B143" s="3"/>
      <c r="C143" s="3"/>
      <c r="D143" s="5"/>
      <c r="E143" s="5"/>
      <c r="F143" s="128"/>
      <c r="G143" s="129"/>
      <c r="H143" s="8"/>
      <c r="I143" s="130"/>
      <c r="J143" s="130"/>
      <c r="K143" s="130"/>
      <c r="L143" s="130"/>
      <c r="M143" s="130"/>
      <c r="N143" s="14"/>
      <c r="O143" s="14"/>
      <c r="P143" s="15"/>
      <c r="Q143" s="14"/>
      <c r="R143" s="15"/>
      <c r="S143" s="14"/>
      <c r="T143" s="8"/>
      <c r="U143" s="16"/>
      <c r="V143" s="17"/>
      <c r="W143" s="18"/>
      <c r="X143" s="18"/>
      <c r="Y143" s="20"/>
      <c r="Z143" s="20"/>
      <c r="AA143" s="20"/>
      <c r="AB143" s="20"/>
      <c r="AC143" s="24"/>
      <c r="AD143" s="20"/>
      <c r="AE143" s="20"/>
      <c r="AF143" s="20"/>
      <c r="AG143" s="20"/>
      <c r="AH143" s="20"/>
      <c r="AI143" s="20"/>
      <c r="AJ143" s="20"/>
    </row>
    <row r="144" customFormat="false" ht="12.75" hidden="false" customHeight="true" outlineLevel="0" collapsed="false">
      <c r="A144" s="127"/>
      <c r="B144" s="3"/>
      <c r="C144" s="3"/>
      <c r="D144" s="5"/>
      <c r="E144" s="5"/>
      <c r="F144" s="128"/>
      <c r="G144" s="129"/>
      <c r="H144" s="8"/>
      <c r="I144" s="130"/>
      <c r="J144" s="130"/>
      <c r="K144" s="130"/>
      <c r="L144" s="130"/>
      <c r="M144" s="130"/>
      <c r="N144" s="14"/>
      <c r="O144" s="14"/>
      <c r="P144" s="15"/>
      <c r="Q144" s="14"/>
      <c r="R144" s="15"/>
      <c r="S144" s="14"/>
      <c r="T144" s="8"/>
      <c r="U144" s="16"/>
      <c r="V144" s="17"/>
      <c r="W144" s="18"/>
      <c r="X144" s="18"/>
      <c r="Y144" s="20"/>
      <c r="Z144" s="20"/>
      <c r="AA144" s="20"/>
      <c r="AB144" s="20"/>
      <c r="AC144" s="24"/>
      <c r="AD144" s="20"/>
      <c r="AE144" s="20"/>
      <c r="AF144" s="20"/>
      <c r="AG144" s="20"/>
      <c r="AH144" s="20"/>
      <c r="AI144" s="20"/>
      <c r="AJ144" s="20"/>
    </row>
    <row r="145" customFormat="false" ht="12.75" hidden="false" customHeight="true" outlineLevel="0" collapsed="false">
      <c r="A145" s="127"/>
      <c r="B145" s="3"/>
      <c r="C145" s="3"/>
      <c r="D145" s="5"/>
      <c r="E145" s="5"/>
      <c r="F145" s="128"/>
      <c r="G145" s="129"/>
      <c r="H145" s="8"/>
      <c r="I145" s="130"/>
      <c r="J145" s="130"/>
      <c r="K145" s="130"/>
      <c r="L145" s="130"/>
      <c r="M145" s="130"/>
      <c r="N145" s="14"/>
      <c r="O145" s="14"/>
      <c r="P145" s="15"/>
      <c r="Q145" s="14"/>
      <c r="R145" s="15"/>
      <c r="S145" s="14"/>
      <c r="T145" s="8"/>
      <c r="U145" s="16"/>
      <c r="V145" s="17"/>
      <c r="W145" s="18"/>
      <c r="X145" s="18"/>
      <c r="Y145" s="20"/>
      <c r="Z145" s="20"/>
      <c r="AA145" s="20"/>
      <c r="AB145" s="20"/>
      <c r="AC145" s="24"/>
      <c r="AD145" s="20"/>
      <c r="AE145" s="20"/>
      <c r="AF145" s="20"/>
      <c r="AG145" s="20"/>
      <c r="AH145" s="20"/>
      <c r="AI145" s="20"/>
      <c r="AJ145" s="20"/>
    </row>
    <row r="146" customFormat="false" ht="12.75" hidden="false" customHeight="true" outlineLevel="0" collapsed="false">
      <c r="A146" s="127"/>
      <c r="B146" s="3"/>
      <c r="C146" s="3"/>
      <c r="D146" s="5"/>
      <c r="E146" s="5"/>
      <c r="F146" s="128"/>
      <c r="G146" s="129"/>
      <c r="H146" s="8"/>
      <c r="I146" s="130"/>
      <c r="J146" s="130"/>
      <c r="K146" s="130"/>
      <c r="L146" s="130"/>
      <c r="M146" s="130"/>
      <c r="N146" s="14"/>
      <c r="O146" s="14"/>
      <c r="P146" s="15"/>
      <c r="Q146" s="14"/>
      <c r="R146" s="15"/>
      <c r="S146" s="14"/>
      <c r="T146" s="8"/>
      <c r="U146" s="16"/>
      <c r="V146" s="17"/>
      <c r="W146" s="18"/>
      <c r="X146" s="18"/>
      <c r="Y146" s="20"/>
      <c r="Z146" s="20"/>
      <c r="AA146" s="20"/>
      <c r="AB146" s="20"/>
      <c r="AC146" s="24"/>
      <c r="AD146" s="20"/>
      <c r="AE146" s="20"/>
      <c r="AF146" s="20"/>
      <c r="AG146" s="20"/>
      <c r="AH146" s="20"/>
      <c r="AI146" s="20"/>
      <c r="AJ146" s="20"/>
    </row>
    <row r="147" customFormat="false" ht="12.75" hidden="false" customHeight="true" outlineLevel="0" collapsed="false">
      <c r="A147" s="127"/>
      <c r="B147" s="3"/>
      <c r="C147" s="3"/>
      <c r="D147" s="5"/>
      <c r="E147" s="5"/>
      <c r="F147" s="128"/>
      <c r="G147" s="129"/>
      <c r="H147" s="8"/>
      <c r="I147" s="130"/>
      <c r="J147" s="130"/>
      <c r="K147" s="130"/>
      <c r="L147" s="130"/>
      <c r="M147" s="130"/>
      <c r="N147" s="14"/>
      <c r="O147" s="14"/>
      <c r="P147" s="15"/>
      <c r="Q147" s="14"/>
      <c r="R147" s="15"/>
      <c r="S147" s="14"/>
      <c r="T147" s="8"/>
      <c r="U147" s="16"/>
      <c r="V147" s="17"/>
      <c r="W147" s="18"/>
      <c r="X147" s="18"/>
      <c r="Y147" s="20"/>
      <c r="Z147" s="20"/>
      <c r="AA147" s="20"/>
      <c r="AB147" s="20"/>
      <c r="AC147" s="24"/>
      <c r="AD147" s="20"/>
      <c r="AE147" s="20"/>
      <c r="AF147" s="20"/>
      <c r="AG147" s="20"/>
      <c r="AH147" s="20"/>
      <c r="AI147" s="20"/>
      <c r="AJ147" s="20"/>
    </row>
    <row r="148" customFormat="false" ht="12.75" hidden="false" customHeight="true" outlineLevel="0" collapsed="false">
      <c r="A148" s="127"/>
      <c r="B148" s="3"/>
      <c r="C148" s="3"/>
      <c r="D148" s="5"/>
      <c r="E148" s="5"/>
      <c r="F148" s="128"/>
      <c r="G148" s="129"/>
      <c r="H148" s="8"/>
      <c r="I148" s="130"/>
      <c r="J148" s="130"/>
      <c r="K148" s="130"/>
      <c r="L148" s="130"/>
      <c r="M148" s="130"/>
      <c r="N148" s="14"/>
      <c r="O148" s="14"/>
      <c r="P148" s="15"/>
      <c r="Q148" s="14"/>
      <c r="R148" s="15"/>
      <c r="S148" s="14"/>
      <c r="T148" s="8"/>
      <c r="U148" s="16"/>
      <c r="V148" s="17"/>
      <c r="W148" s="18"/>
      <c r="X148" s="18"/>
      <c r="Y148" s="20"/>
      <c r="Z148" s="20"/>
      <c r="AA148" s="20"/>
      <c r="AB148" s="20"/>
      <c r="AC148" s="24"/>
      <c r="AD148" s="20"/>
      <c r="AE148" s="20"/>
      <c r="AF148" s="20"/>
      <c r="AG148" s="20"/>
      <c r="AH148" s="20"/>
      <c r="AI148" s="20"/>
      <c r="AJ148" s="20"/>
    </row>
    <row r="149" customFormat="false" ht="12.75" hidden="false" customHeight="true" outlineLevel="0" collapsed="false">
      <c r="A149" s="127"/>
      <c r="B149" s="3"/>
      <c r="C149" s="3"/>
      <c r="D149" s="5"/>
      <c r="E149" s="5"/>
      <c r="F149" s="128"/>
      <c r="G149" s="129"/>
      <c r="H149" s="8"/>
      <c r="I149" s="130"/>
      <c r="J149" s="130"/>
      <c r="K149" s="130"/>
      <c r="L149" s="130"/>
      <c r="M149" s="130"/>
      <c r="N149" s="14"/>
      <c r="O149" s="14"/>
      <c r="P149" s="15"/>
      <c r="Q149" s="14"/>
      <c r="R149" s="15"/>
      <c r="S149" s="14"/>
      <c r="T149" s="8"/>
      <c r="U149" s="16"/>
      <c r="V149" s="17"/>
      <c r="W149" s="18"/>
      <c r="X149" s="18"/>
      <c r="Y149" s="20"/>
      <c r="Z149" s="20"/>
      <c r="AA149" s="20"/>
      <c r="AB149" s="20"/>
      <c r="AC149" s="24"/>
      <c r="AD149" s="20"/>
      <c r="AE149" s="20"/>
      <c r="AF149" s="20"/>
      <c r="AG149" s="20"/>
      <c r="AH149" s="20"/>
      <c r="AI149" s="20"/>
      <c r="AJ149" s="20"/>
    </row>
    <row r="150" customFormat="false" ht="12.75" hidden="false" customHeight="true" outlineLevel="0" collapsed="false">
      <c r="A150" s="127"/>
      <c r="B150" s="3"/>
      <c r="C150" s="3"/>
      <c r="D150" s="5"/>
      <c r="E150" s="5"/>
      <c r="F150" s="128"/>
      <c r="G150" s="129"/>
      <c r="H150" s="8"/>
      <c r="I150" s="130"/>
      <c r="J150" s="130"/>
      <c r="K150" s="130"/>
      <c r="L150" s="130"/>
      <c r="M150" s="130"/>
      <c r="N150" s="14"/>
      <c r="O150" s="14"/>
      <c r="P150" s="15"/>
      <c r="Q150" s="14"/>
      <c r="R150" s="15"/>
      <c r="S150" s="14"/>
      <c r="T150" s="8"/>
      <c r="U150" s="16"/>
      <c r="V150" s="17"/>
      <c r="W150" s="18"/>
      <c r="X150" s="18"/>
      <c r="Y150" s="20"/>
      <c r="Z150" s="20"/>
      <c r="AA150" s="20"/>
      <c r="AB150" s="20"/>
      <c r="AC150" s="24"/>
      <c r="AD150" s="20"/>
      <c r="AE150" s="20"/>
      <c r="AF150" s="20"/>
      <c r="AG150" s="20"/>
      <c r="AH150" s="20"/>
      <c r="AI150" s="20"/>
      <c r="AJ150" s="20"/>
    </row>
    <row r="151" customFormat="false" ht="12.75" hidden="false" customHeight="true" outlineLevel="0" collapsed="false">
      <c r="A151" s="127"/>
      <c r="B151" s="3"/>
      <c r="C151" s="3"/>
      <c r="D151" s="5"/>
      <c r="E151" s="5"/>
      <c r="F151" s="128"/>
      <c r="G151" s="129"/>
      <c r="H151" s="8"/>
      <c r="I151" s="130"/>
      <c r="J151" s="130"/>
      <c r="K151" s="130"/>
      <c r="L151" s="130"/>
      <c r="M151" s="130"/>
      <c r="N151" s="14"/>
      <c r="O151" s="14"/>
      <c r="P151" s="15"/>
      <c r="Q151" s="14"/>
      <c r="R151" s="15"/>
      <c r="S151" s="14"/>
      <c r="T151" s="8"/>
      <c r="U151" s="16"/>
      <c r="V151" s="17"/>
      <c r="W151" s="18"/>
      <c r="X151" s="18"/>
      <c r="Y151" s="20"/>
      <c r="Z151" s="20"/>
      <c r="AA151" s="20"/>
      <c r="AB151" s="20"/>
      <c r="AC151" s="24"/>
      <c r="AD151" s="20"/>
      <c r="AE151" s="20"/>
      <c r="AF151" s="20"/>
      <c r="AG151" s="20"/>
      <c r="AH151" s="20"/>
      <c r="AI151" s="20"/>
      <c r="AJ151" s="20"/>
    </row>
    <row r="152" customFormat="false" ht="12.75" hidden="false" customHeight="true" outlineLevel="0" collapsed="false">
      <c r="A152" s="127"/>
      <c r="B152" s="3"/>
      <c r="C152" s="3"/>
      <c r="D152" s="5"/>
      <c r="E152" s="5"/>
      <c r="F152" s="128"/>
      <c r="G152" s="129"/>
      <c r="H152" s="8"/>
      <c r="I152" s="130"/>
      <c r="J152" s="130"/>
      <c r="K152" s="130"/>
      <c r="L152" s="130"/>
      <c r="M152" s="130"/>
      <c r="N152" s="14"/>
      <c r="O152" s="14"/>
      <c r="P152" s="15"/>
      <c r="Q152" s="14"/>
      <c r="R152" s="15"/>
      <c r="S152" s="14"/>
      <c r="T152" s="8"/>
      <c r="U152" s="16"/>
      <c r="V152" s="17"/>
      <c r="W152" s="18"/>
      <c r="X152" s="18"/>
      <c r="Y152" s="20"/>
      <c r="Z152" s="20"/>
      <c r="AA152" s="20"/>
      <c r="AB152" s="20"/>
      <c r="AC152" s="24"/>
      <c r="AD152" s="20"/>
      <c r="AE152" s="20"/>
      <c r="AF152" s="20"/>
      <c r="AG152" s="20"/>
      <c r="AH152" s="20"/>
      <c r="AI152" s="20"/>
      <c r="AJ152" s="20"/>
    </row>
    <row r="153" customFormat="false" ht="12.75" hidden="false" customHeight="true" outlineLevel="0" collapsed="false">
      <c r="A153" s="127"/>
      <c r="B153" s="3"/>
      <c r="C153" s="3"/>
      <c r="D153" s="5"/>
      <c r="E153" s="5"/>
      <c r="F153" s="128"/>
      <c r="G153" s="129"/>
      <c r="H153" s="8"/>
      <c r="I153" s="130"/>
      <c r="J153" s="130"/>
      <c r="K153" s="130"/>
      <c r="L153" s="130"/>
      <c r="M153" s="130"/>
      <c r="N153" s="14"/>
      <c r="O153" s="14"/>
      <c r="P153" s="15"/>
      <c r="Q153" s="14"/>
      <c r="R153" s="15"/>
      <c r="S153" s="14"/>
      <c r="T153" s="8"/>
      <c r="U153" s="16"/>
      <c r="V153" s="17"/>
      <c r="W153" s="18"/>
      <c r="X153" s="18"/>
      <c r="Y153" s="20"/>
      <c r="Z153" s="20"/>
      <c r="AA153" s="20"/>
      <c r="AB153" s="20"/>
      <c r="AC153" s="24"/>
      <c r="AD153" s="20"/>
      <c r="AE153" s="20"/>
      <c r="AF153" s="20"/>
      <c r="AG153" s="20"/>
      <c r="AH153" s="20"/>
      <c r="AI153" s="20"/>
      <c r="AJ153" s="20"/>
    </row>
    <row r="154" customFormat="false" ht="12.75" hidden="false" customHeight="true" outlineLevel="0" collapsed="false">
      <c r="A154" s="127"/>
      <c r="B154" s="3"/>
      <c r="C154" s="3"/>
      <c r="D154" s="5"/>
      <c r="E154" s="5"/>
      <c r="F154" s="128"/>
      <c r="G154" s="129"/>
      <c r="H154" s="8"/>
      <c r="I154" s="130"/>
      <c r="J154" s="130"/>
      <c r="K154" s="130"/>
      <c r="L154" s="130"/>
      <c r="M154" s="130"/>
      <c r="N154" s="14"/>
      <c r="O154" s="14"/>
      <c r="P154" s="15"/>
      <c r="Q154" s="14"/>
      <c r="R154" s="15"/>
      <c r="S154" s="14"/>
      <c r="T154" s="8"/>
      <c r="U154" s="16"/>
      <c r="V154" s="17"/>
      <c r="W154" s="18"/>
      <c r="X154" s="18"/>
      <c r="Y154" s="20"/>
      <c r="Z154" s="20"/>
      <c r="AA154" s="20"/>
      <c r="AB154" s="20"/>
      <c r="AC154" s="24"/>
      <c r="AD154" s="20"/>
      <c r="AE154" s="20"/>
      <c r="AF154" s="20"/>
      <c r="AG154" s="20"/>
      <c r="AH154" s="20"/>
      <c r="AI154" s="20"/>
      <c r="AJ154" s="20"/>
    </row>
    <row r="155" customFormat="false" ht="12.75" hidden="false" customHeight="true" outlineLevel="0" collapsed="false">
      <c r="A155" s="127"/>
      <c r="B155" s="3"/>
      <c r="C155" s="3"/>
      <c r="D155" s="5"/>
      <c r="E155" s="5"/>
      <c r="F155" s="128"/>
      <c r="G155" s="129"/>
      <c r="H155" s="8"/>
      <c r="I155" s="130"/>
      <c r="J155" s="130"/>
      <c r="K155" s="130"/>
      <c r="L155" s="130"/>
      <c r="M155" s="130"/>
      <c r="N155" s="14"/>
      <c r="O155" s="14"/>
      <c r="P155" s="15"/>
      <c r="Q155" s="14"/>
      <c r="R155" s="15"/>
      <c r="S155" s="14"/>
      <c r="T155" s="8"/>
      <c r="U155" s="16"/>
      <c r="V155" s="17"/>
      <c r="W155" s="18"/>
      <c r="X155" s="18"/>
      <c r="Y155" s="20"/>
      <c r="Z155" s="20"/>
      <c r="AA155" s="20"/>
      <c r="AB155" s="20"/>
      <c r="AC155" s="24"/>
      <c r="AD155" s="20"/>
      <c r="AE155" s="20"/>
      <c r="AF155" s="20"/>
      <c r="AG155" s="20"/>
      <c r="AH155" s="20"/>
      <c r="AI155" s="20"/>
      <c r="AJ155" s="20"/>
    </row>
    <row r="156" customFormat="false" ht="12.75" hidden="false" customHeight="true" outlineLevel="0" collapsed="false">
      <c r="A156" s="127"/>
      <c r="B156" s="3"/>
      <c r="C156" s="3"/>
      <c r="D156" s="5"/>
      <c r="E156" s="5"/>
      <c r="F156" s="128"/>
      <c r="G156" s="129"/>
      <c r="H156" s="8"/>
      <c r="I156" s="130"/>
      <c r="J156" s="130"/>
      <c r="K156" s="130"/>
      <c r="L156" s="130"/>
      <c r="M156" s="130"/>
      <c r="N156" s="14"/>
      <c r="O156" s="14"/>
      <c r="P156" s="15"/>
      <c r="Q156" s="14"/>
      <c r="R156" s="15"/>
      <c r="S156" s="14"/>
      <c r="T156" s="8"/>
      <c r="U156" s="16"/>
      <c r="V156" s="17"/>
      <c r="W156" s="18"/>
      <c r="X156" s="18"/>
      <c r="Y156" s="20"/>
      <c r="Z156" s="20"/>
      <c r="AA156" s="20"/>
      <c r="AB156" s="20"/>
      <c r="AC156" s="24"/>
      <c r="AD156" s="20"/>
      <c r="AE156" s="20"/>
      <c r="AF156" s="20"/>
      <c r="AG156" s="20"/>
      <c r="AH156" s="20"/>
      <c r="AI156" s="20"/>
      <c r="AJ156" s="20"/>
    </row>
    <row r="157" customFormat="false" ht="12.75" hidden="false" customHeight="true" outlineLevel="0" collapsed="false">
      <c r="A157" s="127"/>
      <c r="B157" s="3"/>
      <c r="C157" s="3"/>
      <c r="D157" s="5"/>
      <c r="E157" s="5"/>
      <c r="F157" s="128"/>
      <c r="G157" s="129"/>
      <c r="H157" s="8"/>
      <c r="I157" s="130"/>
      <c r="J157" s="130"/>
      <c r="K157" s="130"/>
      <c r="L157" s="130"/>
      <c r="M157" s="130"/>
      <c r="N157" s="14"/>
      <c r="O157" s="14"/>
      <c r="P157" s="15"/>
      <c r="Q157" s="14"/>
      <c r="R157" s="15"/>
      <c r="S157" s="14"/>
      <c r="T157" s="8"/>
      <c r="U157" s="16"/>
      <c r="V157" s="17"/>
      <c r="W157" s="18"/>
      <c r="X157" s="18"/>
      <c r="Y157" s="20"/>
      <c r="Z157" s="20"/>
      <c r="AA157" s="20"/>
      <c r="AB157" s="20"/>
      <c r="AC157" s="24"/>
      <c r="AD157" s="20"/>
      <c r="AE157" s="20"/>
      <c r="AF157" s="20"/>
      <c r="AG157" s="20"/>
      <c r="AH157" s="20"/>
      <c r="AI157" s="20"/>
      <c r="AJ157" s="20"/>
    </row>
    <row r="158" customFormat="false" ht="12.75" hidden="false" customHeight="true" outlineLevel="0" collapsed="false">
      <c r="A158" s="127"/>
      <c r="B158" s="3"/>
      <c r="C158" s="3"/>
      <c r="D158" s="5"/>
      <c r="E158" s="5"/>
      <c r="F158" s="128"/>
      <c r="G158" s="129"/>
      <c r="H158" s="8"/>
      <c r="I158" s="130"/>
      <c r="J158" s="130"/>
      <c r="K158" s="130"/>
      <c r="L158" s="130"/>
      <c r="M158" s="130"/>
      <c r="N158" s="14"/>
      <c r="O158" s="14"/>
      <c r="P158" s="15"/>
      <c r="Q158" s="14"/>
      <c r="R158" s="15"/>
      <c r="S158" s="14"/>
      <c r="T158" s="8"/>
      <c r="U158" s="16"/>
      <c r="V158" s="17"/>
      <c r="W158" s="18"/>
      <c r="X158" s="18"/>
      <c r="Y158" s="20"/>
      <c r="Z158" s="20"/>
      <c r="AA158" s="20"/>
      <c r="AB158" s="20"/>
      <c r="AC158" s="24"/>
      <c r="AD158" s="20"/>
      <c r="AE158" s="20"/>
      <c r="AF158" s="20"/>
      <c r="AG158" s="20"/>
      <c r="AH158" s="20"/>
      <c r="AI158" s="20"/>
      <c r="AJ158" s="20"/>
    </row>
    <row r="159" customFormat="false" ht="12.75" hidden="false" customHeight="true" outlineLevel="0" collapsed="false">
      <c r="A159" s="127"/>
      <c r="B159" s="3"/>
      <c r="C159" s="3"/>
      <c r="D159" s="5"/>
      <c r="E159" s="5"/>
      <c r="F159" s="128"/>
      <c r="G159" s="129"/>
      <c r="H159" s="8"/>
      <c r="I159" s="130"/>
      <c r="J159" s="130"/>
      <c r="K159" s="130"/>
      <c r="L159" s="130"/>
      <c r="M159" s="130"/>
      <c r="N159" s="14"/>
      <c r="O159" s="14"/>
      <c r="P159" s="15"/>
      <c r="Q159" s="14"/>
      <c r="R159" s="15"/>
      <c r="S159" s="14"/>
      <c r="T159" s="8"/>
      <c r="U159" s="16"/>
      <c r="V159" s="17"/>
      <c r="W159" s="18"/>
      <c r="X159" s="18"/>
      <c r="Y159" s="20"/>
      <c r="Z159" s="20"/>
      <c r="AA159" s="20"/>
      <c r="AB159" s="20"/>
      <c r="AC159" s="24"/>
      <c r="AD159" s="20"/>
      <c r="AE159" s="20"/>
      <c r="AF159" s="20"/>
      <c r="AG159" s="20"/>
      <c r="AH159" s="20"/>
      <c r="AI159" s="20"/>
      <c r="AJ159" s="20"/>
    </row>
    <row r="160" customFormat="false" ht="12.75" hidden="false" customHeight="true" outlineLevel="0" collapsed="false">
      <c r="A160" s="127"/>
      <c r="B160" s="3"/>
      <c r="C160" s="3"/>
      <c r="D160" s="5"/>
      <c r="E160" s="5"/>
      <c r="F160" s="128"/>
      <c r="G160" s="129"/>
      <c r="H160" s="8"/>
      <c r="I160" s="130"/>
      <c r="J160" s="130"/>
      <c r="K160" s="130"/>
      <c r="L160" s="130"/>
      <c r="M160" s="130"/>
      <c r="N160" s="14"/>
      <c r="O160" s="14"/>
      <c r="P160" s="15"/>
      <c r="Q160" s="14"/>
      <c r="R160" s="15"/>
      <c r="S160" s="14"/>
      <c r="T160" s="8"/>
      <c r="U160" s="16"/>
      <c r="V160" s="17"/>
      <c r="W160" s="18"/>
      <c r="X160" s="18"/>
      <c r="Y160" s="20"/>
      <c r="Z160" s="20"/>
      <c r="AA160" s="20"/>
      <c r="AB160" s="20"/>
      <c r="AC160" s="24"/>
      <c r="AD160" s="20"/>
      <c r="AE160" s="20"/>
      <c r="AF160" s="20"/>
      <c r="AG160" s="20"/>
      <c r="AH160" s="20"/>
      <c r="AI160" s="20"/>
      <c r="AJ160" s="20"/>
    </row>
    <row r="161" customFormat="false" ht="12.75" hidden="false" customHeight="true" outlineLevel="0" collapsed="false">
      <c r="A161" s="127"/>
      <c r="B161" s="3"/>
      <c r="C161" s="3"/>
      <c r="D161" s="5"/>
      <c r="E161" s="5"/>
      <c r="F161" s="128"/>
      <c r="G161" s="129"/>
      <c r="H161" s="8"/>
      <c r="I161" s="130"/>
      <c r="J161" s="130"/>
      <c r="K161" s="130"/>
      <c r="L161" s="130"/>
      <c r="M161" s="130"/>
      <c r="N161" s="14"/>
      <c r="O161" s="14"/>
      <c r="P161" s="15"/>
      <c r="Q161" s="14"/>
      <c r="R161" s="15"/>
      <c r="S161" s="14"/>
      <c r="T161" s="8"/>
      <c r="U161" s="16"/>
      <c r="V161" s="17"/>
      <c r="W161" s="18"/>
      <c r="X161" s="18"/>
      <c r="Y161" s="20"/>
      <c r="Z161" s="20"/>
      <c r="AA161" s="20"/>
      <c r="AB161" s="20"/>
      <c r="AC161" s="24"/>
      <c r="AD161" s="20"/>
      <c r="AE161" s="20"/>
      <c r="AF161" s="20"/>
      <c r="AG161" s="20"/>
      <c r="AH161" s="20"/>
      <c r="AI161" s="20"/>
      <c r="AJ161" s="20"/>
    </row>
    <row r="162" customFormat="false" ht="12.75" hidden="false" customHeight="true" outlineLevel="0" collapsed="false">
      <c r="A162" s="127"/>
      <c r="B162" s="3"/>
      <c r="C162" s="3"/>
      <c r="D162" s="5"/>
      <c r="E162" s="5"/>
      <c r="F162" s="128"/>
      <c r="G162" s="129"/>
      <c r="H162" s="8"/>
      <c r="I162" s="130"/>
      <c r="J162" s="130"/>
      <c r="K162" s="130"/>
      <c r="L162" s="130"/>
      <c r="M162" s="130"/>
      <c r="N162" s="14"/>
      <c r="O162" s="14"/>
      <c r="P162" s="15"/>
      <c r="Q162" s="14"/>
      <c r="R162" s="15"/>
      <c r="S162" s="14"/>
      <c r="T162" s="8"/>
      <c r="U162" s="16"/>
      <c r="V162" s="17"/>
      <c r="W162" s="18"/>
      <c r="X162" s="18"/>
      <c r="Y162" s="20"/>
      <c r="Z162" s="20"/>
      <c r="AA162" s="20"/>
      <c r="AB162" s="20"/>
      <c r="AC162" s="24"/>
      <c r="AD162" s="20"/>
      <c r="AE162" s="20"/>
      <c r="AF162" s="20"/>
      <c r="AG162" s="20"/>
      <c r="AH162" s="20"/>
      <c r="AI162" s="20"/>
      <c r="AJ162" s="20"/>
    </row>
    <row r="163" customFormat="false" ht="12.75" hidden="false" customHeight="true" outlineLevel="0" collapsed="false">
      <c r="A163" s="127"/>
      <c r="B163" s="3"/>
      <c r="C163" s="3"/>
      <c r="D163" s="5"/>
      <c r="E163" s="5"/>
      <c r="F163" s="128"/>
      <c r="G163" s="129"/>
      <c r="H163" s="8"/>
      <c r="I163" s="130"/>
      <c r="J163" s="130"/>
      <c r="K163" s="130"/>
      <c r="L163" s="130"/>
      <c r="M163" s="130"/>
      <c r="N163" s="14"/>
      <c r="O163" s="14"/>
      <c r="P163" s="15"/>
      <c r="Q163" s="14"/>
      <c r="R163" s="15"/>
      <c r="S163" s="14"/>
      <c r="T163" s="8"/>
      <c r="U163" s="16"/>
      <c r="V163" s="17"/>
      <c r="W163" s="18"/>
      <c r="X163" s="18"/>
      <c r="Y163" s="20"/>
      <c r="Z163" s="20"/>
      <c r="AA163" s="20"/>
      <c r="AB163" s="20"/>
      <c r="AC163" s="24"/>
      <c r="AD163" s="20"/>
      <c r="AE163" s="20"/>
      <c r="AF163" s="20"/>
      <c r="AG163" s="20"/>
      <c r="AH163" s="20"/>
      <c r="AI163" s="20"/>
      <c r="AJ163" s="20"/>
    </row>
    <row r="164" customFormat="false" ht="12.75" hidden="false" customHeight="true" outlineLevel="0" collapsed="false">
      <c r="A164" s="127"/>
      <c r="B164" s="3"/>
      <c r="C164" s="3"/>
      <c r="D164" s="5"/>
      <c r="E164" s="5"/>
      <c r="F164" s="128"/>
      <c r="G164" s="129"/>
      <c r="H164" s="8"/>
      <c r="I164" s="130"/>
      <c r="J164" s="130"/>
      <c r="K164" s="130"/>
      <c r="L164" s="130"/>
      <c r="M164" s="130"/>
      <c r="N164" s="14"/>
      <c r="O164" s="14"/>
      <c r="P164" s="15"/>
      <c r="Q164" s="14"/>
      <c r="R164" s="15"/>
      <c r="S164" s="14"/>
      <c r="T164" s="8"/>
      <c r="U164" s="16"/>
      <c r="V164" s="17"/>
      <c r="W164" s="18"/>
      <c r="X164" s="18"/>
      <c r="Y164" s="20"/>
      <c r="Z164" s="20"/>
      <c r="AA164" s="20"/>
      <c r="AB164" s="20"/>
      <c r="AC164" s="24"/>
      <c r="AD164" s="20"/>
      <c r="AE164" s="20"/>
      <c r="AF164" s="20"/>
      <c r="AG164" s="20"/>
      <c r="AH164" s="20"/>
      <c r="AI164" s="20"/>
      <c r="AJ164" s="20"/>
    </row>
    <row r="165" customFormat="false" ht="12.75" hidden="false" customHeight="true" outlineLevel="0" collapsed="false">
      <c r="A165" s="127"/>
      <c r="B165" s="3"/>
      <c r="C165" s="3"/>
      <c r="D165" s="5"/>
      <c r="E165" s="5"/>
      <c r="F165" s="128"/>
      <c r="G165" s="129"/>
      <c r="H165" s="8"/>
      <c r="I165" s="130"/>
      <c r="J165" s="130"/>
      <c r="K165" s="130"/>
      <c r="L165" s="130"/>
      <c r="M165" s="130"/>
      <c r="N165" s="14"/>
      <c r="O165" s="14"/>
      <c r="P165" s="15"/>
      <c r="Q165" s="14"/>
      <c r="R165" s="15"/>
      <c r="S165" s="14"/>
      <c r="T165" s="8"/>
      <c r="U165" s="16"/>
      <c r="V165" s="17"/>
      <c r="W165" s="18"/>
      <c r="X165" s="18"/>
      <c r="Y165" s="20"/>
      <c r="Z165" s="20"/>
      <c r="AA165" s="20"/>
      <c r="AB165" s="20"/>
      <c r="AC165" s="24"/>
      <c r="AD165" s="20"/>
      <c r="AE165" s="20"/>
      <c r="AF165" s="20"/>
      <c r="AG165" s="20"/>
      <c r="AH165" s="20"/>
      <c r="AI165" s="20"/>
      <c r="AJ165" s="20"/>
    </row>
    <row r="166" customFormat="false" ht="12.75" hidden="false" customHeight="true" outlineLevel="0" collapsed="false">
      <c r="A166" s="127"/>
      <c r="B166" s="3"/>
      <c r="C166" s="3"/>
      <c r="D166" s="5"/>
      <c r="E166" s="5"/>
      <c r="F166" s="128"/>
      <c r="G166" s="129"/>
      <c r="H166" s="8"/>
      <c r="I166" s="130"/>
      <c r="J166" s="130"/>
      <c r="K166" s="130"/>
      <c r="L166" s="130"/>
      <c r="M166" s="130"/>
      <c r="N166" s="14"/>
      <c r="O166" s="14"/>
      <c r="P166" s="15"/>
      <c r="Q166" s="14"/>
      <c r="R166" s="15"/>
      <c r="S166" s="14"/>
      <c r="T166" s="8"/>
      <c r="U166" s="16"/>
      <c r="V166" s="17"/>
      <c r="W166" s="18"/>
      <c r="X166" s="18"/>
      <c r="Y166" s="20"/>
      <c r="Z166" s="20"/>
      <c r="AA166" s="20"/>
      <c r="AB166" s="20"/>
      <c r="AC166" s="24"/>
      <c r="AD166" s="20"/>
      <c r="AE166" s="20"/>
      <c r="AF166" s="20"/>
      <c r="AG166" s="20"/>
      <c r="AH166" s="20"/>
      <c r="AI166" s="20"/>
      <c r="AJ166" s="20"/>
    </row>
    <row r="167" customFormat="false" ht="12.75" hidden="false" customHeight="true" outlineLevel="0" collapsed="false">
      <c r="A167" s="127"/>
      <c r="B167" s="3"/>
      <c r="C167" s="3"/>
      <c r="D167" s="5"/>
      <c r="E167" s="5"/>
      <c r="F167" s="128"/>
      <c r="G167" s="129"/>
      <c r="H167" s="8"/>
      <c r="I167" s="130"/>
      <c r="J167" s="130"/>
      <c r="K167" s="130"/>
      <c r="L167" s="130"/>
      <c r="M167" s="130"/>
      <c r="N167" s="14"/>
      <c r="O167" s="14"/>
      <c r="P167" s="15"/>
      <c r="Q167" s="14"/>
      <c r="R167" s="15"/>
      <c r="S167" s="14"/>
      <c r="T167" s="8"/>
      <c r="U167" s="16"/>
      <c r="V167" s="17"/>
      <c r="W167" s="18"/>
      <c r="X167" s="18"/>
      <c r="Y167" s="20"/>
      <c r="Z167" s="20"/>
      <c r="AA167" s="20"/>
      <c r="AB167" s="20"/>
      <c r="AC167" s="24"/>
      <c r="AD167" s="20"/>
      <c r="AE167" s="20"/>
      <c r="AF167" s="20"/>
      <c r="AG167" s="20"/>
      <c r="AH167" s="20"/>
      <c r="AI167" s="20"/>
      <c r="AJ167" s="20"/>
    </row>
    <row r="168" customFormat="false" ht="12.75" hidden="false" customHeight="true" outlineLevel="0" collapsed="false">
      <c r="A168" s="127"/>
      <c r="B168" s="3"/>
      <c r="C168" s="3"/>
      <c r="D168" s="5"/>
      <c r="E168" s="5"/>
      <c r="F168" s="128"/>
      <c r="G168" s="129"/>
      <c r="H168" s="8"/>
      <c r="I168" s="130"/>
      <c r="J168" s="130"/>
      <c r="K168" s="130"/>
      <c r="L168" s="130"/>
      <c r="M168" s="130"/>
      <c r="N168" s="14"/>
      <c r="O168" s="14"/>
      <c r="P168" s="15"/>
      <c r="Q168" s="14"/>
      <c r="R168" s="15"/>
      <c r="S168" s="14"/>
      <c r="T168" s="8"/>
      <c r="U168" s="16"/>
      <c r="V168" s="17"/>
      <c r="W168" s="18"/>
      <c r="X168" s="18"/>
      <c r="Y168" s="20"/>
      <c r="Z168" s="20"/>
      <c r="AA168" s="20"/>
      <c r="AB168" s="20"/>
      <c r="AC168" s="24"/>
      <c r="AD168" s="20"/>
      <c r="AE168" s="20"/>
      <c r="AF168" s="20"/>
      <c r="AG168" s="20"/>
      <c r="AH168" s="20"/>
      <c r="AI168" s="20"/>
      <c r="AJ168" s="20"/>
    </row>
    <row r="169" customFormat="false" ht="12.75" hidden="false" customHeight="true" outlineLevel="0" collapsed="false">
      <c r="A169" s="127"/>
      <c r="B169" s="3"/>
      <c r="C169" s="3"/>
      <c r="D169" s="5"/>
      <c r="E169" s="5"/>
      <c r="F169" s="128"/>
      <c r="G169" s="129"/>
      <c r="H169" s="8"/>
      <c r="I169" s="130"/>
      <c r="J169" s="130"/>
      <c r="K169" s="130"/>
      <c r="L169" s="130"/>
      <c r="M169" s="130"/>
      <c r="N169" s="14"/>
      <c r="O169" s="14"/>
      <c r="P169" s="15"/>
      <c r="Q169" s="14"/>
      <c r="R169" s="15"/>
      <c r="S169" s="14"/>
      <c r="T169" s="8"/>
      <c r="U169" s="16"/>
      <c r="V169" s="17"/>
      <c r="W169" s="18"/>
      <c r="X169" s="18"/>
      <c r="Y169" s="20"/>
      <c r="Z169" s="20"/>
      <c r="AA169" s="20"/>
      <c r="AB169" s="20"/>
      <c r="AC169" s="24"/>
      <c r="AD169" s="20"/>
      <c r="AE169" s="20"/>
      <c r="AF169" s="20"/>
      <c r="AG169" s="20"/>
      <c r="AH169" s="20"/>
      <c r="AI169" s="20"/>
      <c r="AJ169" s="20"/>
    </row>
    <row r="170" customFormat="false" ht="12.75" hidden="false" customHeight="true" outlineLevel="0" collapsed="false">
      <c r="A170" s="127"/>
      <c r="B170" s="3"/>
      <c r="C170" s="3"/>
      <c r="D170" s="5"/>
      <c r="E170" s="5"/>
      <c r="F170" s="128"/>
      <c r="G170" s="129"/>
      <c r="H170" s="8"/>
      <c r="I170" s="130"/>
      <c r="J170" s="130"/>
      <c r="K170" s="130"/>
      <c r="L170" s="130"/>
      <c r="M170" s="130"/>
      <c r="N170" s="14"/>
      <c r="O170" s="14"/>
      <c r="P170" s="15"/>
      <c r="Q170" s="14"/>
      <c r="R170" s="15"/>
      <c r="S170" s="14"/>
      <c r="T170" s="8"/>
      <c r="U170" s="16"/>
      <c r="V170" s="17"/>
      <c r="W170" s="18"/>
      <c r="X170" s="18"/>
      <c r="Y170" s="20"/>
      <c r="Z170" s="20"/>
      <c r="AA170" s="20"/>
      <c r="AB170" s="20"/>
      <c r="AC170" s="24"/>
      <c r="AD170" s="20"/>
      <c r="AE170" s="20"/>
      <c r="AF170" s="20"/>
      <c r="AG170" s="20"/>
      <c r="AH170" s="20"/>
      <c r="AI170" s="20"/>
      <c r="AJ170" s="20"/>
    </row>
    <row r="171" customFormat="false" ht="12.75" hidden="false" customHeight="true" outlineLevel="0" collapsed="false">
      <c r="A171" s="127"/>
      <c r="B171" s="3"/>
      <c r="C171" s="3"/>
      <c r="D171" s="5"/>
      <c r="E171" s="5"/>
      <c r="F171" s="128"/>
      <c r="G171" s="129"/>
      <c r="H171" s="8"/>
      <c r="I171" s="130"/>
      <c r="J171" s="130"/>
      <c r="K171" s="130"/>
      <c r="L171" s="130"/>
      <c r="M171" s="130"/>
      <c r="N171" s="14"/>
      <c r="O171" s="14"/>
      <c r="P171" s="15"/>
      <c r="Q171" s="14"/>
      <c r="R171" s="15"/>
      <c r="S171" s="14"/>
      <c r="T171" s="8"/>
      <c r="U171" s="16"/>
      <c r="V171" s="17"/>
      <c r="W171" s="18"/>
      <c r="X171" s="18"/>
      <c r="Y171" s="20"/>
      <c r="Z171" s="20"/>
      <c r="AA171" s="20"/>
      <c r="AB171" s="20"/>
      <c r="AC171" s="24"/>
      <c r="AD171" s="20"/>
      <c r="AE171" s="20"/>
      <c r="AF171" s="20"/>
      <c r="AG171" s="20"/>
      <c r="AH171" s="20"/>
      <c r="AI171" s="20"/>
      <c r="AJ171" s="20"/>
    </row>
    <row r="172" customFormat="false" ht="12.75" hidden="false" customHeight="true" outlineLevel="0" collapsed="false">
      <c r="A172" s="127"/>
      <c r="B172" s="3"/>
      <c r="C172" s="3"/>
      <c r="D172" s="5"/>
      <c r="E172" s="5"/>
      <c r="F172" s="128"/>
      <c r="G172" s="129"/>
      <c r="H172" s="8"/>
      <c r="I172" s="130"/>
      <c r="J172" s="130"/>
      <c r="K172" s="130"/>
      <c r="L172" s="130"/>
      <c r="M172" s="130"/>
      <c r="N172" s="14"/>
      <c r="O172" s="14"/>
      <c r="P172" s="15"/>
      <c r="Q172" s="14"/>
      <c r="R172" s="15"/>
      <c r="S172" s="14"/>
      <c r="T172" s="8"/>
      <c r="U172" s="16"/>
      <c r="V172" s="17"/>
      <c r="W172" s="18"/>
      <c r="X172" s="18"/>
      <c r="Y172" s="20"/>
      <c r="Z172" s="20"/>
      <c r="AA172" s="20"/>
      <c r="AB172" s="20"/>
      <c r="AC172" s="24"/>
      <c r="AD172" s="20"/>
      <c r="AE172" s="20"/>
      <c r="AF172" s="20"/>
      <c r="AG172" s="20"/>
      <c r="AH172" s="20"/>
      <c r="AI172" s="20"/>
      <c r="AJ172" s="20"/>
    </row>
    <row r="173" customFormat="false" ht="12.75" hidden="false" customHeight="true" outlineLevel="0" collapsed="false">
      <c r="A173" s="127"/>
      <c r="B173" s="3"/>
      <c r="C173" s="3"/>
      <c r="D173" s="5"/>
      <c r="E173" s="5"/>
      <c r="F173" s="128"/>
      <c r="G173" s="129"/>
      <c r="H173" s="8"/>
      <c r="I173" s="130"/>
      <c r="J173" s="130"/>
      <c r="K173" s="130"/>
      <c r="L173" s="130"/>
      <c r="M173" s="130"/>
      <c r="N173" s="14"/>
      <c r="O173" s="14"/>
      <c r="P173" s="15"/>
      <c r="Q173" s="14"/>
      <c r="R173" s="15"/>
      <c r="S173" s="14"/>
      <c r="T173" s="8"/>
      <c r="U173" s="16"/>
      <c r="V173" s="17"/>
      <c r="W173" s="18"/>
      <c r="X173" s="18"/>
      <c r="Y173" s="20"/>
      <c r="Z173" s="20"/>
      <c r="AA173" s="20"/>
      <c r="AB173" s="20"/>
      <c r="AC173" s="24"/>
      <c r="AD173" s="20"/>
      <c r="AE173" s="20"/>
      <c r="AF173" s="20"/>
      <c r="AG173" s="20"/>
      <c r="AH173" s="20"/>
      <c r="AI173" s="20"/>
      <c r="AJ173" s="20"/>
    </row>
    <row r="174" customFormat="false" ht="12.75" hidden="false" customHeight="true" outlineLevel="0" collapsed="false">
      <c r="A174" s="127"/>
      <c r="B174" s="3"/>
      <c r="C174" s="3"/>
      <c r="D174" s="5"/>
      <c r="E174" s="5"/>
      <c r="F174" s="128"/>
      <c r="G174" s="129"/>
      <c r="H174" s="8"/>
      <c r="I174" s="130"/>
      <c r="J174" s="130"/>
      <c r="K174" s="130"/>
      <c r="L174" s="130"/>
      <c r="M174" s="130"/>
      <c r="N174" s="14"/>
      <c r="O174" s="14"/>
      <c r="P174" s="15"/>
      <c r="Q174" s="14"/>
      <c r="R174" s="15"/>
      <c r="S174" s="14"/>
      <c r="T174" s="8"/>
      <c r="U174" s="16"/>
      <c r="V174" s="17"/>
      <c r="W174" s="18"/>
      <c r="X174" s="18"/>
      <c r="Y174" s="20"/>
      <c r="Z174" s="20"/>
      <c r="AA174" s="20"/>
      <c r="AB174" s="20"/>
      <c r="AC174" s="24"/>
      <c r="AD174" s="20"/>
      <c r="AE174" s="20"/>
      <c r="AF174" s="20"/>
      <c r="AG174" s="20"/>
      <c r="AH174" s="20"/>
      <c r="AI174" s="20"/>
      <c r="AJ174" s="20"/>
    </row>
    <row r="175" customFormat="false" ht="12.75" hidden="false" customHeight="true" outlineLevel="0" collapsed="false">
      <c r="A175" s="127"/>
      <c r="B175" s="3"/>
      <c r="C175" s="3"/>
      <c r="D175" s="5"/>
      <c r="E175" s="5"/>
      <c r="F175" s="128"/>
      <c r="G175" s="129"/>
      <c r="H175" s="8"/>
      <c r="I175" s="130"/>
      <c r="J175" s="130"/>
      <c r="K175" s="130"/>
      <c r="L175" s="130"/>
      <c r="M175" s="130"/>
      <c r="N175" s="14"/>
      <c r="O175" s="14"/>
      <c r="P175" s="15"/>
      <c r="Q175" s="14"/>
      <c r="R175" s="15"/>
      <c r="S175" s="14"/>
      <c r="T175" s="8"/>
      <c r="U175" s="16"/>
      <c r="V175" s="17"/>
      <c r="W175" s="18"/>
      <c r="X175" s="18"/>
      <c r="Y175" s="20"/>
      <c r="Z175" s="20"/>
      <c r="AA175" s="20"/>
      <c r="AB175" s="20"/>
      <c r="AC175" s="24"/>
      <c r="AD175" s="20"/>
      <c r="AE175" s="20"/>
      <c r="AF175" s="20"/>
      <c r="AG175" s="20"/>
      <c r="AH175" s="20"/>
      <c r="AI175" s="20"/>
      <c r="AJ175" s="20"/>
    </row>
    <row r="176" customFormat="false" ht="12.75" hidden="false" customHeight="true" outlineLevel="0" collapsed="false">
      <c r="A176" s="127"/>
      <c r="B176" s="3"/>
      <c r="C176" s="3"/>
      <c r="D176" s="5"/>
      <c r="E176" s="5"/>
      <c r="F176" s="128"/>
      <c r="G176" s="129"/>
      <c r="H176" s="8"/>
      <c r="I176" s="130"/>
      <c r="J176" s="130"/>
      <c r="K176" s="130"/>
      <c r="L176" s="130"/>
      <c r="M176" s="130"/>
      <c r="N176" s="14"/>
      <c r="O176" s="14"/>
      <c r="P176" s="15"/>
      <c r="Q176" s="14"/>
      <c r="R176" s="15"/>
      <c r="S176" s="14"/>
      <c r="T176" s="8"/>
      <c r="U176" s="16"/>
      <c r="V176" s="17"/>
      <c r="W176" s="18"/>
      <c r="X176" s="18"/>
      <c r="Y176" s="20"/>
      <c r="Z176" s="20"/>
      <c r="AA176" s="20"/>
      <c r="AB176" s="20"/>
      <c r="AC176" s="24"/>
      <c r="AD176" s="20"/>
      <c r="AE176" s="20"/>
      <c r="AF176" s="20"/>
      <c r="AG176" s="20"/>
      <c r="AH176" s="20"/>
      <c r="AI176" s="20"/>
      <c r="AJ176" s="20"/>
    </row>
    <row r="177" customFormat="false" ht="12.75" hidden="false" customHeight="true" outlineLevel="0" collapsed="false">
      <c r="A177" s="127"/>
      <c r="B177" s="3"/>
      <c r="C177" s="3"/>
      <c r="D177" s="5"/>
      <c r="E177" s="5"/>
      <c r="F177" s="128"/>
      <c r="G177" s="129"/>
      <c r="H177" s="8"/>
      <c r="I177" s="130"/>
      <c r="J177" s="130"/>
      <c r="K177" s="130"/>
      <c r="L177" s="130"/>
      <c r="M177" s="130"/>
      <c r="N177" s="14"/>
      <c r="O177" s="14"/>
      <c r="P177" s="15"/>
      <c r="Q177" s="14"/>
      <c r="R177" s="15"/>
      <c r="S177" s="14"/>
      <c r="T177" s="8"/>
      <c r="U177" s="16"/>
      <c r="V177" s="17"/>
      <c r="W177" s="18"/>
      <c r="X177" s="18"/>
      <c r="Y177" s="20"/>
      <c r="Z177" s="20"/>
      <c r="AA177" s="20"/>
      <c r="AB177" s="20"/>
      <c r="AC177" s="24"/>
      <c r="AD177" s="20"/>
      <c r="AE177" s="20"/>
      <c r="AF177" s="20"/>
      <c r="AG177" s="20"/>
      <c r="AH177" s="20"/>
      <c r="AI177" s="20"/>
      <c r="AJ177" s="20"/>
    </row>
    <row r="178" customFormat="false" ht="12.75" hidden="false" customHeight="true" outlineLevel="0" collapsed="false">
      <c r="A178" s="127"/>
      <c r="B178" s="3"/>
      <c r="C178" s="3"/>
      <c r="D178" s="5"/>
      <c r="E178" s="5"/>
      <c r="F178" s="128"/>
      <c r="G178" s="129"/>
      <c r="H178" s="8"/>
      <c r="I178" s="130"/>
      <c r="J178" s="130"/>
      <c r="K178" s="130"/>
      <c r="L178" s="130"/>
      <c r="M178" s="130"/>
      <c r="N178" s="14"/>
      <c r="O178" s="14"/>
      <c r="P178" s="15"/>
      <c r="Q178" s="14"/>
      <c r="R178" s="15"/>
      <c r="S178" s="14"/>
      <c r="T178" s="8"/>
      <c r="U178" s="16"/>
      <c r="V178" s="17"/>
      <c r="W178" s="18"/>
      <c r="X178" s="18"/>
      <c r="Y178" s="20"/>
      <c r="Z178" s="20"/>
      <c r="AA178" s="20"/>
      <c r="AB178" s="20"/>
      <c r="AC178" s="24"/>
      <c r="AD178" s="20"/>
      <c r="AE178" s="20"/>
      <c r="AF178" s="20"/>
      <c r="AG178" s="20"/>
      <c r="AH178" s="20"/>
      <c r="AI178" s="20"/>
      <c r="AJ178" s="20"/>
    </row>
    <row r="179" customFormat="false" ht="12.75" hidden="false" customHeight="true" outlineLevel="0" collapsed="false">
      <c r="A179" s="127"/>
      <c r="B179" s="3"/>
      <c r="C179" s="3"/>
      <c r="D179" s="5"/>
      <c r="E179" s="5"/>
      <c r="F179" s="128"/>
      <c r="G179" s="129"/>
      <c r="H179" s="8"/>
      <c r="I179" s="130"/>
      <c r="J179" s="130"/>
      <c r="K179" s="130"/>
      <c r="L179" s="130"/>
      <c r="M179" s="130"/>
      <c r="N179" s="14"/>
      <c r="O179" s="14"/>
      <c r="P179" s="15"/>
      <c r="Q179" s="14"/>
      <c r="R179" s="15"/>
      <c r="S179" s="14"/>
      <c r="T179" s="8"/>
      <c r="U179" s="16"/>
      <c r="V179" s="17"/>
      <c r="W179" s="18"/>
      <c r="X179" s="18"/>
      <c r="Y179" s="20"/>
      <c r="Z179" s="20"/>
      <c r="AA179" s="20"/>
      <c r="AB179" s="20"/>
      <c r="AC179" s="24"/>
      <c r="AD179" s="20"/>
      <c r="AE179" s="20"/>
      <c r="AF179" s="20"/>
      <c r="AG179" s="20"/>
      <c r="AH179" s="20"/>
      <c r="AI179" s="20"/>
      <c r="AJ179" s="20"/>
    </row>
    <row r="180" customFormat="false" ht="12.75" hidden="false" customHeight="true" outlineLevel="0" collapsed="false">
      <c r="A180" s="127"/>
      <c r="B180" s="3"/>
      <c r="C180" s="3"/>
      <c r="D180" s="5"/>
      <c r="E180" s="5"/>
      <c r="F180" s="128"/>
      <c r="G180" s="129"/>
      <c r="H180" s="8"/>
      <c r="I180" s="130"/>
      <c r="J180" s="130"/>
      <c r="K180" s="130"/>
      <c r="L180" s="130"/>
      <c r="M180" s="130"/>
      <c r="N180" s="14"/>
      <c r="O180" s="14"/>
      <c r="P180" s="15"/>
      <c r="Q180" s="14"/>
      <c r="R180" s="15"/>
      <c r="S180" s="14"/>
      <c r="T180" s="8"/>
      <c r="U180" s="16"/>
      <c r="V180" s="17"/>
      <c r="W180" s="18"/>
      <c r="X180" s="18"/>
      <c r="Y180" s="20"/>
      <c r="Z180" s="20"/>
      <c r="AA180" s="20"/>
      <c r="AB180" s="20"/>
      <c r="AC180" s="24"/>
      <c r="AD180" s="20"/>
      <c r="AE180" s="20"/>
      <c r="AF180" s="20"/>
      <c r="AG180" s="20"/>
      <c r="AH180" s="20"/>
      <c r="AI180" s="20"/>
      <c r="AJ180" s="20"/>
    </row>
    <row r="181" customFormat="false" ht="12.75" hidden="false" customHeight="true" outlineLevel="0" collapsed="false">
      <c r="A181" s="127"/>
      <c r="B181" s="3"/>
      <c r="C181" s="3"/>
      <c r="D181" s="5"/>
      <c r="E181" s="5"/>
      <c r="F181" s="128"/>
      <c r="G181" s="129"/>
      <c r="H181" s="8"/>
      <c r="I181" s="130"/>
      <c r="J181" s="130"/>
      <c r="K181" s="130"/>
      <c r="L181" s="130"/>
      <c r="M181" s="130"/>
      <c r="N181" s="14"/>
      <c r="O181" s="14"/>
      <c r="P181" s="15"/>
      <c r="Q181" s="14"/>
      <c r="R181" s="15"/>
      <c r="S181" s="14"/>
      <c r="T181" s="8"/>
      <c r="U181" s="16"/>
      <c r="V181" s="17"/>
      <c r="W181" s="18"/>
      <c r="X181" s="18"/>
      <c r="Y181" s="20"/>
      <c r="Z181" s="20"/>
      <c r="AA181" s="20"/>
      <c r="AB181" s="20"/>
      <c r="AC181" s="24"/>
      <c r="AD181" s="20"/>
      <c r="AE181" s="20"/>
      <c r="AF181" s="20"/>
      <c r="AG181" s="20"/>
      <c r="AH181" s="20"/>
      <c r="AI181" s="20"/>
      <c r="AJ181" s="20"/>
    </row>
    <row r="182" customFormat="false" ht="12.75" hidden="false" customHeight="true" outlineLevel="0" collapsed="false">
      <c r="A182" s="127"/>
      <c r="B182" s="3"/>
      <c r="C182" s="3"/>
      <c r="D182" s="5"/>
      <c r="E182" s="5"/>
      <c r="F182" s="128"/>
      <c r="G182" s="129"/>
      <c r="H182" s="8"/>
      <c r="I182" s="130"/>
      <c r="J182" s="130"/>
      <c r="K182" s="130"/>
      <c r="L182" s="130"/>
      <c r="M182" s="130"/>
      <c r="N182" s="14"/>
      <c r="O182" s="14"/>
      <c r="P182" s="15"/>
      <c r="Q182" s="14"/>
      <c r="R182" s="15"/>
      <c r="S182" s="14"/>
      <c r="T182" s="8"/>
      <c r="U182" s="16"/>
      <c r="V182" s="17"/>
      <c r="W182" s="18"/>
      <c r="X182" s="18"/>
      <c r="Y182" s="20"/>
      <c r="Z182" s="20"/>
      <c r="AA182" s="20"/>
      <c r="AB182" s="20"/>
      <c r="AC182" s="24"/>
      <c r="AD182" s="20"/>
      <c r="AE182" s="20"/>
      <c r="AF182" s="20"/>
      <c r="AG182" s="20"/>
      <c r="AH182" s="20"/>
      <c r="AI182" s="20"/>
      <c r="AJ182" s="20"/>
    </row>
    <row r="183" customFormat="false" ht="12.75" hidden="false" customHeight="true" outlineLevel="0" collapsed="false">
      <c r="A183" s="127"/>
      <c r="B183" s="3"/>
      <c r="C183" s="3"/>
      <c r="D183" s="5"/>
      <c r="E183" s="5"/>
      <c r="F183" s="128"/>
      <c r="G183" s="129"/>
      <c r="H183" s="8"/>
      <c r="I183" s="130"/>
      <c r="J183" s="130"/>
      <c r="K183" s="130"/>
      <c r="L183" s="130"/>
      <c r="M183" s="130"/>
      <c r="N183" s="14"/>
      <c r="O183" s="14"/>
      <c r="P183" s="15"/>
      <c r="Q183" s="14"/>
      <c r="R183" s="15"/>
      <c r="S183" s="14"/>
      <c r="T183" s="8"/>
      <c r="U183" s="16"/>
      <c r="V183" s="17"/>
      <c r="W183" s="18"/>
      <c r="X183" s="18"/>
      <c r="Y183" s="20"/>
      <c r="Z183" s="20"/>
      <c r="AA183" s="20"/>
      <c r="AB183" s="20"/>
      <c r="AC183" s="24"/>
      <c r="AD183" s="20"/>
      <c r="AE183" s="20"/>
      <c r="AF183" s="20"/>
      <c r="AG183" s="20"/>
      <c r="AH183" s="20"/>
      <c r="AI183" s="20"/>
      <c r="AJ183" s="20"/>
    </row>
    <row r="184" customFormat="false" ht="12.75" hidden="false" customHeight="true" outlineLevel="0" collapsed="false">
      <c r="A184" s="127"/>
      <c r="B184" s="3"/>
      <c r="C184" s="3"/>
      <c r="D184" s="5"/>
      <c r="E184" s="5"/>
      <c r="F184" s="128"/>
      <c r="G184" s="129"/>
      <c r="H184" s="8"/>
      <c r="I184" s="130"/>
      <c r="J184" s="130"/>
      <c r="K184" s="130"/>
      <c r="L184" s="130"/>
      <c r="M184" s="130"/>
      <c r="N184" s="14"/>
      <c r="O184" s="14"/>
      <c r="P184" s="15"/>
      <c r="Q184" s="14"/>
      <c r="R184" s="15"/>
      <c r="S184" s="14"/>
      <c r="T184" s="8"/>
      <c r="U184" s="16"/>
      <c r="V184" s="17"/>
      <c r="W184" s="18"/>
      <c r="X184" s="18"/>
      <c r="Y184" s="20"/>
      <c r="Z184" s="20"/>
      <c r="AA184" s="20"/>
      <c r="AB184" s="20"/>
      <c r="AC184" s="24"/>
      <c r="AD184" s="20"/>
      <c r="AE184" s="20"/>
      <c r="AF184" s="20"/>
      <c r="AG184" s="20"/>
      <c r="AH184" s="20"/>
      <c r="AI184" s="20"/>
      <c r="AJ184" s="20"/>
    </row>
    <row r="185" customFormat="false" ht="12.75" hidden="false" customHeight="true" outlineLevel="0" collapsed="false">
      <c r="A185" s="127"/>
      <c r="B185" s="3"/>
      <c r="C185" s="3"/>
      <c r="D185" s="5"/>
      <c r="E185" s="5"/>
      <c r="F185" s="128"/>
      <c r="G185" s="129"/>
      <c r="H185" s="8"/>
      <c r="I185" s="130"/>
      <c r="J185" s="130"/>
      <c r="K185" s="130"/>
      <c r="L185" s="130"/>
      <c r="M185" s="130"/>
      <c r="N185" s="14"/>
      <c r="O185" s="14"/>
      <c r="P185" s="15"/>
      <c r="Q185" s="14"/>
      <c r="R185" s="15"/>
      <c r="S185" s="14"/>
      <c r="T185" s="8"/>
      <c r="U185" s="16"/>
      <c r="V185" s="17"/>
      <c r="W185" s="18"/>
      <c r="X185" s="18"/>
      <c r="Y185" s="20"/>
      <c r="Z185" s="20"/>
      <c r="AA185" s="20"/>
      <c r="AB185" s="20"/>
      <c r="AC185" s="24"/>
      <c r="AD185" s="20"/>
      <c r="AE185" s="20"/>
      <c r="AF185" s="20"/>
      <c r="AG185" s="20"/>
      <c r="AH185" s="20"/>
      <c r="AI185" s="20"/>
      <c r="AJ185" s="20"/>
    </row>
    <row r="186" customFormat="false" ht="12.75" hidden="false" customHeight="true" outlineLevel="0" collapsed="false">
      <c r="A186" s="127"/>
      <c r="B186" s="3"/>
      <c r="C186" s="3"/>
      <c r="D186" s="5"/>
      <c r="E186" s="5"/>
      <c r="F186" s="128"/>
      <c r="G186" s="129"/>
      <c r="H186" s="8"/>
      <c r="I186" s="130"/>
      <c r="J186" s="130"/>
      <c r="K186" s="130"/>
      <c r="L186" s="130"/>
      <c r="M186" s="130"/>
      <c r="N186" s="14"/>
      <c r="O186" s="14"/>
      <c r="P186" s="15"/>
      <c r="Q186" s="14"/>
      <c r="R186" s="15"/>
      <c r="S186" s="14"/>
      <c r="T186" s="8"/>
      <c r="U186" s="16"/>
      <c r="V186" s="17"/>
      <c r="W186" s="18"/>
      <c r="X186" s="18"/>
      <c r="Y186" s="20"/>
      <c r="Z186" s="20"/>
      <c r="AA186" s="20"/>
      <c r="AB186" s="20"/>
      <c r="AC186" s="24"/>
      <c r="AD186" s="20"/>
      <c r="AE186" s="20"/>
      <c r="AF186" s="20"/>
      <c r="AG186" s="20"/>
      <c r="AH186" s="20"/>
      <c r="AI186" s="20"/>
      <c r="AJ186" s="20"/>
    </row>
    <row r="187" customFormat="false" ht="15.75" hidden="false" customHeight="true" outlineLevel="0" collapsed="false">
      <c r="A187" s="127"/>
      <c r="B187" s="3"/>
      <c r="C187" s="3"/>
      <c r="D187" s="5"/>
      <c r="E187" s="5"/>
      <c r="F187" s="128"/>
      <c r="G187" s="129"/>
      <c r="H187" s="8"/>
      <c r="I187" s="130"/>
      <c r="J187" s="130"/>
      <c r="K187" s="130"/>
      <c r="L187" s="130"/>
      <c r="M187" s="130"/>
      <c r="N187" s="14"/>
      <c r="O187" s="14"/>
      <c r="P187" s="15"/>
      <c r="Q187" s="14"/>
      <c r="R187" s="15"/>
      <c r="S187" s="14"/>
      <c r="T187" s="8"/>
      <c r="U187" s="3"/>
      <c r="V187" s="17"/>
      <c r="W187" s="18"/>
      <c r="X187" s="18"/>
      <c r="Y187" s="20"/>
      <c r="Z187" s="20"/>
      <c r="AA187" s="20"/>
      <c r="AB187" s="20"/>
      <c r="AC187" s="24"/>
      <c r="AD187" s="20"/>
      <c r="AE187" s="20"/>
      <c r="AF187" s="20"/>
      <c r="AG187" s="20"/>
      <c r="AH187" s="20"/>
      <c r="AI187" s="20"/>
      <c r="AJ187" s="20"/>
    </row>
    <row r="188" customFormat="false" ht="15.75" hidden="false" customHeight="true" outlineLevel="0" collapsed="false">
      <c r="A188" s="127"/>
      <c r="B188" s="3"/>
      <c r="C188" s="3"/>
      <c r="D188" s="5"/>
      <c r="E188" s="5"/>
      <c r="F188" s="128"/>
      <c r="G188" s="129"/>
      <c r="H188" s="8"/>
      <c r="I188" s="130"/>
      <c r="J188" s="130"/>
      <c r="K188" s="130"/>
      <c r="L188" s="130"/>
      <c r="M188" s="130"/>
      <c r="N188" s="14"/>
      <c r="O188" s="14"/>
      <c r="P188" s="15"/>
      <c r="Q188" s="14"/>
      <c r="R188" s="15"/>
      <c r="S188" s="14"/>
      <c r="T188" s="8"/>
      <c r="U188" s="3"/>
      <c r="V188" s="17"/>
      <c r="W188" s="18"/>
      <c r="X188" s="18"/>
      <c r="Y188" s="20"/>
      <c r="Z188" s="20"/>
      <c r="AA188" s="20"/>
      <c r="AB188" s="20"/>
      <c r="AC188" s="24"/>
      <c r="AD188" s="20"/>
      <c r="AE188" s="20"/>
      <c r="AF188" s="20"/>
      <c r="AG188" s="20"/>
      <c r="AH188" s="20"/>
      <c r="AI188" s="20"/>
      <c r="AJ188" s="20"/>
    </row>
    <row r="189" customFormat="false" ht="15.75" hidden="false" customHeight="true" outlineLevel="0" collapsed="false">
      <c r="A189" s="127"/>
      <c r="B189" s="3"/>
      <c r="C189" s="3"/>
      <c r="D189" s="5"/>
      <c r="E189" s="5"/>
      <c r="F189" s="128"/>
      <c r="G189" s="129"/>
      <c r="H189" s="8"/>
      <c r="I189" s="130"/>
      <c r="J189" s="130"/>
      <c r="K189" s="130"/>
      <c r="L189" s="130"/>
      <c r="M189" s="130"/>
      <c r="N189" s="14"/>
      <c r="O189" s="14"/>
      <c r="P189" s="15"/>
      <c r="Q189" s="14"/>
      <c r="R189" s="15"/>
      <c r="S189" s="14"/>
      <c r="T189" s="8"/>
      <c r="U189" s="3"/>
      <c r="V189" s="17"/>
      <c r="W189" s="18"/>
      <c r="X189" s="18"/>
      <c r="Y189" s="20"/>
      <c r="Z189" s="20"/>
      <c r="AA189" s="20"/>
      <c r="AB189" s="20"/>
      <c r="AC189" s="24"/>
      <c r="AD189" s="20"/>
      <c r="AE189" s="20"/>
      <c r="AF189" s="20"/>
      <c r="AG189" s="20"/>
      <c r="AH189" s="20"/>
      <c r="AI189" s="20"/>
      <c r="AJ189" s="20"/>
    </row>
    <row r="190" customFormat="false" ht="15.75" hidden="false" customHeight="true" outlineLevel="0" collapsed="false">
      <c r="A190" s="127"/>
      <c r="B190" s="3"/>
      <c r="C190" s="3"/>
      <c r="D190" s="5"/>
      <c r="E190" s="5"/>
      <c r="F190" s="128"/>
      <c r="G190" s="129"/>
      <c r="H190" s="8"/>
      <c r="I190" s="130"/>
      <c r="J190" s="130"/>
      <c r="K190" s="130"/>
      <c r="L190" s="130"/>
      <c r="M190" s="130"/>
      <c r="N190" s="14"/>
      <c r="O190" s="14"/>
      <c r="P190" s="15"/>
      <c r="Q190" s="14"/>
      <c r="R190" s="15"/>
      <c r="S190" s="14"/>
      <c r="T190" s="8"/>
      <c r="U190" s="3"/>
      <c r="V190" s="17"/>
      <c r="W190" s="18"/>
      <c r="X190" s="18"/>
      <c r="Y190" s="20"/>
      <c r="Z190" s="20"/>
      <c r="AA190" s="20"/>
      <c r="AB190" s="20"/>
      <c r="AC190" s="24"/>
      <c r="AD190" s="20"/>
      <c r="AE190" s="20"/>
      <c r="AF190" s="20"/>
      <c r="AG190" s="20"/>
      <c r="AH190" s="20"/>
      <c r="AI190" s="20"/>
      <c r="AJ190" s="20"/>
    </row>
    <row r="191" customFormat="false" ht="15.75" hidden="false" customHeight="true" outlineLevel="0" collapsed="false">
      <c r="A191" s="127"/>
      <c r="B191" s="3"/>
      <c r="C191" s="3"/>
      <c r="D191" s="5"/>
      <c r="E191" s="5"/>
      <c r="F191" s="128"/>
      <c r="G191" s="129"/>
      <c r="H191" s="8"/>
      <c r="I191" s="130"/>
      <c r="J191" s="130"/>
      <c r="K191" s="130"/>
      <c r="L191" s="130"/>
      <c r="M191" s="130"/>
      <c r="N191" s="14"/>
      <c r="O191" s="14"/>
      <c r="P191" s="15"/>
      <c r="Q191" s="14"/>
      <c r="R191" s="15"/>
      <c r="S191" s="14"/>
      <c r="T191" s="8"/>
      <c r="U191" s="3"/>
      <c r="V191" s="17"/>
      <c r="W191" s="18"/>
      <c r="X191" s="18"/>
      <c r="Y191" s="20"/>
      <c r="Z191" s="20"/>
      <c r="AA191" s="20"/>
      <c r="AB191" s="20"/>
      <c r="AC191" s="24"/>
      <c r="AD191" s="20"/>
      <c r="AE191" s="20"/>
      <c r="AF191" s="20"/>
      <c r="AG191" s="20"/>
      <c r="AH191" s="20"/>
      <c r="AI191" s="20"/>
      <c r="AJ191" s="20"/>
    </row>
    <row r="192" customFormat="false" ht="15.75" hidden="false" customHeight="true" outlineLevel="0" collapsed="false">
      <c r="A192" s="127"/>
      <c r="B192" s="3"/>
      <c r="C192" s="3"/>
      <c r="D192" s="5"/>
      <c r="E192" s="5"/>
      <c r="F192" s="128"/>
      <c r="G192" s="129"/>
      <c r="H192" s="8"/>
      <c r="I192" s="130"/>
      <c r="J192" s="130"/>
      <c r="K192" s="130"/>
      <c r="L192" s="130"/>
      <c r="M192" s="130"/>
      <c r="N192" s="14"/>
      <c r="O192" s="14"/>
      <c r="P192" s="15"/>
      <c r="Q192" s="14"/>
      <c r="R192" s="15"/>
      <c r="S192" s="14"/>
      <c r="T192" s="8"/>
      <c r="U192" s="3"/>
      <c r="V192" s="17"/>
      <c r="W192" s="18"/>
      <c r="X192" s="18"/>
      <c r="Y192" s="20"/>
      <c r="Z192" s="20"/>
      <c r="AA192" s="20"/>
      <c r="AB192" s="20"/>
      <c r="AC192" s="24"/>
      <c r="AD192" s="20"/>
      <c r="AE192" s="20"/>
      <c r="AF192" s="20"/>
      <c r="AG192" s="20"/>
      <c r="AH192" s="20"/>
      <c r="AI192" s="20"/>
      <c r="AJ192" s="20"/>
    </row>
    <row r="193" customFormat="false" ht="15.75" hidden="false" customHeight="true" outlineLevel="0" collapsed="false">
      <c r="A193" s="127"/>
      <c r="B193" s="3"/>
      <c r="C193" s="3"/>
      <c r="D193" s="5"/>
      <c r="E193" s="5"/>
      <c r="F193" s="128"/>
      <c r="G193" s="129"/>
      <c r="H193" s="8"/>
      <c r="I193" s="130"/>
      <c r="J193" s="130"/>
      <c r="K193" s="130"/>
      <c r="L193" s="130"/>
      <c r="M193" s="130"/>
      <c r="N193" s="14"/>
      <c r="O193" s="14"/>
      <c r="P193" s="15"/>
      <c r="Q193" s="14"/>
      <c r="R193" s="15"/>
      <c r="S193" s="14"/>
      <c r="T193" s="8"/>
      <c r="U193" s="3"/>
      <c r="V193" s="17"/>
      <c r="W193" s="18"/>
      <c r="X193" s="18"/>
      <c r="Y193" s="20"/>
      <c r="Z193" s="20"/>
      <c r="AA193" s="20"/>
      <c r="AB193" s="20"/>
      <c r="AC193" s="24"/>
      <c r="AD193" s="20"/>
      <c r="AE193" s="20"/>
      <c r="AF193" s="20"/>
      <c r="AG193" s="20"/>
      <c r="AH193" s="20"/>
      <c r="AI193" s="20"/>
      <c r="AJ193" s="20"/>
    </row>
    <row r="194" customFormat="false" ht="15.75" hidden="false" customHeight="true" outlineLevel="0" collapsed="false">
      <c r="A194" s="127"/>
      <c r="B194" s="3"/>
      <c r="C194" s="3"/>
      <c r="D194" s="5"/>
      <c r="E194" s="5"/>
      <c r="F194" s="128"/>
      <c r="G194" s="129"/>
      <c r="H194" s="8"/>
      <c r="I194" s="130"/>
      <c r="J194" s="130"/>
      <c r="K194" s="130"/>
      <c r="L194" s="130"/>
      <c r="M194" s="130"/>
      <c r="N194" s="14"/>
      <c r="O194" s="14"/>
      <c r="P194" s="15"/>
      <c r="Q194" s="14"/>
      <c r="R194" s="15"/>
      <c r="S194" s="14"/>
      <c r="T194" s="8"/>
      <c r="U194" s="3"/>
      <c r="V194" s="17"/>
      <c r="W194" s="18"/>
      <c r="X194" s="18"/>
      <c r="Y194" s="20"/>
      <c r="Z194" s="20"/>
      <c r="AA194" s="20"/>
      <c r="AB194" s="20"/>
      <c r="AC194" s="24"/>
      <c r="AD194" s="20"/>
      <c r="AE194" s="20"/>
      <c r="AF194" s="20"/>
      <c r="AG194" s="20"/>
      <c r="AH194" s="20"/>
      <c r="AI194" s="20"/>
      <c r="AJ194" s="20"/>
    </row>
    <row r="195" customFormat="false" ht="15.75" hidden="false" customHeight="true" outlineLevel="0" collapsed="false">
      <c r="A195" s="127"/>
      <c r="B195" s="3"/>
      <c r="C195" s="3"/>
      <c r="D195" s="5"/>
      <c r="E195" s="5"/>
      <c r="F195" s="128"/>
      <c r="G195" s="129"/>
      <c r="H195" s="8"/>
      <c r="I195" s="130"/>
      <c r="J195" s="130"/>
      <c r="K195" s="130"/>
      <c r="L195" s="130"/>
      <c r="M195" s="130"/>
      <c r="N195" s="14"/>
      <c r="O195" s="14"/>
      <c r="P195" s="15"/>
      <c r="Q195" s="14"/>
      <c r="R195" s="15"/>
      <c r="S195" s="14"/>
      <c r="T195" s="8"/>
      <c r="U195" s="3"/>
      <c r="V195" s="17"/>
      <c r="W195" s="18"/>
      <c r="X195" s="18"/>
      <c r="Y195" s="20"/>
      <c r="Z195" s="20"/>
      <c r="AA195" s="20"/>
      <c r="AB195" s="20"/>
      <c r="AC195" s="24"/>
      <c r="AD195" s="20"/>
      <c r="AE195" s="20"/>
      <c r="AF195" s="20"/>
      <c r="AG195" s="20"/>
      <c r="AH195" s="20"/>
      <c r="AI195" s="20"/>
      <c r="AJ195" s="20"/>
    </row>
    <row r="196" customFormat="false" ht="15.75" hidden="false" customHeight="true" outlineLevel="0" collapsed="false">
      <c r="A196" s="127"/>
      <c r="B196" s="3"/>
      <c r="C196" s="3"/>
      <c r="D196" s="5"/>
      <c r="E196" s="5"/>
      <c r="F196" s="128"/>
      <c r="G196" s="129"/>
      <c r="H196" s="8"/>
      <c r="I196" s="130"/>
      <c r="J196" s="130"/>
      <c r="K196" s="130"/>
      <c r="L196" s="130"/>
      <c r="M196" s="130"/>
      <c r="N196" s="14"/>
      <c r="O196" s="14"/>
      <c r="P196" s="15"/>
      <c r="Q196" s="14"/>
      <c r="R196" s="15"/>
      <c r="S196" s="14"/>
      <c r="T196" s="8"/>
      <c r="U196" s="3"/>
      <c r="V196" s="17"/>
      <c r="W196" s="18"/>
      <c r="X196" s="18"/>
      <c r="Y196" s="20"/>
      <c r="Z196" s="20"/>
      <c r="AA196" s="20"/>
      <c r="AB196" s="20"/>
      <c r="AC196" s="24"/>
      <c r="AD196" s="20"/>
      <c r="AE196" s="20"/>
      <c r="AF196" s="20"/>
      <c r="AG196" s="20"/>
      <c r="AH196" s="20"/>
      <c r="AI196" s="20"/>
      <c r="AJ196" s="20"/>
    </row>
    <row r="197" customFormat="false" ht="15.75" hidden="false" customHeight="true" outlineLevel="0" collapsed="false">
      <c r="A197" s="127"/>
      <c r="B197" s="3"/>
      <c r="C197" s="3"/>
      <c r="D197" s="5"/>
      <c r="E197" s="5"/>
      <c r="F197" s="128"/>
      <c r="G197" s="129"/>
      <c r="H197" s="8"/>
      <c r="I197" s="130"/>
      <c r="J197" s="130"/>
      <c r="K197" s="130"/>
      <c r="L197" s="130"/>
      <c r="M197" s="130"/>
      <c r="N197" s="14"/>
      <c r="O197" s="14"/>
      <c r="P197" s="15"/>
      <c r="Q197" s="14"/>
      <c r="R197" s="15"/>
      <c r="S197" s="14"/>
      <c r="T197" s="8"/>
      <c r="U197" s="3"/>
      <c r="V197" s="17"/>
      <c r="W197" s="18"/>
      <c r="X197" s="18"/>
      <c r="Y197" s="20"/>
      <c r="Z197" s="20"/>
      <c r="AA197" s="20"/>
      <c r="AB197" s="20"/>
      <c r="AC197" s="24"/>
      <c r="AD197" s="20"/>
      <c r="AE197" s="20"/>
      <c r="AF197" s="20"/>
      <c r="AG197" s="20"/>
      <c r="AH197" s="20"/>
      <c r="AI197" s="20"/>
      <c r="AJ197" s="20"/>
    </row>
    <row r="198" customFormat="false" ht="15.75" hidden="false" customHeight="true" outlineLevel="0" collapsed="false">
      <c r="A198" s="127"/>
      <c r="B198" s="3"/>
      <c r="C198" s="3"/>
      <c r="D198" s="5"/>
      <c r="E198" s="5"/>
      <c r="F198" s="128"/>
      <c r="G198" s="129"/>
      <c r="H198" s="8"/>
      <c r="I198" s="130"/>
      <c r="J198" s="130"/>
      <c r="K198" s="130"/>
      <c r="L198" s="130"/>
      <c r="M198" s="130"/>
      <c r="N198" s="14"/>
      <c r="O198" s="14"/>
      <c r="P198" s="15"/>
      <c r="Q198" s="14"/>
      <c r="R198" s="15"/>
      <c r="S198" s="14"/>
      <c r="T198" s="8"/>
      <c r="U198" s="3"/>
      <c r="V198" s="17"/>
      <c r="W198" s="18"/>
      <c r="X198" s="18"/>
      <c r="Y198" s="20"/>
      <c r="Z198" s="20"/>
      <c r="AA198" s="20"/>
      <c r="AB198" s="20"/>
      <c r="AC198" s="24"/>
      <c r="AD198" s="20"/>
      <c r="AE198" s="20"/>
      <c r="AF198" s="20"/>
      <c r="AG198" s="20"/>
      <c r="AH198" s="20"/>
      <c r="AI198" s="20"/>
      <c r="AJ198" s="20"/>
    </row>
    <row r="199" customFormat="false" ht="15.75" hidden="false" customHeight="true" outlineLevel="0" collapsed="false">
      <c r="A199" s="127"/>
      <c r="B199" s="3"/>
      <c r="C199" s="3"/>
      <c r="D199" s="5"/>
      <c r="E199" s="5"/>
      <c r="F199" s="128"/>
      <c r="G199" s="129"/>
      <c r="H199" s="8"/>
      <c r="I199" s="130"/>
      <c r="J199" s="130"/>
      <c r="K199" s="130"/>
      <c r="L199" s="130"/>
      <c r="M199" s="130"/>
      <c r="N199" s="14"/>
      <c r="O199" s="14"/>
      <c r="P199" s="15"/>
      <c r="Q199" s="14"/>
      <c r="R199" s="15"/>
      <c r="S199" s="14"/>
      <c r="T199" s="8"/>
      <c r="U199" s="3"/>
      <c r="V199" s="17"/>
      <c r="W199" s="18"/>
      <c r="X199" s="18"/>
      <c r="Y199" s="20"/>
      <c r="Z199" s="20"/>
      <c r="AA199" s="20"/>
      <c r="AB199" s="20"/>
      <c r="AC199" s="24"/>
      <c r="AD199" s="20"/>
      <c r="AE199" s="20"/>
      <c r="AF199" s="20"/>
      <c r="AG199" s="20"/>
      <c r="AH199" s="20"/>
      <c r="AI199" s="20"/>
      <c r="AJ199" s="20"/>
    </row>
    <row r="200" customFormat="false" ht="15.75" hidden="false" customHeight="true" outlineLevel="0" collapsed="false">
      <c r="A200" s="127"/>
      <c r="B200" s="3"/>
      <c r="C200" s="3"/>
      <c r="D200" s="5"/>
      <c r="E200" s="5"/>
      <c r="F200" s="128"/>
      <c r="G200" s="129"/>
      <c r="H200" s="8"/>
      <c r="I200" s="130"/>
      <c r="J200" s="130"/>
      <c r="K200" s="130"/>
      <c r="L200" s="130"/>
      <c r="M200" s="130"/>
      <c r="N200" s="14"/>
      <c r="O200" s="14"/>
      <c r="P200" s="15"/>
      <c r="Q200" s="14"/>
      <c r="R200" s="15"/>
      <c r="S200" s="14"/>
      <c r="T200" s="8"/>
      <c r="U200" s="3"/>
      <c r="V200" s="17"/>
      <c r="W200" s="18"/>
      <c r="X200" s="18"/>
      <c r="Y200" s="20"/>
      <c r="Z200" s="20"/>
      <c r="AA200" s="20"/>
      <c r="AB200" s="20"/>
      <c r="AC200" s="24"/>
      <c r="AD200" s="20"/>
      <c r="AE200" s="20"/>
      <c r="AF200" s="20"/>
      <c r="AG200" s="20"/>
      <c r="AH200" s="20"/>
      <c r="AI200" s="20"/>
      <c r="AJ200" s="20"/>
    </row>
    <row r="201" customFormat="false" ht="15.75" hidden="false" customHeight="true" outlineLevel="0" collapsed="false">
      <c r="A201" s="127"/>
      <c r="B201" s="3"/>
      <c r="C201" s="3"/>
      <c r="D201" s="5"/>
      <c r="E201" s="5"/>
      <c r="F201" s="128"/>
      <c r="G201" s="129"/>
      <c r="H201" s="8"/>
      <c r="I201" s="130"/>
      <c r="J201" s="130"/>
      <c r="K201" s="130"/>
      <c r="L201" s="130"/>
      <c r="M201" s="130"/>
      <c r="N201" s="14"/>
      <c r="O201" s="14"/>
      <c r="P201" s="15"/>
      <c r="Q201" s="14"/>
      <c r="R201" s="15"/>
      <c r="S201" s="14"/>
      <c r="T201" s="8"/>
      <c r="U201" s="3"/>
      <c r="V201" s="17"/>
      <c r="W201" s="18"/>
      <c r="X201" s="18"/>
      <c r="Y201" s="20"/>
      <c r="Z201" s="20"/>
      <c r="AA201" s="20"/>
      <c r="AB201" s="20"/>
      <c r="AC201" s="24"/>
      <c r="AD201" s="20"/>
      <c r="AE201" s="20"/>
      <c r="AF201" s="20"/>
      <c r="AG201" s="20"/>
      <c r="AH201" s="20"/>
      <c r="AI201" s="20"/>
      <c r="AJ201" s="20"/>
    </row>
    <row r="202" customFormat="false" ht="15.75" hidden="false" customHeight="true" outlineLevel="0" collapsed="false">
      <c r="A202" s="127"/>
      <c r="B202" s="3"/>
      <c r="C202" s="3"/>
      <c r="D202" s="5"/>
      <c r="E202" s="5"/>
      <c r="F202" s="128"/>
      <c r="G202" s="129"/>
      <c r="H202" s="8"/>
      <c r="I202" s="130"/>
      <c r="J202" s="130"/>
      <c r="K202" s="130"/>
      <c r="L202" s="130"/>
      <c r="M202" s="130"/>
      <c r="N202" s="14"/>
      <c r="O202" s="14"/>
      <c r="P202" s="15"/>
      <c r="Q202" s="14"/>
      <c r="R202" s="15"/>
      <c r="S202" s="14"/>
      <c r="T202" s="8"/>
      <c r="U202" s="3"/>
      <c r="V202" s="17"/>
      <c r="W202" s="18"/>
      <c r="X202" s="18"/>
      <c r="Y202" s="20"/>
      <c r="Z202" s="20"/>
      <c r="AA202" s="20"/>
      <c r="AB202" s="20"/>
      <c r="AC202" s="24"/>
      <c r="AD202" s="20"/>
      <c r="AE202" s="20"/>
      <c r="AF202" s="20"/>
      <c r="AG202" s="20"/>
      <c r="AH202" s="20"/>
      <c r="AI202" s="20"/>
      <c r="AJ202" s="20"/>
    </row>
    <row r="203" customFormat="false" ht="15.75" hidden="false" customHeight="true" outlineLevel="0" collapsed="false">
      <c r="A203" s="127"/>
      <c r="B203" s="3"/>
      <c r="C203" s="3"/>
      <c r="D203" s="5"/>
      <c r="E203" s="5"/>
      <c r="F203" s="128"/>
      <c r="G203" s="129"/>
      <c r="H203" s="8"/>
      <c r="I203" s="130"/>
      <c r="J203" s="130"/>
      <c r="K203" s="130"/>
      <c r="L203" s="130"/>
      <c r="M203" s="130"/>
      <c r="N203" s="14"/>
      <c r="O203" s="14"/>
      <c r="P203" s="15"/>
      <c r="Q203" s="14"/>
      <c r="R203" s="15"/>
      <c r="S203" s="14"/>
      <c r="T203" s="8"/>
      <c r="U203" s="3"/>
      <c r="V203" s="17"/>
      <c r="W203" s="18"/>
      <c r="X203" s="18"/>
      <c r="Y203" s="20"/>
      <c r="Z203" s="20"/>
      <c r="AA203" s="20"/>
      <c r="AB203" s="20"/>
      <c r="AC203" s="24"/>
      <c r="AD203" s="20"/>
      <c r="AE203" s="20"/>
      <c r="AF203" s="20"/>
      <c r="AG203" s="20"/>
      <c r="AH203" s="20"/>
      <c r="AI203" s="20"/>
      <c r="AJ203" s="20"/>
    </row>
    <row r="204" customFormat="false" ht="15.75" hidden="false" customHeight="true" outlineLevel="0" collapsed="false">
      <c r="A204" s="127"/>
      <c r="B204" s="3"/>
      <c r="C204" s="3"/>
      <c r="D204" s="5"/>
      <c r="E204" s="5"/>
      <c r="F204" s="128"/>
      <c r="G204" s="129"/>
      <c r="H204" s="8"/>
      <c r="I204" s="130"/>
      <c r="J204" s="130"/>
      <c r="K204" s="130"/>
      <c r="L204" s="130"/>
      <c r="M204" s="130"/>
      <c r="N204" s="14"/>
      <c r="O204" s="14"/>
      <c r="P204" s="15"/>
      <c r="Q204" s="14"/>
      <c r="R204" s="15"/>
      <c r="S204" s="14"/>
      <c r="T204" s="8"/>
      <c r="U204" s="3"/>
      <c r="V204" s="17"/>
      <c r="W204" s="18"/>
      <c r="X204" s="18"/>
      <c r="Y204" s="20"/>
      <c r="Z204" s="20"/>
      <c r="AA204" s="20"/>
      <c r="AB204" s="20"/>
      <c r="AC204" s="24"/>
      <c r="AD204" s="20"/>
      <c r="AE204" s="20"/>
      <c r="AF204" s="20"/>
      <c r="AG204" s="20"/>
      <c r="AH204" s="20"/>
      <c r="AI204" s="20"/>
      <c r="AJ204" s="20"/>
    </row>
    <row r="205" customFormat="false" ht="15.75" hidden="false" customHeight="true" outlineLevel="0" collapsed="false">
      <c r="A205" s="127"/>
      <c r="B205" s="3"/>
      <c r="C205" s="3"/>
      <c r="D205" s="5"/>
      <c r="E205" s="5"/>
      <c r="F205" s="128"/>
      <c r="G205" s="129"/>
      <c r="H205" s="8"/>
      <c r="I205" s="130"/>
      <c r="J205" s="130"/>
      <c r="K205" s="130"/>
      <c r="L205" s="130"/>
      <c r="M205" s="130"/>
      <c r="N205" s="14"/>
      <c r="O205" s="14"/>
      <c r="P205" s="15"/>
      <c r="Q205" s="14"/>
      <c r="R205" s="15"/>
      <c r="S205" s="14"/>
      <c r="T205" s="8"/>
      <c r="U205" s="3"/>
      <c r="V205" s="17"/>
      <c r="W205" s="18"/>
      <c r="X205" s="18"/>
      <c r="Y205" s="20"/>
      <c r="Z205" s="20"/>
      <c r="AA205" s="20"/>
      <c r="AB205" s="20"/>
      <c r="AC205" s="24"/>
      <c r="AD205" s="20"/>
      <c r="AE205" s="20"/>
      <c r="AF205" s="20"/>
      <c r="AG205" s="20"/>
      <c r="AH205" s="20"/>
      <c r="AI205" s="20"/>
      <c r="AJ205" s="20"/>
    </row>
    <row r="206" customFormat="false" ht="15.75" hidden="false" customHeight="true" outlineLevel="0" collapsed="false">
      <c r="A206" s="127"/>
      <c r="B206" s="3"/>
      <c r="C206" s="3"/>
      <c r="D206" s="5"/>
      <c r="E206" s="5"/>
      <c r="F206" s="128"/>
      <c r="G206" s="129"/>
      <c r="H206" s="8"/>
      <c r="I206" s="130"/>
      <c r="J206" s="130"/>
      <c r="K206" s="130"/>
      <c r="L206" s="130"/>
      <c r="M206" s="130"/>
      <c r="N206" s="14"/>
      <c r="O206" s="14"/>
      <c r="P206" s="15"/>
      <c r="Q206" s="14"/>
      <c r="R206" s="15"/>
      <c r="S206" s="14"/>
      <c r="T206" s="8"/>
      <c r="U206" s="3"/>
      <c r="V206" s="17"/>
      <c r="W206" s="18"/>
      <c r="X206" s="18"/>
      <c r="Y206" s="20"/>
      <c r="Z206" s="20"/>
      <c r="AA206" s="20"/>
      <c r="AB206" s="20"/>
      <c r="AC206" s="24"/>
      <c r="AD206" s="20"/>
      <c r="AE206" s="20"/>
      <c r="AF206" s="20"/>
      <c r="AG206" s="20"/>
      <c r="AH206" s="20"/>
      <c r="AI206" s="20"/>
      <c r="AJ206" s="20"/>
    </row>
    <row r="207" customFormat="false" ht="15.75" hidden="false" customHeight="true" outlineLevel="0" collapsed="false">
      <c r="A207" s="127"/>
      <c r="B207" s="3"/>
      <c r="C207" s="3"/>
      <c r="D207" s="5"/>
      <c r="E207" s="5"/>
      <c r="F207" s="128"/>
      <c r="G207" s="129"/>
      <c r="H207" s="8"/>
      <c r="I207" s="130"/>
      <c r="J207" s="130"/>
      <c r="K207" s="130"/>
      <c r="L207" s="130"/>
      <c r="M207" s="130"/>
      <c r="N207" s="14"/>
      <c r="O207" s="14"/>
      <c r="P207" s="15"/>
      <c r="Q207" s="14"/>
      <c r="R207" s="15"/>
      <c r="S207" s="14"/>
      <c r="T207" s="8"/>
      <c r="U207" s="3"/>
      <c r="V207" s="17"/>
      <c r="W207" s="18"/>
      <c r="X207" s="18"/>
      <c r="Y207" s="20"/>
      <c r="Z207" s="20"/>
      <c r="AA207" s="20"/>
      <c r="AB207" s="20"/>
      <c r="AC207" s="24"/>
      <c r="AD207" s="20"/>
      <c r="AE207" s="20"/>
      <c r="AF207" s="20"/>
      <c r="AG207" s="20"/>
      <c r="AH207" s="20"/>
      <c r="AI207" s="20"/>
      <c r="AJ207" s="20"/>
    </row>
    <row r="208" customFormat="false" ht="15.75" hidden="false" customHeight="true" outlineLevel="0" collapsed="false">
      <c r="A208" s="127"/>
      <c r="B208" s="3"/>
      <c r="C208" s="3"/>
      <c r="D208" s="5"/>
      <c r="E208" s="5"/>
      <c r="F208" s="128"/>
      <c r="G208" s="129"/>
      <c r="H208" s="8"/>
      <c r="I208" s="130"/>
      <c r="J208" s="130"/>
      <c r="K208" s="130"/>
      <c r="L208" s="130"/>
      <c r="M208" s="130"/>
      <c r="N208" s="14"/>
      <c r="O208" s="14"/>
      <c r="P208" s="15"/>
      <c r="Q208" s="14"/>
      <c r="R208" s="15"/>
      <c r="S208" s="14"/>
      <c r="T208" s="8"/>
      <c r="U208" s="3"/>
      <c r="V208" s="17"/>
      <c r="W208" s="18"/>
      <c r="X208" s="18"/>
      <c r="Y208" s="20"/>
      <c r="Z208" s="20"/>
      <c r="AA208" s="20"/>
      <c r="AB208" s="20"/>
      <c r="AC208" s="24"/>
      <c r="AD208" s="20"/>
      <c r="AE208" s="20"/>
      <c r="AF208" s="20"/>
      <c r="AG208" s="20"/>
      <c r="AH208" s="20"/>
      <c r="AI208" s="20"/>
      <c r="AJ208" s="20"/>
    </row>
    <row r="209" customFormat="false" ht="15.75" hidden="false" customHeight="true" outlineLevel="0" collapsed="false">
      <c r="A209" s="127"/>
      <c r="B209" s="3"/>
      <c r="C209" s="3"/>
      <c r="D209" s="5"/>
      <c r="E209" s="5"/>
      <c r="F209" s="128"/>
      <c r="G209" s="129"/>
      <c r="H209" s="8"/>
      <c r="I209" s="130"/>
      <c r="J209" s="130"/>
      <c r="K209" s="130"/>
      <c r="L209" s="130"/>
      <c r="M209" s="130"/>
      <c r="N209" s="14"/>
      <c r="O209" s="14"/>
      <c r="P209" s="15"/>
      <c r="Q209" s="14"/>
      <c r="R209" s="15"/>
      <c r="S209" s="14"/>
      <c r="T209" s="8"/>
      <c r="U209" s="3"/>
      <c r="V209" s="17"/>
      <c r="W209" s="18"/>
      <c r="X209" s="18"/>
      <c r="Y209" s="20"/>
      <c r="Z209" s="20"/>
      <c r="AA209" s="20"/>
      <c r="AB209" s="20"/>
      <c r="AC209" s="24"/>
      <c r="AD209" s="20"/>
      <c r="AE209" s="20"/>
      <c r="AF209" s="20"/>
      <c r="AG209" s="20"/>
      <c r="AH209" s="20"/>
      <c r="AI209" s="20"/>
      <c r="AJ209" s="20"/>
    </row>
    <row r="210" customFormat="false" ht="15.75" hidden="false" customHeight="true" outlineLevel="0" collapsed="false">
      <c r="A210" s="127"/>
      <c r="B210" s="3"/>
      <c r="C210" s="3"/>
      <c r="D210" s="5"/>
      <c r="E210" s="5"/>
      <c r="F210" s="128"/>
      <c r="G210" s="129"/>
      <c r="H210" s="8"/>
      <c r="I210" s="130"/>
      <c r="J210" s="130"/>
      <c r="K210" s="130"/>
      <c r="L210" s="130"/>
      <c r="M210" s="130"/>
      <c r="N210" s="14"/>
      <c r="O210" s="14"/>
      <c r="P210" s="15"/>
      <c r="Q210" s="14"/>
      <c r="R210" s="15"/>
      <c r="S210" s="14"/>
      <c r="T210" s="8"/>
      <c r="U210" s="3"/>
      <c r="V210" s="17"/>
      <c r="W210" s="18"/>
      <c r="X210" s="18"/>
      <c r="Y210" s="20"/>
      <c r="Z210" s="20"/>
      <c r="AA210" s="20"/>
      <c r="AB210" s="20"/>
      <c r="AC210" s="24"/>
      <c r="AD210" s="20"/>
      <c r="AE210" s="20"/>
      <c r="AF210" s="20"/>
      <c r="AG210" s="20"/>
      <c r="AH210" s="20"/>
      <c r="AI210" s="20"/>
      <c r="AJ210" s="20"/>
    </row>
    <row r="211" customFormat="false" ht="15.75" hidden="false" customHeight="true" outlineLevel="0" collapsed="false">
      <c r="A211" s="127"/>
      <c r="B211" s="3"/>
      <c r="C211" s="3"/>
      <c r="D211" s="5"/>
      <c r="E211" s="5"/>
      <c r="F211" s="128"/>
      <c r="G211" s="129"/>
      <c r="H211" s="8"/>
      <c r="I211" s="130"/>
      <c r="J211" s="130"/>
      <c r="K211" s="130"/>
      <c r="L211" s="130"/>
      <c r="M211" s="130"/>
      <c r="N211" s="14"/>
      <c r="O211" s="14"/>
      <c r="P211" s="15"/>
      <c r="Q211" s="14"/>
      <c r="R211" s="15"/>
      <c r="S211" s="14"/>
      <c r="T211" s="8"/>
      <c r="U211" s="3"/>
      <c r="V211" s="17"/>
      <c r="W211" s="18"/>
      <c r="X211" s="18"/>
      <c r="Y211" s="20"/>
      <c r="Z211" s="20"/>
      <c r="AA211" s="20"/>
      <c r="AB211" s="20"/>
      <c r="AC211" s="24"/>
      <c r="AD211" s="20"/>
      <c r="AE211" s="20"/>
      <c r="AF211" s="20"/>
      <c r="AG211" s="20"/>
      <c r="AH211" s="20"/>
      <c r="AI211" s="20"/>
      <c r="AJ211" s="20"/>
    </row>
    <row r="212" customFormat="false" ht="15.75" hidden="false" customHeight="true" outlineLevel="0" collapsed="false">
      <c r="A212" s="127"/>
      <c r="B212" s="3"/>
      <c r="C212" s="3"/>
      <c r="D212" s="5"/>
      <c r="E212" s="5"/>
      <c r="F212" s="128"/>
      <c r="G212" s="129"/>
      <c r="H212" s="8"/>
      <c r="I212" s="130"/>
      <c r="J212" s="130"/>
      <c r="K212" s="130"/>
      <c r="L212" s="130"/>
      <c r="M212" s="130"/>
      <c r="N212" s="14"/>
      <c r="O212" s="14"/>
      <c r="P212" s="15"/>
      <c r="Q212" s="14"/>
      <c r="R212" s="15"/>
      <c r="S212" s="14"/>
      <c r="T212" s="8"/>
      <c r="U212" s="3"/>
      <c r="V212" s="17"/>
      <c r="W212" s="18"/>
      <c r="X212" s="18"/>
      <c r="Y212" s="20"/>
      <c r="Z212" s="20"/>
      <c r="AA212" s="20"/>
      <c r="AB212" s="20"/>
      <c r="AC212" s="24"/>
      <c r="AD212" s="20"/>
      <c r="AE212" s="20"/>
      <c r="AF212" s="20"/>
      <c r="AG212" s="20"/>
      <c r="AH212" s="20"/>
      <c r="AI212" s="20"/>
      <c r="AJ212" s="20"/>
    </row>
    <row r="213" customFormat="false" ht="15.75" hidden="false" customHeight="true" outlineLevel="0" collapsed="false">
      <c r="A213" s="127"/>
      <c r="B213" s="3"/>
      <c r="C213" s="3"/>
      <c r="D213" s="5"/>
      <c r="E213" s="5"/>
      <c r="F213" s="128"/>
      <c r="G213" s="129"/>
      <c r="H213" s="8"/>
      <c r="I213" s="130"/>
      <c r="J213" s="130"/>
      <c r="K213" s="130"/>
      <c r="L213" s="130"/>
      <c r="M213" s="130"/>
      <c r="N213" s="14"/>
      <c r="O213" s="14"/>
      <c r="P213" s="15"/>
      <c r="Q213" s="14"/>
      <c r="R213" s="15"/>
      <c r="S213" s="14"/>
      <c r="T213" s="8"/>
      <c r="U213" s="3"/>
      <c r="V213" s="17"/>
      <c r="W213" s="18"/>
      <c r="X213" s="18"/>
      <c r="Y213" s="20"/>
      <c r="Z213" s="20"/>
      <c r="AA213" s="20"/>
      <c r="AB213" s="20"/>
      <c r="AC213" s="24"/>
      <c r="AD213" s="20"/>
      <c r="AE213" s="20"/>
      <c r="AF213" s="20"/>
      <c r="AG213" s="20"/>
      <c r="AH213" s="20"/>
      <c r="AI213" s="20"/>
      <c r="AJ213" s="20"/>
    </row>
    <row r="214" customFormat="false" ht="15.75" hidden="false" customHeight="true" outlineLevel="0" collapsed="false">
      <c r="A214" s="127"/>
      <c r="B214" s="3"/>
      <c r="C214" s="3"/>
      <c r="D214" s="5"/>
      <c r="E214" s="5"/>
      <c r="F214" s="128"/>
      <c r="G214" s="129"/>
      <c r="H214" s="8"/>
      <c r="I214" s="130"/>
      <c r="J214" s="130"/>
      <c r="K214" s="130"/>
      <c r="L214" s="130"/>
      <c r="M214" s="130"/>
      <c r="N214" s="14"/>
      <c r="O214" s="14"/>
      <c r="P214" s="15"/>
      <c r="Q214" s="14"/>
      <c r="R214" s="15"/>
      <c r="S214" s="14"/>
      <c r="T214" s="8"/>
      <c r="U214" s="3"/>
      <c r="V214" s="17"/>
      <c r="W214" s="18"/>
      <c r="X214" s="18"/>
      <c r="Y214" s="20"/>
      <c r="Z214" s="20"/>
      <c r="AA214" s="20"/>
      <c r="AB214" s="20"/>
      <c r="AC214" s="24"/>
      <c r="AD214" s="20"/>
      <c r="AE214" s="20"/>
      <c r="AF214" s="20"/>
      <c r="AG214" s="20"/>
      <c r="AH214" s="20"/>
      <c r="AI214" s="20"/>
      <c r="AJ214" s="20"/>
    </row>
    <row r="215" customFormat="false" ht="15.75" hidden="false" customHeight="true" outlineLevel="0" collapsed="false">
      <c r="D215" s="4"/>
      <c r="E215" s="4"/>
      <c r="F215" s="130"/>
      <c r="G215" s="7"/>
      <c r="H215" s="4"/>
      <c r="I215" s="9"/>
      <c r="J215" s="9"/>
      <c r="K215" s="9"/>
      <c r="L215" s="9"/>
      <c r="M215" s="9"/>
      <c r="N215" s="4"/>
      <c r="O215" s="4"/>
      <c r="P215" s="4"/>
      <c r="Q215" s="4"/>
      <c r="R215" s="4"/>
      <c r="S215" s="4"/>
      <c r="T215" s="4"/>
      <c r="V215" s="132"/>
      <c r="W215" s="133"/>
      <c r="X215" s="133"/>
      <c r="AC215" s="134"/>
    </row>
    <row r="216" customFormat="false" ht="15.75" hidden="false" customHeight="true" outlineLevel="0" collapsed="false">
      <c r="D216" s="4"/>
      <c r="E216" s="4"/>
      <c r="F216" s="130"/>
      <c r="G216" s="7"/>
      <c r="H216" s="4"/>
      <c r="I216" s="9"/>
      <c r="J216" s="9"/>
      <c r="K216" s="9"/>
      <c r="L216" s="9"/>
      <c r="M216" s="9"/>
      <c r="N216" s="4"/>
      <c r="O216" s="4"/>
      <c r="P216" s="4"/>
      <c r="Q216" s="4"/>
      <c r="R216" s="4"/>
      <c r="S216" s="4"/>
      <c r="T216" s="4"/>
      <c r="V216" s="132"/>
      <c r="W216" s="133"/>
      <c r="X216" s="133"/>
      <c r="AC216" s="134"/>
    </row>
    <row r="217" customFormat="false" ht="15.75" hidden="false" customHeight="true" outlineLevel="0" collapsed="false">
      <c r="D217" s="4"/>
      <c r="E217" s="4"/>
      <c r="F217" s="130"/>
      <c r="G217" s="7"/>
      <c r="H217" s="4"/>
      <c r="I217" s="9"/>
      <c r="J217" s="9"/>
      <c r="K217" s="9"/>
      <c r="L217" s="9"/>
      <c r="M217" s="9"/>
      <c r="N217" s="4"/>
      <c r="O217" s="4"/>
      <c r="P217" s="4"/>
      <c r="Q217" s="4"/>
      <c r="R217" s="4"/>
      <c r="S217" s="4"/>
      <c r="T217" s="4"/>
      <c r="V217" s="132"/>
      <c r="W217" s="133"/>
      <c r="X217" s="133"/>
      <c r="AC217" s="134"/>
    </row>
    <row r="218" customFormat="false" ht="15.75" hidden="false" customHeight="true" outlineLevel="0" collapsed="false">
      <c r="D218" s="4"/>
      <c r="E218" s="4"/>
      <c r="F218" s="130"/>
      <c r="G218" s="7"/>
      <c r="H218" s="4"/>
      <c r="I218" s="9"/>
      <c r="J218" s="9"/>
      <c r="K218" s="9"/>
      <c r="L218" s="9"/>
      <c r="M218" s="9"/>
      <c r="N218" s="4"/>
      <c r="O218" s="4"/>
      <c r="P218" s="4"/>
      <c r="Q218" s="4"/>
      <c r="R218" s="4"/>
      <c r="S218" s="4"/>
      <c r="T218" s="4"/>
      <c r="V218" s="132"/>
      <c r="W218" s="133"/>
      <c r="X218" s="133"/>
      <c r="AC218" s="134"/>
    </row>
    <row r="219" customFormat="false" ht="15.75" hidden="false" customHeight="true" outlineLevel="0" collapsed="false">
      <c r="D219" s="4"/>
      <c r="E219" s="4"/>
      <c r="F219" s="130"/>
      <c r="G219" s="7"/>
      <c r="H219" s="4"/>
      <c r="I219" s="9"/>
      <c r="J219" s="9"/>
      <c r="K219" s="9"/>
      <c r="L219" s="9"/>
      <c r="M219" s="9"/>
      <c r="N219" s="4"/>
      <c r="O219" s="4"/>
      <c r="P219" s="4"/>
      <c r="Q219" s="4"/>
      <c r="R219" s="4"/>
      <c r="S219" s="4"/>
      <c r="T219" s="4"/>
      <c r="V219" s="132"/>
      <c r="W219" s="133"/>
      <c r="X219" s="133"/>
      <c r="AC219" s="134"/>
    </row>
    <row r="220" customFormat="false" ht="15.75" hidden="false" customHeight="true" outlineLevel="0" collapsed="false">
      <c r="D220" s="4"/>
      <c r="E220" s="4"/>
      <c r="F220" s="130"/>
      <c r="G220" s="7"/>
      <c r="H220" s="4"/>
      <c r="I220" s="9"/>
      <c r="J220" s="9"/>
      <c r="K220" s="9"/>
      <c r="L220" s="9"/>
      <c r="M220" s="9"/>
      <c r="N220" s="4"/>
      <c r="O220" s="4"/>
      <c r="P220" s="4"/>
      <c r="Q220" s="4"/>
      <c r="R220" s="4"/>
      <c r="S220" s="4"/>
      <c r="T220" s="4"/>
      <c r="V220" s="132"/>
      <c r="W220" s="133"/>
      <c r="X220" s="133"/>
      <c r="AC220" s="134"/>
    </row>
    <row r="221" customFormat="false" ht="15.75" hidden="false" customHeight="true" outlineLevel="0" collapsed="false">
      <c r="D221" s="4"/>
      <c r="E221" s="4"/>
      <c r="F221" s="130"/>
      <c r="G221" s="7"/>
      <c r="H221" s="4"/>
      <c r="I221" s="9"/>
      <c r="J221" s="9"/>
      <c r="K221" s="9"/>
      <c r="L221" s="9"/>
      <c r="M221" s="9"/>
      <c r="N221" s="4"/>
      <c r="O221" s="4"/>
      <c r="P221" s="4"/>
      <c r="Q221" s="4"/>
      <c r="R221" s="4"/>
      <c r="S221" s="4"/>
      <c r="T221" s="4"/>
      <c r="V221" s="132"/>
      <c r="W221" s="133"/>
      <c r="X221" s="133"/>
      <c r="AC221" s="134"/>
    </row>
    <row r="222" customFormat="false" ht="15.75" hidden="false" customHeight="true" outlineLevel="0" collapsed="false">
      <c r="D222" s="4"/>
      <c r="E222" s="4"/>
      <c r="F222" s="130"/>
      <c r="G222" s="7"/>
      <c r="H222" s="4"/>
      <c r="I222" s="9"/>
      <c r="J222" s="9"/>
      <c r="K222" s="9"/>
      <c r="L222" s="9"/>
      <c r="M222" s="9"/>
      <c r="N222" s="4"/>
      <c r="O222" s="4"/>
      <c r="P222" s="4"/>
      <c r="Q222" s="4"/>
      <c r="R222" s="4"/>
      <c r="S222" s="4"/>
      <c r="T222" s="4"/>
      <c r="V222" s="132"/>
      <c r="W222" s="133"/>
      <c r="X222" s="133"/>
      <c r="AC222" s="134"/>
    </row>
    <row r="223" customFormat="false" ht="15.75" hidden="false" customHeight="true" outlineLevel="0" collapsed="false">
      <c r="D223" s="4"/>
      <c r="E223" s="4"/>
      <c r="F223" s="130"/>
      <c r="G223" s="7"/>
      <c r="H223" s="4"/>
      <c r="I223" s="9"/>
      <c r="J223" s="9"/>
      <c r="K223" s="9"/>
      <c r="L223" s="9"/>
      <c r="M223" s="9"/>
      <c r="N223" s="4"/>
      <c r="O223" s="4"/>
      <c r="P223" s="4"/>
      <c r="Q223" s="4"/>
      <c r="R223" s="4"/>
      <c r="S223" s="4"/>
      <c r="T223" s="4"/>
      <c r="V223" s="132"/>
      <c r="W223" s="133"/>
      <c r="X223" s="133"/>
      <c r="AC223" s="134"/>
    </row>
    <row r="224" customFormat="false" ht="15.75" hidden="false" customHeight="true" outlineLevel="0" collapsed="false">
      <c r="D224" s="4"/>
      <c r="E224" s="4"/>
      <c r="F224" s="130"/>
      <c r="G224" s="7"/>
      <c r="H224" s="4"/>
      <c r="I224" s="9"/>
      <c r="J224" s="9"/>
      <c r="K224" s="9"/>
      <c r="L224" s="9"/>
      <c r="M224" s="9"/>
      <c r="N224" s="4"/>
      <c r="O224" s="4"/>
      <c r="P224" s="4"/>
      <c r="Q224" s="4"/>
      <c r="R224" s="4"/>
      <c r="S224" s="4"/>
      <c r="T224" s="4"/>
      <c r="V224" s="132"/>
      <c r="W224" s="133"/>
      <c r="X224" s="133"/>
      <c r="AC224" s="134"/>
    </row>
    <row r="225" customFormat="false" ht="15.75" hidden="false" customHeight="true" outlineLevel="0" collapsed="false">
      <c r="D225" s="4"/>
      <c r="E225" s="4"/>
      <c r="F225" s="130"/>
      <c r="G225" s="7"/>
      <c r="H225" s="4"/>
      <c r="I225" s="9"/>
      <c r="J225" s="9"/>
      <c r="K225" s="9"/>
      <c r="L225" s="9"/>
      <c r="M225" s="9"/>
      <c r="N225" s="4"/>
      <c r="O225" s="4"/>
      <c r="P225" s="4"/>
      <c r="Q225" s="4"/>
      <c r="R225" s="4"/>
      <c r="S225" s="4"/>
      <c r="T225" s="4"/>
      <c r="V225" s="132"/>
      <c r="W225" s="133"/>
      <c r="X225" s="133"/>
      <c r="AC225" s="134"/>
    </row>
    <row r="226" customFormat="false" ht="15.75" hidden="false" customHeight="true" outlineLevel="0" collapsed="false">
      <c r="D226" s="4"/>
      <c r="E226" s="4"/>
      <c r="F226" s="130"/>
      <c r="G226" s="7"/>
      <c r="H226" s="4"/>
      <c r="I226" s="9"/>
      <c r="J226" s="9"/>
      <c r="K226" s="9"/>
      <c r="L226" s="9"/>
      <c r="M226" s="9"/>
      <c r="N226" s="4"/>
      <c r="O226" s="4"/>
      <c r="P226" s="4"/>
      <c r="Q226" s="4"/>
      <c r="R226" s="4"/>
      <c r="S226" s="4"/>
      <c r="T226" s="4"/>
      <c r="V226" s="132"/>
      <c r="W226" s="133"/>
      <c r="X226" s="133"/>
      <c r="AC226" s="134"/>
    </row>
    <row r="227" customFormat="false" ht="15.75" hidden="false" customHeight="true" outlineLevel="0" collapsed="false">
      <c r="D227" s="4"/>
      <c r="E227" s="4"/>
      <c r="F227" s="130"/>
      <c r="G227" s="7"/>
      <c r="H227" s="4"/>
      <c r="I227" s="9"/>
      <c r="J227" s="9"/>
      <c r="K227" s="9"/>
      <c r="L227" s="9"/>
      <c r="M227" s="9"/>
      <c r="N227" s="4"/>
      <c r="O227" s="4"/>
      <c r="P227" s="4"/>
      <c r="Q227" s="4"/>
      <c r="R227" s="4"/>
      <c r="S227" s="4"/>
      <c r="T227" s="4"/>
      <c r="V227" s="132"/>
      <c r="W227" s="133"/>
      <c r="X227" s="133"/>
      <c r="AC227" s="134"/>
    </row>
    <row r="228" customFormat="false" ht="15.75" hidden="false" customHeight="true" outlineLevel="0" collapsed="false">
      <c r="D228" s="4"/>
      <c r="E228" s="4"/>
      <c r="F228" s="130"/>
      <c r="G228" s="7"/>
      <c r="H228" s="4"/>
      <c r="I228" s="9"/>
      <c r="J228" s="9"/>
      <c r="K228" s="9"/>
      <c r="L228" s="9"/>
      <c r="M228" s="9"/>
      <c r="N228" s="4"/>
      <c r="O228" s="4"/>
      <c r="P228" s="4"/>
      <c r="Q228" s="4"/>
      <c r="R228" s="4"/>
      <c r="S228" s="4"/>
      <c r="T228" s="4"/>
      <c r="V228" s="132"/>
      <c r="W228" s="133"/>
      <c r="X228" s="133"/>
      <c r="AC228" s="134"/>
    </row>
    <row r="229" customFormat="false" ht="15.75" hidden="false" customHeight="true" outlineLevel="0" collapsed="false">
      <c r="D229" s="4"/>
      <c r="E229" s="4"/>
      <c r="F229" s="130"/>
      <c r="G229" s="7"/>
      <c r="H229" s="4"/>
      <c r="I229" s="9"/>
      <c r="J229" s="9"/>
      <c r="K229" s="9"/>
      <c r="L229" s="9"/>
      <c r="M229" s="9"/>
      <c r="N229" s="4"/>
      <c r="O229" s="4"/>
      <c r="P229" s="4"/>
      <c r="Q229" s="4"/>
      <c r="R229" s="4"/>
      <c r="S229" s="4"/>
      <c r="T229" s="4"/>
      <c r="V229" s="132"/>
      <c r="W229" s="133"/>
      <c r="X229" s="133"/>
      <c r="AC229" s="134"/>
    </row>
    <row r="230" customFormat="false" ht="15.75" hidden="false" customHeight="true" outlineLevel="0" collapsed="false">
      <c r="D230" s="4"/>
      <c r="E230" s="4"/>
      <c r="F230" s="130"/>
      <c r="G230" s="7"/>
      <c r="H230" s="4"/>
      <c r="I230" s="9"/>
      <c r="J230" s="9"/>
      <c r="K230" s="9"/>
      <c r="L230" s="9"/>
      <c r="M230" s="9"/>
      <c r="N230" s="4"/>
      <c r="O230" s="4"/>
      <c r="P230" s="4"/>
      <c r="Q230" s="4"/>
      <c r="R230" s="4"/>
      <c r="S230" s="4"/>
      <c r="T230" s="4"/>
      <c r="V230" s="132"/>
      <c r="W230" s="133"/>
      <c r="X230" s="133"/>
      <c r="AC230" s="134"/>
    </row>
    <row r="231" customFormat="false" ht="15.75" hidden="false" customHeight="true" outlineLevel="0" collapsed="false">
      <c r="D231" s="4"/>
      <c r="E231" s="4"/>
      <c r="F231" s="130"/>
      <c r="G231" s="7"/>
      <c r="H231" s="4"/>
      <c r="I231" s="9"/>
      <c r="J231" s="9"/>
      <c r="K231" s="9"/>
      <c r="L231" s="9"/>
      <c r="M231" s="9"/>
      <c r="N231" s="4"/>
      <c r="O231" s="4"/>
      <c r="P231" s="4"/>
      <c r="Q231" s="4"/>
      <c r="R231" s="4"/>
      <c r="S231" s="4"/>
      <c r="T231" s="4"/>
      <c r="V231" s="132"/>
      <c r="W231" s="133"/>
      <c r="X231" s="133"/>
      <c r="AC231" s="134"/>
    </row>
    <row r="232" customFormat="false" ht="15.75" hidden="false" customHeight="true" outlineLevel="0" collapsed="false">
      <c r="D232" s="4"/>
      <c r="E232" s="4"/>
      <c r="F232" s="130"/>
      <c r="G232" s="7"/>
      <c r="H232" s="4"/>
      <c r="I232" s="9"/>
      <c r="J232" s="9"/>
      <c r="K232" s="9"/>
      <c r="L232" s="9"/>
      <c r="M232" s="9"/>
      <c r="N232" s="4"/>
      <c r="O232" s="4"/>
      <c r="P232" s="4"/>
      <c r="Q232" s="4"/>
      <c r="R232" s="4"/>
      <c r="S232" s="4"/>
      <c r="T232" s="4"/>
      <c r="V232" s="132"/>
      <c r="W232" s="133"/>
      <c r="X232" s="133"/>
      <c r="AC232" s="134"/>
    </row>
    <row r="233" customFormat="false" ht="15.75" hidden="false" customHeight="true" outlineLevel="0" collapsed="false">
      <c r="D233" s="4"/>
      <c r="E233" s="4"/>
      <c r="F233" s="130"/>
      <c r="G233" s="7"/>
      <c r="H233" s="4"/>
      <c r="I233" s="9"/>
      <c r="J233" s="9"/>
      <c r="K233" s="9"/>
      <c r="L233" s="9"/>
      <c r="M233" s="9"/>
      <c r="N233" s="4"/>
      <c r="O233" s="4"/>
      <c r="P233" s="4"/>
      <c r="Q233" s="4"/>
      <c r="R233" s="4"/>
      <c r="S233" s="4"/>
      <c r="T233" s="4"/>
      <c r="V233" s="132"/>
      <c r="W233" s="133"/>
      <c r="X233" s="133"/>
      <c r="AC233" s="134"/>
    </row>
    <row r="234" customFormat="false" ht="15.75" hidden="false" customHeight="true" outlineLevel="0" collapsed="false">
      <c r="D234" s="4"/>
      <c r="E234" s="4"/>
      <c r="F234" s="130"/>
      <c r="G234" s="7"/>
      <c r="H234" s="4"/>
      <c r="I234" s="9"/>
      <c r="J234" s="9"/>
      <c r="K234" s="9"/>
      <c r="L234" s="9"/>
      <c r="M234" s="9"/>
      <c r="N234" s="4"/>
      <c r="O234" s="4"/>
      <c r="P234" s="4"/>
      <c r="Q234" s="4"/>
      <c r="R234" s="4"/>
      <c r="S234" s="4"/>
      <c r="T234" s="4"/>
      <c r="V234" s="132"/>
      <c r="W234" s="133"/>
      <c r="X234" s="133"/>
      <c r="AC234" s="134"/>
    </row>
    <row r="235" customFormat="false" ht="15.75" hidden="false" customHeight="true" outlineLevel="0" collapsed="false">
      <c r="D235" s="4"/>
      <c r="E235" s="4"/>
      <c r="F235" s="130"/>
      <c r="G235" s="7"/>
      <c r="H235" s="4"/>
      <c r="I235" s="9"/>
      <c r="J235" s="9"/>
      <c r="K235" s="9"/>
      <c r="L235" s="9"/>
      <c r="M235" s="9"/>
      <c r="N235" s="4"/>
      <c r="O235" s="4"/>
      <c r="P235" s="4"/>
      <c r="Q235" s="4"/>
      <c r="R235" s="4"/>
      <c r="S235" s="4"/>
      <c r="T235" s="4"/>
      <c r="V235" s="132"/>
      <c r="W235" s="133"/>
      <c r="X235" s="133"/>
      <c r="AC235" s="134"/>
    </row>
    <row r="236" customFormat="false" ht="15.75" hidden="false" customHeight="true" outlineLevel="0" collapsed="false">
      <c r="D236" s="4"/>
      <c r="E236" s="4"/>
      <c r="F236" s="130"/>
      <c r="G236" s="7"/>
      <c r="H236" s="4"/>
      <c r="I236" s="9"/>
      <c r="J236" s="9"/>
      <c r="K236" s="9"/>
      <c r="L236" s="9"/>
      <c r="M236" s="9"/>
      <c r="N236" s="4"/>
      <c r="O236" s="4"/>
      <c r="P236" s="4"/>
      <c r="Q236" s="4"/>
      <c r="R236" s="4"/>
      <c r="S236" s="4"/>
      <c r="T236" s="4"/>
      <c r="V236" s="132"/>
      <c r="W236" s="133"/>
      <c r="X236" s="133"/>
      <c r="AC236" s="134"/>
    </row>
    <row r="237" customFormat="false" ht="15.75" hidden="false" customHeight="true" outlineLevel="0" collapsed="false">
      <c r="D237" s="4"/>
      <c r="E237" s="4"/>
      <c r="F237" s="130"/>
      <c r="G237" s="7"/>
      <c r="H237" s="4"/>
      <c r="I237" s="9"/>
      <c r="J237" s="9"/>
      <c r="K237" s="9"/>
      <c r="L237" s="9"/>
      <c r="M237" s="9"/>
      <c r="N237" s="4"/>
      <c r="O237" s="4"/>
      <c r="P237" s="4"/>
      <c r="Q237" s="4"/>
      <c r="R237" s="4"/>
      <c r="S237" s="4"/>
      <c r="T237" s="4"/>
      <c r="V237" s="132"/>
      <c r="W237" s="133"/>
      <c r="X237" s="133"/>
      <c r="AC237" s="134"/>
    </row>
    <row r="238" customFormat="false" ht="15.75" hidden="false" customHeight="true" outlineLevel="0" collapsed="false">
      <c r="D238" s="4"/>
      <c r="E238" s="4"/>
      <c r="F238" s="130"/>
      <c r="G238" s="7"/>
      <c r="H238" s="4"/>
      <c r="I238" s="9"/>
      <c r="J238" s="9"/>
      <c r="K238" s="9"/>
      <c r="L238" s="9"/>
      <c r="M238" s="9"/>
      <c r="N238" s="4"/>
      <c r="O238" s="4"/>
      <c r="P238" s="4"/>
      <c r="Q238" s="4"/>
      <c r="R238" s="4"/>
      <c r="S238" s="4"/>
      <c r="T238" s="4"/>
      <c r="V238" s="132"/>
      <c r="W238" s="133"/>
      <c r="X238" s="133"/>
      <c r="AC238" s="134"/>
    </row>
    <row r="239" customFormat="false" ht="15.75" hidden="false" customHeight="true" outlineLevel="0" collapsed="false">
      <c r="D239" s="4"/>
      <c r="E239" s="4"/>
      <c r="F239" s="130"/>
      <c r="G239" s="7"/>
      <c r="H239" s="4"/>
      <c r="I239" s="9"/>
      <c r="J239" s="9"/>
      <c r="K239" s="9"/>
      <c r="L239" s="9"/>
      <c r="M239" s="9"/>
      <c r="N239" s="4"/>
      <c r="O239" s="4"/>
      <c r="P239" s="4"/>
      <c r="Q239" s="4"/>
      <c r="R239" s="4"/>
      <c r="S239" s="4"/>
      <c r="T239" s="4"/>
      <c r="V239" s="132"/>
      <c r="W239" s="133"/>
      <c r="X239" s="133"/>
      <c r="AC239" s="134"/>
    </row>
    <row r="240" customFormat="false" ht="15.75" hidden="false" customHeight="true" outlineLevel="0" collapsed="false">
      <c r="D240" s="4"/>
      <c r="E240" s="4"/>
      <c r="F240" s="130"/>
      <c r="G240" s="7"/>
      <c r="H240" s="4"/>
      <c r="I240" s="9"/>
      <c r="J240" s="9"/>
      <c r="K240" s="9"/>
      <c r="L240" s="9"/>
      <c r="M240" s="9"/>
      <c r="N240" s="4"/>
      <c r="O240" s="4"/>
      <c r="P240" s="4"/>
      <c r="Q240" s="4"/>
      <c r="R240" s="4"/>
      <c r="S240" s="4"/>
      <c r="T240" s="4"/>
      <c r="V240" s="132"/>
      <c r="W240" s="133"/>
      <c r="X240" s="133"/>
      <c r="AC240" s="134"/>
    </row>
    <row r="241" customFormat="false" ht="15.75" hidden="false" customHeight="true" outlineLevel="0" collapsed="false">
      <c r="D241" s="4"/>
      <c r="E241" s="4"/>
      <c r="F241" s="130"/>
      <c r="G241" s="7"/>
      <c r="H241" s="4"/>
      <c r="I241" s="9"/>
      <c r="J241" s="9"/>
      <c r="K241" s="9"/>
      <c r="L241" s="9"/>
      <c r="M241" s="9"/>
      <c r="N241" s="4"/>
      <c r="O241" s="4"/>
      <c r="P241" s="4"/>
      <c r="Q241" s="4"/>
      <c r="R241" s="4"/>
      <c r="S241" s="4"/>
      <c r="T241" s="4"/>
      <c r="V241" s="132"/>
      <c r="W241" s="133"/>
      <c r="X241" s="133"/>
      <c r="AC241" s="134"/>
    </row>
    <row r="242" customFormat="false" ht="15.75" hidden="false" customHeight="true" outlineLevel="0" collapsed="false">
      <c r="D242" s="4"/>
      <c r="E242" s="4"/>
      <c r="F242" s="130"/>
      <c r="G242" s="7"/>
      <c r="H242" s="4"/>
      <c r="I242" s="9"/>
      <c r="J242" s="9"/>
      <c r="K242" s="9"/>
      <c r="L242" s="9"/>
      <c r="M242" s="9"/>
      <c r="N242" s="4"/>
      <c r="O242" s="4"/>
      <c r="P242" s="4"/>
      <c r="Q242" s="4"/>
      <c r="R242" s="4"/>
      <c r="S242" s="4"/>
      <c r="T242" s="4"/>
      <c r="V242" s="132"/>
      <c r="W242" s="133"/>
      <c r="X242" s="133"/>
      <c r="AC242" s="134"/>
    </row>
    <row r="243" customFormat="false" ht="15.75" hidden="false" customHeight="true" outlineLevel="0" collapsed="false">
      <c r="D243" s="4"/>
      <c r="E243" s="4"/>
      <c r="F243" s="130"/>
      <c r="G243" s="7"/>
      <c r="H243" s="4"/>
      <c r="I243" s="9"/>
      <c r="J243" s="9"/>
      <c r="K243" s="9"/>
      <c r="L243" s="9"/>
      <c r="M243" s="9"/>
      <c r="N243" s="4"/>
      <c r="O243" s="4"/>
      <c r="P243" s="4"/>
      <c r="Q243" s="4"/>
      <c r="R243" s="4"/>
      <c r="S243" s="4"/>
      <c r="T243" s="4"/>
      <c r="V243" s="132"/>
      <c r="W243" s="133"/>
      <c r="X243" s="133"/>
      <c r="AC243" s="134"/>
    </row>
    <row r="244" customFormat="false" ht="15.75" hidden="false" customHeight="true" outlineLevel="0" collapsed="false">
      <c r="D244" s="4"/>
      <c r="E244" s="4"/>
      <c r="F244" s="130"/>
      <c r="G244" s="7"/>
      <c r="H244" s="4"/>
      <c r="I244" s="9"/>
      <c r="J244" s="9"/>
      <c r="K244" s="9"/>
      <c r="L244" s="9"/>
      <c r="M244" s="9"/>
      <c r="N244" s="4"/>
      <c r="O244" s="4"/>
      <c r="P244" s="4"/>
      <c r="Q244" s="4"/>
      <c r="R244" s="4"/>
      <c r="S244" s="4"/>
      <c r="T244" s="4"/>
      <c r="V244" s="132"/>
      <c r="W244" s="133"/>
      <c r="X244" s="133"/>
      <c r="AC244" s="134"/>
    </row>
    <row r="245" customFormat="false" ht="15.75" hidden="false" customHeight="true" outlineLevel="0" collapsed="false">
      <c r="D245" s="4"/>
      <c r="E245" s="4"/>
      <c r="F245" s="130"/>
      <c r="G245" s="7"/>
      <c r="H245" s="4"/>
      <c r="I245" s="9"/>
      <c r="J245" s="9"/>
      <c r="K245" s="9"/>
      <c r="L245" s="9"/>
      <c r="M245" s="9"/>
      <c r="N245" s="4"/>
      <c r="O245" s="4"/>
      <c r="P245" s="4"/>
      <c r="Q245" s="4"/>
      <c r="R245" s="4"/>
      <c r="S245" s="4"/>
      <c r="T245" s="4"/>
      <c r="V245" s="132"/>
      <c r="W245" s="133"/>
      <c r="X245" s="133"/>
      <c r="AC245" s="134"/>
    </row>
    <row r="246" customFormat="false" ht="15.75" hidden="false" customHeight="true" outlineLevel="0" collapsed="false">
      <c r="D246" s="4"/>
      <c r="E246" s="4"/>
      <c r="F246" s="130"/>
      <c r="G246" s="7"/>
      <c r="H246" s="4"/>
      <c r="I246" s="9"/>
      <c r="J246" s="9"/>
      <c r="K246" s="9"/>
      <c r="L246" s="9"/>
      <c r="M246" s="9"/>
      <c r="N246" s="4"/>
      <c r="O246" s="4"/>
      <c r="P246" s="4"/>
      <c r="Q246" s="4"/>
      <c r="R246" s="4"/>
      <c r="S246" s="4"/>
      <c r="T246" s="4"/>
      <c r="V246" s="132"/>
      <c r="W246" s="133"/>
      <c r="X246" s="133"/>
      <c r="AC246" s="134"/>
    </row>
    <row r="247" customFormat="false" ht="15.75" hidden="false" customHeight="true" outlineLevel="0" collapsed="false">
      <c r="D247" s="4"/>
      <c r="E247" s="4"/>
      <c r="F247" s="130"/>
      <c r="G247" s="7"/>
      <c r="H247" s="4"/>
      <c r="I247" s="9"/>
      <c r="J247" s="9"/>
      <c r="K247" s="9"/>
      <c r="L247" s="9"/>
      <c r="M247" s="9"/>
      <c r="N247" s="4"/>
      <c r="O247" s="4"/>
      <c r="P247" s="4"/>
      <c r="Q247" s="4"/>
      <c r="R247" s="4"/>
      <c r="S247" s="4"/>
      <c r="T247" s="4"/>
      <c r="V247" s="132"/>
      <c r="W247" s="133"/>
      <c r="X247" s="133"/>
      <c r="AC247" s="134"/>
    </row>
    <row r="248" customFormat="false" ht="15.75" hidden="false" customHeight="true" outlineLevel="0" collapsed="false">
      <c r="D248" s="4"/>
      <c r="E248" s="4"/>
      <c r="F248" s="130"/>
      <c r="G248" s="7"/>
      <c r="H248" s="4"/>
      <c r="I248" s="9"/>
      <c r="J248" s="9"/>
      <c r="K248" s="9"/>
      <c r="L248" s="9"/>
      <c r="M248" s="9"/>
      <c r="N248" s="4"/>
      <c r="O248" s="4"/>
      <c r="P248" s="4"/>
      <c r="Q248" s="4"/>
      <c r="R248" s="4"/>
      <c r="S248" s="4"/>
      <c r="T248" s="4"/>
      <c r="V248" s="132"/>
      <c r="W248" s="133"/>
      <c r="X248" s="133"/>
      <c r="AC248" s="134"/>
    </row>
    <row r="249" customFormat="false" ht="15.75" hidden="false" customHeight="true" outlineLevel="0" collapsed="false">
      <c r="D249" s="4"/>
      <c r="E249" s="4"/>
      <c r="F249" s="130"/>
      <c r="G249" s="7"/>
      <c r="H249" s="4"/>
      <c r="I249" s="9"/>
      <c r="J249" s="9"/>
      <c r="K249" s="9"/>
      <c r="L249" s="9"/>
      <c r="M249" s="9"/>
      <c r="N249" s="4"/>
      <c r="O249" s="4"/>
      <c r="P249" s="4"/>
      <c r="Q249" s="4"/>
      <c r="R249" s="4"/>
      <c r="S249" s="4"/>
      <c r="T249" s="4"/>
      <c r="V249" s="132"/>
      <c r="W249" s="133"/>
      <c r="X249" s="133"/>
      <c r="AC249" s="134"/>
    </row>
    <row r="250" customFormat="false" ht="15.75" hidden="false" customHeight="true" outlineLevel="0" collapsed="false">
      <c r="D250" s="4"/>
      <c r="E250" s="4"/>
      <c r="F250" s="130"/>
      <c r="G250" s="7"/>
      <c r="H250" s="4"/>
      <c r="I250" s="9"/>
      <c r="J250" s="9"/>
      <c r="K250" s="9"/>
      <c r="L250" s="9"/>
      <c r="M250" s="9"/>
      <c r="N250" s="4"/>
      <c r="O250" s="4"/>
      <c r="P250" s="4"/>
      <c r="Q250" s="4"/>
      <c r="R250" s="4"/>
      <c r="S250" s="4"/>
      <c r="T250" s="4"/>
      <c r="V250" s="132"/>
      <c r="W250" s="133"/>
      <c r="X250" s="133"/>
      <c r="AC250" s="134"/>
    </row>
    <row r="251" customFormat="false" ht="15.75" hidden="false" customHeight="true" outlineLevel="0" collapsed="false">
      <c r="D251" s="4"/>
      <c r="E251" s="4"/>
      <c r="F251" s="130"/>
      <c r="G251" s="7"/>
      <c r="H251" s="4"/>
      <c r="I251" s="9"/>
      <c r="J251" s="9"/>
      <c r="K251" s="9"/>
      <c r="L251" s="9"/>
      <c r="M251" s="9"/>
      <c r="N251" s="4"/>
      <c r="O251" s="4"/>
      <c r="P251" s="4"/>
      <c r="Q251" s="4"/>
      <c r="R251" s="4"/>
      <c r="S251" s="4"/>
      <c r="T251" s="4"/>
      <c r="V251" s="132"/>
      <c r="W251" s="133"/>
      <c r="X251" s="133"/>
      <c r="AC251" s="134"/>
    </row>
    <row r="252" customFormat="false" ht="15.75" hidden="false" customHeight="true" outlineLevel="0" collapsed="false">
      <c r="D252" s="4"/>
      <c r="E252" s="4"/>
      <c r="F252" s="130"/>
      <c r="G252" s="7"/>
      <c r="H252" s="4"/>
      <c r="I252" s="9"/>
      <c r="J252" s="9"/>
      <c r="K252" s="9"/>
      <c r="L252" s="9"/>
      <c r="M252" s="9"/>
      <c r="N252" s="4"/>
      <c r="O252" s="4"/>
      <c r="P252" s="4"/>
      <c r="Q252" s="4"/>
      <c r="R252" s="4"/>
      <c r="S252" s="4"/>
      <c r="T252" s="4"/>
      <c r="V252" s="132"/>
      <c r="W252" s="133"/>
      <c r="X252" s="133"/>
      <c r="AC252" s="134"/>
    </row>
    <row r="253" customFormat="false" ht="15.75" hidden="false" customHeight="true" outlineLevel="0" collapsed="false">
      <c r="D253" s="4"/>
      <c r="E253" s="4"/>
      <c r="F253" s="130"/>
      <c r="G253" s="7"/>
      <c r="H253" s="4"/>
      <c r="I253" s="9"/>
      <c r="J253" s="9"/>
      <c r="K253" s="9"/>
      <c r="L253" s="9"/>
      <c r="M253" s="9"/>
      <c r="N253" s="4"/>
      <c r="O253" s="4"/>
      <c r="P253" s="4"/>
      <c r="Q253" s="4"/>
      <c r="R253" s="4"/>
      <c r="S253" s="4"/>
      <c r="T253" s="4"/>
      <c r="V253" s="132"/>
      <c r="W253" s="133"/>
      <c r="X253" s="133"/>
      <c r="AC253" s="134"/>
    </row>
    <row r="254" customFormat="false" ht="15.75" hidden="false" customHeight="true" outlineLevel="0" collapsed="false">
      <c r="D254" s="4"/>
      <c r="E254" s="4"/>
      <c r="F254" s="130"/>
      <c r="G254" s="7"/>
      <c r="H254" s="4"/>
      <c r="I254" s="9"/>
      <c r="J254" s="9"/>
      <c r="K254" s="9"/>
      <c r="L254" s="9"/>
      <c r="M254" s="9"/>
      <c r="N254" s="4"/>
      <c r="O254" s="4"/>
      <c r="P254" s="4"/>
      <c r="Q254" s="4"/>
      <c r="R254" s="4"/>
      <c r="S254" s="4"/>
      <c r="T254" s="4"/>
      <c r="V254" s="132"/>
      <c r="W254" s="133"/>
      <c r="X254" s="133"/>
      <c r="AC254" s="134"/>
    </row>
    <row r="255" customFormat="false" ht="15.75" hidden="false" customHeight="true" outlineLevel="0" collapsed="false">
      <c r="D255" s="4"/>
      <c r="E255" s="4"/>
      <c r="F255" s="130"/>
      <c r="G255" s="7"/>
      <c r="H255" s="4"/>
      <c r="I255" s="9"/>
      <c r="J255" s="9"/>
      <c r="K255" s="9"/>
      <c r="L255" s="9"/>
      <c r="M255" s="9"/>
      <c r="N255" s="4"/>
      <c r="O255" s="4"/>
      <c r="P255" s="4"/>
      <c r="Q255" s="4"/>
      <c r="R255" s="4"/>
      <c r="S255" s="4"/>
      <c r="T255" s="4"/>
      <c r="V255" s="132"/>
      <c r="W255" s="133"/>
      <c r="X255" s="133"/>
      <c r="AC255" s="134"/>
    </row>
    <row r="256" customFormat="false" ht="15.75" hidden="false" customHeight="true" outlineLevel="0" collapsed="false">
      <c r="D256" s="4"/>
      <c r="E256" s="4"/>
      <c r="F256" s="130"/>
      <c r="G256" s="7"/>
      <c r="H256" s="4"/>
      <c r="I256" s="9"/>
      <c r="J256" s="9"/>
      <c r="K256" s="9"/>
      <c r="L256" s="9"/>
      <c r="M256" s="9"/>
      <c r="N256" s="4"/>
      <c r="O256" s="4"/>
      <c r="P256" s="4"/>
      <c r="Q256" s="4"/>
      <c r="R256" s="4"/>
      <c r="S256" s="4"/>
      <c r="T256" s="4"/>
      <c r="V256" s="132"/>
      <c r="W256" s="133"/>
      <c r="X256" s="133"/>
      <c r="AC256" s="134"/>
    </row>
    <row r="257" customFormat="false" ht="15.75" hidden="false" customHeight="true" outlineLevel="0" collapsed="false">
      <c r="D257" s="4"/>
      <c r="E257" s="4"/>
      <c r="F257" s="130"/>
      <c r="G257" s="7"/>
      <c r="H257" s="4"/>
      <c r="I257" s="9"/>
      <c r="J257" s="9"/>
      <c r="K257" s="9"/>
      <c r="L257" s="9"/>
      <c r="M257" s="9"/>
      <c r="N257" s="4"/>
      <c r="O257" s="4"/>
      <c r="P257" s="4"/>
      <c r="Q257" s="4"/>
      <c r="R257" s="4"/>
      <c r="S257" s="4"/>
      <c r="T257" s="4"/>
      <c r="V257" s="132"/>
      <c r="W257" s="133"/>
      <c r="X257" s="133"/>
      <c r="AC257" s="134"/>
    </row>
    <row r="258" customFormat="false" ht="15.75" hidden="false" customHeight="true" outlineLevel="0" collapsed="false">
      <c r="D258" s="4"/>
      <c r="E258" s="4"/>
      <c r="F258" s="130"/>
      <c r="G258" s="7"/>
      <c r="H258" s="4"/>
      <c r="I258" s="9"/>
      <c r="J258" s="9"/>
      <c r="K258" s="9"/>
      <c r="L258" s="9"/>
      <c r="M258" s="9"/>
      <c r="N258" s="4"/>
      <c r="O258" s="4"/>
      <c r="P258" s="4"/>
      <c r="Q258" s="4"/>
      <c r="R258" s="4"/>
      <c r="S258" s="4"/>
      <c r="T258" s="4"/>
      <c r="V258" s="132"/>
      <c r="W258" s="133"/>
      <c r="X258" s="133"/>
      <c r="AC258" s="134"/>
    </row>
    <row r="259" customFormat="false" ht="15.75" hidden="false" customHeight="true" outlineLevel="0" collapsed="false">
      <c r="D259" s="4"/>
      <c r="E259" s="4"/>
      <c r="F259" s="130"/>
      <c r="G259" s="7"/>
      <c r="H259" s="4"/>
      <c r="I259" s="9"/>
      <c r="J259" s="9"/>
      <c r="K259" s="9"/>
      <c r="L259" s="9"/>
      <c r="M259" s="9"/>
      <c r="N259" s="4"/>
      <c r="O259" s="4"/>
      <c r="P259" s="4"/>
      <c r="Q259" s="4"/>
      <c r="R259" s="4"/>
      <c r="S259" s="4"/>
      <c r="T259" s="4"/>
      <c r="V259" s="132"/>
      <c r="W259" s="133"/>
      <c r="X259" s="133"/>
      <c r="AC259" s="134"/>
    </row>
    <row r="260" customFormat="false" ht="15.75" hidden="false" customHeight="true" outlineLevel="0" collapsed="false">
      <c r="D260" s="4"/>
      <c r="E260" s="4"/>
      <c r="F260" s="130"/>
      <c r="G260" s="7"/>
      <c r="H260" s="4"/>
      <c r="I260" s="9"/>
      <c r="J260" s="9"/>
      <c r="K260" s="9"/>
      <c r="L260" s="9"/>
      <c r="M260" s="9"/>
      <c r="N260" s="4"/>
      <c r="O260" s="4"/>
      <c r="P260" s="4"/>
      <c r="Q260" s="4"/>
      <c r="R260" s="4"/>
      <c r="S260" s="4"/>
      <c r="T260" s="4"/>
      <c r="V260" s="132"/>
      <c r="W260" s="133"/>
      <c r="X260" s="133"/>
      <c r="AC260" s="134"/>
    </row>
    <row r="261" customFormat="false" ht="15.75" hidden="false" customHeight="true" outlineLevel="0" collapsed="false">
      <c r="D261" s="4"/>
      <c r="E261" s="4"/>
      <c r="F261" s="130"/>
      <c r="G261" s="7"/>
      <c r="H261" s="4"/>
      <c r="I261" s="9"/>
      <c r="J261" s="9"/>
      <c r="K261" s="9"/>
      <c r="L261" s="9"/>
      <c r="M261" s="9"/>
      <c r="N261" s="4"/>
      <c r="O261" s="4"/>
      <c r="P261" s="4"/>
      <c r="Q261" s="4"/>
      <c r="R261" s="4"/>
      <c r="S261" s="4"/>
      <c r="T261" s="4"/>
      <c r="V261" s="132"/>
      <c r="W261" s="133"/>
      <c r="X261" s="133"/>
      <c r="AC261" s="134"/>
    </row>
    <row r="262" customFormat="false" ht="15.75" hidden="false" customHeight="true" outlineLevel="0" collapsed="false">
      <c r="D262" s="4"/>
      <c r="E262" s="4"/>
      <c r="F262" s="130"/>
      <c r="G262" s="7"/>
      <c r="H262" s="4"/>
      <c r="I262" s="9"/>
      <c r="J262" s="9"/>
      <c r="K262" s="9"/>
      <c r="L262" s="9"/>
      <c r="M262" s="9"/>
      <c r="N262" s="4"/>
      <c r="O262" s="4"/>
      <c r="P262" s="4"/>
      <c r="Q262" s="4"/>
      <c r="R262" s="4"/>
      <c r="S262" s="4"/>
      <c r="T262" s="4"/>
      <c r="V262" s="132"/>
      <c r="W262" s="133"/>
      <c r="X262" s="133"/>
      <c r="AC262" s="134"/>
    </row>
    <row r="263" customFormat="false" ht="15.75" hidden="false" customHeight="true" outlineLevel="0" collapsed="false">
      <c r="D263" s="4"/>
      <c r="E263" s="4"/>
      <c r="F263" s="130"/>
      <c r="G263" s="7"/>
      <c r="H263" s="4"/>
      <c r="I263" s="9"/>
      <c r="J263" s="9"/>
      <c r="K263" s="9"/>
      <c r="L263" s="9"/>
      <c r="M263" s="9"/>
      <c r="N263" s="4"/>
      <c r="O263" s="4"/>
      <c r="P263" s="4"/>
      <c r="Q263" s="4"/>
      <c r="R263" s="4"/>
      <c r="S263" s="4"/>
      <c r="T263" s="4"/>
      <c r="V263" s="132"/>
      <c r="W263" s="133"/>
      <c r="X263" s="133"/>
      <c r="AC263" s="134"/>
    </row>
    <row r="264" customFormat="false" ht="15.75" hidden="false" customHeight="true" outlineLevel="0" collapsed="false">
      <c r="D264" s="4"/>
      <c r="E264" s="4"/>
      <c r="F264" s="130"/>
      <c r="G264" s="7"/>
      <c r="H264" s="4"/>
      <c r="I264" s="9"/>
      <c r="J264" s="9"/>
      <c r="K264" s="9"/>
      <c r="L264" s="9"/>
      <c r="M264" s="9"/>
      <c r="N264" s="4"/>
      <c r="O264" s="4"/>
      <c r="P264" s="4"/>
      <c r="Q264" s="4"/>
      <c r="R264" s="4"/>
      <c r="S264" s="4"/>
      <c r="T264" s="4"/>
      <c r="V264" s="132"/>
      <c r="W264" s="133"/>
      <c r="X264" s="133"/>
      <c r="AC264" s="134"/>
    </row>
    <row r="265" customFormat="false" ht="15.75" hidden="false" customHeight="true" outlineLevel="0" collapsed="false">
      <c r="D265" s="4"/>
      <c r="E265" s="4"/>
      <c r="F265" s="130"/>
      <c r="G265" s="7"/>
      <c r="H265" s="4"/>
      <c r="I265" s="9"/>
      <c r="J265" s="9"/>
      <c r="K265" s="9"/>
      <c r="L265" s="9"/>
      <c r="M265" s="9"/>
      <c r="N265" s="4"/>
      <c r="O265" s="4"/>
      <c r="P265" s="4"/>
      <c r="Q265" s="4"/>
      <c r="R265" s="4"/>
      <c r="S265" s="4"/>
      <c r="T265" s="4"/>
      <c r="V265" s="132"/>
      <c r="W265" s="133"/>
      <c r="X265" s="133"/>
      <c r="AC265" s="134"/>
    </row>
    <row r="266" customFormat="false" ht="15.75" hidden="false" customHeight="true" outlineLevel="0" collapsed="false">
      <c r="D266" s="4"/>
      <c r="E266" s="4"/>
      <c r="F266" s="130"/>
      <c r="G266" s="7"/>
      <c r="H266" s="4"/>
      <c r="I266" s="9"/>
      <c r="J266" s="9"/>
      <c r="K266" s="9"/>
      <c r="L266" s="9"/>
      <c r="M266" s="9"/>
      <c r="N266" s="4"/>
      <c r="O266" s="4"/>
      <c r="P266" s="4"/>
      <c r="Q266" s="4"/>
      <c r="R266" s="4"/>
      <c r="S266" s="4"/>
      <c r="T266" s="4"/>
      <c r="V266" s="132"/>
      <c r="W266" s="133"/>
      <c r="X266" s="133"/>
      <c r="AC266" s="134"/>
    </row>
    <row r="267" customFormat="false" ht="15.75" hidden="false" customHeight="true" outlineLevel="0" collapsed="false">
      <c r="D267" s="4"/>
      <c r="E267" s="4"/>
      <c r="F267" s="130"/>
      <c r="G267" s="7"/>
      <c r="H267" s="4"/>
      <c r="I267" s="9"/>
      <c r="J267" s="9"/>
      <c r="K267" s="9"/>
      <c r="L267" s="9"/>
      <c r="M267" s="9"/>
      <c r="N267" s="4"/>
      <c r="O267" s="4"/>
      <c r="P267" s="4"/>
      <c r="Q267" s="4"/>
      <c r="R267" s="4"/>
      <c r="S267" s="4"/>
      <c r="T267" s="4"/>
      <c r="V267" s="132"/>
      <c r="W267" s="133"/>
      <c r="X267" s="133"/>
      <c r="AC267" s="134"/>
    </row>
    <row r="268" customFormat="false" ht="15.75" hidden="false" customHeight="true" outlineLevel="0" collapsed="false">
      <c r="D268" s="4"/>
      <c r="E268" s="4"/>
      <c r="F268" s="130"/>
      <c r="G268" s="7"/>
      <c r="H268" s="4"/>
      <c r="I268" s="9"/>
      <c r="J268" s="9"/>
      <c r="K268" s="9"/>
      <c r="L268" s="9"/>
      <c r="M268" s="9"/>
      <c r="N268" s="4"/>
      <c r="O268" s="4"/>
      <c r="P268" s="4"/>
      <c r="Q268" s="4"/>
      <c r="R268" s="4"/>
      <c r="S268" s="4"/>
      <c r="T268" s="4"/>
      <c r="V268" s="132"/>
      <c r="W268" s="133"/>
      <c r="X268" s="133"/>
      <c r="AC268" s="134"/>
    </row>
    <row r="269" customFormat="false" ht="15.75" hidden="false" customHeight="true" outlineLevel="0" collapsed="false">
      <c r="D269" s="4"/>
      <c r="E269" s="4"/>
      <c r="F269" s="130"/>
      <c r="G269" s="7"/>
      <c r="H269" s="4"/>
      <c r="I269" s="9"/>
      <c r="J269" s="9"/>
      <c r="K269" s="9"/>
      <c r="L269" s="9"/>
      <c r="M269" s="9"/>
      <c r="N269" s="4"/>
      <c r="O269" s="4"/>
      <c r="P269" s="4"/>
      <c r="Q269" s="4"/>
      <c r="R269" s="4"/>
      <c r="S269" s="4"/>
      <c r="T269" s="4"/>
      <c r="V269" s="132"/>
      <c r="W269" s="133"/>
      <c r="X269" s="133"/>
      <c r="AC269" s="134"/>
    </row>
    <row r="270" customFormat="false" ht="15.75" hidden="false" customHeight="true" outlineLevel="0" collapsed="false">
      <c r="D270" s="4"/>
      <c r="E270" s="4"/>
      <c r="F270" s="130"/>
      <c r="G270" s="7"/>
      <c r="H270" s="4"/>
      <c r="I270" s="9"/>
      <c r="J270" s="9"/>
      <c r="K270" s="9"/>
      <c r="L270" s="9"/>
      <c r="M270" s="9"/>
      <c r="N270" s="4"/>
      <c r="O270" s="4"/>
      <c r="P270" s="4"/>
      <c r="Q270" s="4"/>
      <c r="R270" s="4"/>
      <c r="S270" s="4"/>
      <c r="T270" s="4"/>
      <c r="V270" s="132"/>
      <c r="W270" s="133"/>
      <c r="X270" s="133"/>
      <c r="AC270" s="134"/>
    </row>
    <row r="271" customFormat="false" ht="15.75" hidden="false" customHeight="true" outlineLevel="0" collapsed="false">
      <c r="D271" s="4"/>
      <c r="E271" s="4"/>
      <c r="F271" s="130"/>
      <c r="G271" s="7"/>
      <c r="H271" s="4"/>
      <c r="I271" s="9"/>
      <c r="J271" s="9"/>
      <c r="K271" s="9"/>
      <c r="L271" s="9"/>
      <c r="M271" s="9"/>
      <c r="N271" s="4"/>
      <c r="O271" s="4"/>
      <c r="P271" s="4"/>
      <c r="Q271" s="4"/>
      <c r="R271" s="4"/>
      <c r="S271" s="4"/>
      <c r="T271" s="4"/>
      <c r="V271" s="132"/>
      <c r="W271" s="133"/>
      <c r="X271" s="133"/>
      <c r="AC271" s="134"/>
    </row>
    <row r="272" customFormat="false" ht="15.75" hidden="false" customHeight="true" outlineLevel="0" collapsed="false">
      <c r="D272" s="4"/>
      <c r="E272" s="4"/>
      <c r="F272" s="130"/>
      <c r="G272" s="7"/>
      <c r="H272" s="4"/>
      <c r="I272" s="9"/>
      <c r="J272" s="9"/>
      <c r="K272" s="9"/>
      <c r="L272" s="9"/>
      <c r="M272" s="9"/>
      <c r="N272" s="4"/>
      <c r="O272" s="4"/>
      <c r="P272" s="4"/>
      <c r="Q272" s="4"/>
      <c r="R272" s="4"/>
      <c r="S272" s="4"/>
      <c r="T272" s="4"/>
      <c r="V272" s="132"/>
      <c r="W272" s="133"/>
      <c r="X272" s="133"/>
      <c r="AC272" s="134"/>
    </row>
    <row r="273" customFormat="false" ht="15.75" hidden="false" customHeight="true" outlineLevel="0" collapsed="false">
      <c r="D273" s="4"/>
      <c r="E273" s="4"/>
      <c r="F273" s="130"/>
      <c r="G273" s="7"/>
      <c r="H273" s="4"/>
      <c r="I273" s="9"/>
      <c r="J273" s="9"/>
      <c r="K273" s="9"/>
      <c r="L273" s="9"/>
      <c r="M273" s="9"/>
      <c r="N273" s="4"/>
      <c r="O273" s="4"/>
      <c r="P273" s="4"/>
      <c r="Q273" s="4"/>
      <c r="R273" s="4"/>
      <c r="S273" s="4"/>
      <c r="T273" s="4"/>
      <c r="V273" s="132"/>
      <c r="W273" s="133"/>
      <c r="X273" s="133"/>
      <c r="AC273" s="134"/>
    </row>
    <row r="274" customFormat="false" ht="15.75" hidden="false" customHeight="true" outlineLevel="0" collapsed="false">
      <c r="D274" s="4"/>
      <c r="E274" s="4"/>
      <c r="F274" s="130"/>
      <c r="G274" s="7"/>
      <c r="H274" s="4"/>
      <c r="I274" s="9"/>
      <c r="J274" s="9"/>
      <c r="K274" s="9"/>
      <c r="L274" s="9"/>
      <c r="M274" s="9"/>
      <c r="N274" s="4"/>
      <c r="O274" s="4"/>
      <c r="P274" s="4"/>
      <c r="Q274" s="4"/>
      <c r="R274" s="4"/>
      <c r="S274" s="4"/>
      <c r="T274" s="4"/>
      <c r="V274" s="132"/>
      <c r="W274" s="133"/>
      <c r="X274" s="133"/>
      <c r="AC274" s="134"/>
    </row>
    <row r="275" customFormat="false" ht="15.75" hidden="false" customHeight="true" outlineLevel="0" collapsed="false">
      <c r="D275" s="4"/>
      <c r="E275" s="4"/>
      <c r="F275" s="130"/>
      <c r="G275" s="7"/>
      <c r="H275" s="4"/>
      <c r="I275" s="9"/>
      <c r="J275" s="9"/>
      <c r="K275" s="9"/>
      <c r="L275" s="9"/>
      <c r="M275" s="9"/>
      <c r="N275" s="4"/>
      <c r="O275" s="4"/>
      <c r="P275" s="4"/>
      <c r="Q275" s="4"/>
      <c r="R275" s="4"/>
      <c r="S275" s="4"/>
      <c r="T275" s="4"/>
      <c r="V275" s="132"/>
      <c r="W275" s="133"/>
      <c r="X275" s="133"/>
      <c r="AC275" s="134"/>
    </row>
    <row r="276" customFormat="false" ht="15.75" hidden="false" customHeight="true" outlineLevel="0" collapsed="false">
      <c r="D276" s="4"/>
      <c r="E276" s="4"/>
      <c r="F276" s="130"/>
      <c r="G276" s="7"/>
      <c r="H276" s="4"/>
      <c r="I276" s="9"/>
      <c r="J276" s="9"/>
      <c r="K276" s="9"/>
      <c r="L276" s="9"/>
      <c r="M276" s="9"/>
      <c r="N276" s="4"/>
      <c r="O276" s="4"/>
      <c r="P276" s="4"/>
      <c r="Q276" s="4"/>
      <c r="R276" s="4"/>
      <c r="S276" s="4"/>
      <c r="T276" s="4"/>
      <c r="V276" s="132"/>
      <c r="W276" s="133"/>
      <c r="X276" s="133"/>
      <c r="AC276" s="134"/>
    </row>
    <row r="277" customFormat="false" ht="15.75" hidden="false" customHeight="true" outlineLevel="0" collapsed="false">
      <c r="D277" s="4"/>
      <c r="E277" s="4"/>
      <c r="F277" s="130"/>
      <c r="G277" s="7"/>
      <c r="H277" s="4"/>
      <c r="I277" s="9"/>
      <c r="J277" s="9"/>
      <c r="K277" s="9"/>
      <c r="L277" s="9"/>
      <c r="M277" s="9"/>
      <c r="N277" s="4"/>
      <c r="O277" s="4"/>
      <c r="P277" s="4"/>
      <c r="Q277" s="4"/>
      <c r="R277" s="4"/>
      <c r="S277" s="4"/>
      <c r="T277" s="4"/>
      <c r="V277" s="132"/>
      <c r="W277" s="133"/>
      <c r="X277" s="133"/>
      <c r="AC277" s="134"/>
    </row>
    <row r="278" customFormat="false" ht="15.75" hidden="false" customHeight="true" outlineLevel="0" collapsed="false">
      <c r="D278" s="4"/>
      <c r="E278" s="4"/>
      <c r="F278" s="130"/>
      <c r="G278" s="7"/>
      <c r="H278" s="4"/>
      <c r="I278" s="9"/>
      <c r="J278" s="9"/>
      <c r="K278" s="9"/>
      <c r="L278" s="9"/>
      <c r="M278" s="9"/>
      <c r="N278" s="4"/>
      <c r="O278" s="4"/>
      <c r="P278" s="4"/>
      <c r="Q278" s="4"/>
      <c r="R278" s="4"/>
      <c r="S278" s="4"/>
      <c r="T278" s="4"/>
      <c r="V278" s="132"/>
      <c r="W278" s="133"/>
      <c r="X278" s="133"/>
      <c r="AC278" s="134"/>
    </row>
    <row r="279" customFormat="false" ht="15.75" hidden="false" customHeight="true" outlineLevel="0" collapsed="false">
      <c r="D279" s="4"/>
      <c r="E279" s="4"/>
      <c r="F279" s="130"/>
      <c r="G279" s="7"/>
      <c r="H279" s="4"/>
      <c r="I279" s="9"/>
      <c r="J279" s="9"/>
      <c r="K279" s="9"/>
      <c r="L279" s="9"/>
      <c r="M279" s="9"/>
      <c r="N279" s="4"/>
      <c r="O279" s="4"/>
      <c r="P279" s="4"/>
      <c r="Q279" s="4"/>
      <c r="R279" s="4"/>
      <c r="S279" s="4"/>
      <c r="T279" s="4"/>
      <c r="V279" s="132"/>
      <c r="W279" s="133"/>
      <c r="X279" s="133"/>
      <c r="AC279" s="134"/>
    </row>
    <row r="280" customFormat="false" ht="15.75" hidden="false" customHeight="true" outlineLevel="0" collapsed="false">
      <c r="D280" s="4"/>
      <c r="E280" s="4"/>
      <c r="F280" s="130"/>
      <c r="G280" s="7"/>
      <c r="H280" s="4"/>
      <c r="I280" s="9"/>
      <c r="J280" s="9"/>
      <c r="K280" s="9"/>
      <c r="L280" s="9"/>
      <c r="M280" s="9"/>
      <c r="N280" s="4"/>
      <c r="O280" s="4"/>
      <c r="P280" s="4"/>
      <c r="Q280" s="4"/>
      <c r="R280" s="4"/>
      <c r="S280" s="4"/>
      <c r="T280" s="4"/>
      <c r="V280" s="132"/>
      <c r="W280" s="133"/>
      <c r="X280" s="133"/>
      <c r="AC280" s="134"/>
    </row>
    <row r="281" customFormat="false" ht="15.75" hidden="false" customHeight="true" outlineLevel="0" collapsed="false">
      <c r="D281" s="4"/>
      <c r="E281" s="4"/>
      <c r="F281" s="130"/>
      <c r="G281" s="7"/>
      <c r="H281" s="4"/>
      <c r="I281" s="9"/>
      <c r="J281" s="9"/>
      <c r="K281" s="9"/>
      <c r="L281" s="9"/>
      <c r="M281" s="9"/>
      <c r="N281" s="4"/>
      <c r="O281" s="4"/>
      <c r="P281" s="4"/>
      <c r="Q281" s="4"/>
      <c r="R281" s="4"/>
      <c r="S281" s="4"/>
      <c r="T281" s="4"/>
      <c r="V281" s="132"/>
      <c r="W281" s="133"/>
      <c r="X281" s="133"/>
      <c r="AC281" s="134"/>
    </row>
    <row r="282" customFormat="false" ht="15.75" hidden="false" customHeight="true" outlineLevel="0" collapsed="false">
      <c r="D282" s="4"/>
      <c r="E282" s="4"/>
      <c r="F282" s="130"/>
      <c r="G282" s="7"/>
      <c r="H282" s="4"/>
      <c r="I282" s="9"/>
      <c r="J282" s="9"/>
      <c r="K282" s="9"/>
      <c r="L282" s="9"/>
      <c r="M282" s="9"/>
      <c r="N282" s="4"/>
      <c r="O282" s="4"/>
      <c r="P282" s="4"/>
      <c r="Q282" s="4"/>
      <c r="R282" s="4"/>
      <c r="S282" s="4"/>
      <c r="T282" s="4"/>
      <c r="V282" s="132"/>
      <c r="W282" s="133"/>
      <c r="X282" s="133"/>
      <c r="AC282" s="134"/>
    </row>
    <row r="283" customFormat="false" ht="15.75" hidden="false" customHeight="true" outlineLevel="0" collapsed="false">
      <c r="D283" s="4"/>
      <c r="E283" s="4"/>
      <c r="F283" s="130"/>
      <c r="G283" s="7"/>
      <c r="H283" s="4"/>
      <c r="I283" s="9"/>
      <c r="J283" s="9"/>
      <c r="K283" s="9"/>
      <c r="L283" s="9"/>
      <c r="M283" s="9"/>
      <c r="N283" s="4"/>
      <c r="O283" s="4"/>
      <c r="P283" s="4"/>
      <c r="Q283" s="4"/>
      <c r="R283" s="4"/>
      <c r="S283" s="4"/>
      <c r="T283" s="4"/>
      <c r="V283" s="132"/>
      <c r="W283" s="133"/>
      <c r="X283" s="133"/>
      <c r="AC283" s="134"/>
    </row>
    <row r="284" customFormat="false" ht="15.75" hidden="false" customHeight="true" outlineLevel="0" collapsed="false">
      <c r="D284" s="4"/>
      <c r="E284" s="4"/>
      <c r="F284" s="130"/>
      <c r="G284" s="7"/>
      <c r="H284" s="4"/>
      <c r="I284" s="9"/>
      <c r="J284" s="9"/>
      <c r="K284" s="9"/>
      <c r="L284" s="9"/>
      <c r="M284" s="9"/>
      <c r="N284" s="4"/>
      <c r="O284" s="4"/>
      <c r="P284" s="4"/>
      <c r="Q284" s="4"/>
      <c r="R284" s="4"/>
      <c r="S284" s="4"/>
      <c r="T284" s="4"/>
      <c r="V284" s="132"/>
      <c r="W284" s="133"/>
      <c r="X284" s="133"/>
      <c r="AC284" s="134"/>
    </row>
    <row r="285" customFormat="false" ht="15.75" hidden="false" customHeight="true" outlineLevel="0" collapsed="false">
      <c r="D285" s="4"/>
      <c r="E285" s="4"/>
      <c r="F285" s="130"/>
      <c r="G285" s="7"/>
      <c r="H285" s="4"/>
      <c r="I285" s="9"/>
      <c r="J285" s="9"/>
      <c r="K285" s="9"/>
      <c r="L285" s="9"/>
      <c r="M285" s="9"/>
      <c r="N285" s="4"/>
      <c r="O285" s="4"/>
      <c r="P285" s="4"/>
      <c r="Q285" s="4"/>
      <c r="R285" s="4"/>
      <c r="S285" s="4"/>
      <c r="T285" s="4"/>
      <c r="V285" s="132"/>
      <c r="W285" s="133"/>
      <c r="X285" s="133"/>
      <c r="AC285" s="134"/>
    </row>
    <row r="286" customFormat="false" ht="15.75" hidden="false" customHeight="true" outlineLevel="0" collapsed="false">
      <c r="D286" s="4"/>
      <c r="E286" s="4"/>
      <c r="F286" s="130"/>
      <c r="G286" s="7"/>
      <c r="H286" s="4"/>
      <c r="I286" s="9"/>
      <c r="J286" s="9"/>
      <c r="K286" s="9"/>
      <c r="L286" s="9"/>
      <c r="M286" s="9"/>
      <c r="N286" s="4"/>
      <c r="O286" s="4"/>
      <c r="P286" s="4"/>
      <c r="Q286" s="4"/>
      <c r="R286" s="4"/>
      <c r="S286" s="4"/>
      <c r="T286" s="4"/>
      <c r="V286" s="132"/>
      <c r="W286" s="133"/>
      <c r="X286" s="133"/>
      <c r="AC286" s="134"/>
    </row>
    <row r="287" customFormat="false" ht="15.75" hidden="false" customHeight="true" outlineLevel="0" collapsed="false">
      <c r="D287" s="4"/>
      <c r="E287" s="4"/>
      <c r="F287" s="130"/>
      <c r="G287" s="7"/>
      <c r="H287" s="4"/>
      <c r="I287" s="9"/>
      <c r="J287" s="9"/>
      <c r="K287" s="9"/>
      <c r="L287" s="9"/>
      <c r="M287" s="9"/>
      <c r="N287" s="4"/>
      <c r="O287" s="4"/>
      <c r="P287" s="4"/>
      <c r="Q287" s="4"/>
      <c r="R287" s="4"/>
      <c r="S287" s="4"/>
      <c r="T287" s="4"/>
      <c r="V287" s="132"/>
      <c r="W287" s="133"/>
      <c r="X287" s="133"/>
      <c r="AC287" s="134"/>
    </row>
    <row r="288" customFormat="false" ht="15.75" hidden="false" customHeight="true" outlineLevel="0" collapsed="false">
      <c r="D288" s="4"/>
      <c r="E288" s="4"/>
      <c r="F288" s="130"/>
      <c r="G288" s="7"/>
      <c r="H288" s="4"/>
      <c r="I288" s="9"/>
      <c r="J288" s="9"/>
      <c r="K288" s="9"/>
      <c r="L288" s="9"/>
      <c r="M288" s="9"/>
      <c r="N288" s="4"/>
      <c r="O288" s="4"/>
      <c r="P288" s="4"/>
      <c r="Q288" s="4"/>
      <c r="R288" s="4"/>
      <c r="S288" s="4"/>
      <c r="T288" s="4"/>
      <c r="V288" s="132"/>
      <c r="W288" s="133"/>
      <c r="X288" s="133"/>
      <c r="AC288" s="134"/>
    </row>
    <row r="289" customFormat="false" ht="15.75" hidden="false" customHeight="true" outlineLevel="0" collapsed="false">
      <c r="D289" s="4"/>
      <c r="E289" s="4"/>
      <c r="F289" s="130"/>
      <c r="G289" s="7"/>
      <c r="H289" s="4"/>
      <c r="I289" s="9"/>
      <c r="J289" s="9"/>
      <c r="K289" s="9"/>
      <c r="L289" s="9"/>
      <c r="M289" s="9"/>
      <c r="N289" s="4"/>
      <c r="O289" s="4"/>
      <c r="P289" s="4"/>
      <c r="Q289" s="4"/>
      <c r="R289" s="4"/>
      <c r="S289" s="4"/>
      <c r="T289" s="4"/>
      <c r="V289" s="132"/>
      <c r="W289" s="133"/>
      <c r="X289" s="133"/>
      <c r="AC289" s="134"/>
    </row>
    <row r="290" customFormat="false" ht="15.75" hidden="false" customHeight="true" outlineLevel="0" collapsed="false">
      <c r="D290" s="4"/>
      <c r="E290" s="4"/>
      <c r="F290" s="130"/>
      <c r="G290" s="7"/>
      <c r="H290" s="4"/>
      <c r="I290" s="9"/>
      <c r="J290" s="9"/>
      <c r="K290" s="9"/>
      <c r="L290" s="9"/>
      <c r="M290" s="9"/>
      <c r="N290" s="4"/>
      <c r="O290" s="4"/>
      <c r="P290" s="4"/>
      <c r="Q290" s="4"/>
      <c r="R290" s="4"/>
      <c r="S290" s="4"/>
      <c r="T290" s="4"/>
      <c r="V290" s="132"/>
      <c r="W290" s="133"/>
      <c r="X290" s="133"/>
      <c r="AC290" s="134"/>
    </row>
    <row r="291" customFormat="false" ht="15.75" hidden="false" customHeight="true" outlineLevel="0" collapsed="false">
      <c r="D291" s="4"/>
      <c r="E291" s="4"/>
      <c r="F291" s="130"/>
      <c r="G291" s="7"/>
      <c r="H291" s="4"/>
      <c r="I291" s="9"/>
      <c r="J291" s="9"/>
      <c r="K291" s="9"/>
      <c r="L291" s="9"/>
      <c r="M291" s="9"/>
      <c r="N291" s="4"/>
      <c r="O291" s="4"/>
      <c r="P291" s="4"/>
      <c r="Q291" s="4"/>
      <c r="R291" s="4"/>
      <c r="S291" s="4"/>
      <c r="T291" s="4"/>
      <c r="V291" s="132"/>
      <c r="W291" s="133"/>
      <c r="X291" s="133"/>
      <c r="AC291" s="134"/>
    </row>
    <row r="292" customFormat="false" ht="15.75" hidden="false" customHeight="true" outlineLevel="0" collapsed="false">
      <c r="D292" s="4"/>
      <c r="E292" s="4"/>
      <c r="F292" s="130"/>
      <c r="G292" s="7"/>
      <c r="H292" s="4"/>
      <c r="I292" s="9"/>
      <c r="J292" s="9"/>
      <c r="K292" s="9"/>
      <c r="L292" s="9"/>
      <c r="M292" s="9"/>
      <c r="N292" s="4"/>
      <c r="O292" s="4"/>
      <c r="P292" s="4"/>
      <c r="Q292" s="4"/>
      <c r="R292" s="4"/>
      <c r="S292" s="4"/>
      <c r="T292" s="4"/>
      <c r="V292" s="132"/>
      <c r="W292" s="133"/>
      <c r="X292" s="133"/>
      <c r="AC292" s="134"/>
    </row>
    <row r="293" customFormat="false" ht="15.75" hidden="false" customHeight="true" outlineLevel="0" collapsed="false">
      <c r="D293" s="4"/>
      <c r="E293" s="4"/>
      <c r="F293" s="130"/>
      <c r="G293" s="7"/>
      <c r="H293" s="4"/>
      <c r="I293" s="9"/>
      <c r="J293" s="9"/>
      <c r="K293" s="9"/>
      <c r="L293" s="9"/>
      <c r="M293" s="9"/>
      <c r="N293" s="4"/>
      <c r="O293" s="4"/>
      <c r="P293" s="4"/>
      <c r="Q293" s="4"/>
      <c r="R293" s="4"/>
      <c r="S293" s="4"/>
      <c r="T293" s="4"/>
      <c r="V293" s="132"/>
      <c r="W293" s="133"/>
      <c r="X293" s="133"/>
      <c r="AC293" s="134"/>
    </row>
    <row r="294" customFormat="false" ht="15.75" hidden="false" customHeight="true" outlineLevel="0" collapsed="false">
      <c r="D294" s="4"/>
      <c r="E294" s="4"/>
      <c r="F294" s="130"/>
      <c r="G294" s="7"/>
      <c r="H294" s="4"/>
      <c r="I294" s="9"/>
      <c r="J294" s="9"/>
      <c r="K294" s="9"/>
      <c r="L294" s="9"/>
      <c r="M294" s="9"/>
      <c r="N294" s="4"/>
      <c r="O294" s="4"/>
      <c r="P294" s="4"/>
      <c r="Q294" s="4"/>
      <c r="R294" s="4"/>
      <c r="S294" s="4"/>
      <c r="T294" s="4"/>
      <c r="V294" s="132"/>
      <c r="W294" s="133"/>
      <c r="X294" s="133"/>
      <c r="AC294" s="134"/>
    </row>
    <row r="295" customFormat="false" ht="15.75" hidden="false" customHeight="true" outlineLevel="0" collapsed="false">
      <c r="D295" s="4"/>
      <c r="E295" s="4"/>
      <c r="F295" s="130"/>
      <c r="G295" s="7"/>
      <c r="H295" s="4"/>
      <c r="I295" s="9"/>
      <c r="J295" s="9"/>
      <c r="K295" s="9"/>
      <c r="L295" s="9"/>
      <c r="M295" s="9"/>
      <c r="N295" s="4"/>
      <c r="O295" s="4"/>
      <c r="P295" s="4"/>
      <c r="Q295" s="4"/>
      <c r="R295" s="4"/>
      <c r="S295" s="4"/>
      <c r="T295" s="4"/>
      <c r="V295" s="132"/>
      <c r="W295" s="133"/>
      <c r="X295" s="133"/>
      <c r="AC295" s="134"/>
    </row>
    <row r="296" customFormat="false" ht="15.75" hidden="false" customHeight="true" outlineLevel="0" collapsed="false">
      <c r="D296" s="4"/>
      <c r="E296" s="4"/>
      <c r="F296" s="130"/>
      <c r="G296" s="7"/>
      <c r="H296" s="4"/>
      <c r="I296" s="9"/>
      <c r="J296" s="9"/>
      <c r="K296" s="9"/>
      <c r="L296" s="9"/>
      <c r="M296" s="9"/>
      <c r="N296" s="4"/>
      <c r="O296" s="4"/>
      <c r="P296" s="4"/>
      <c r="Q296" s="4"/>
      <c r="R296" s="4"/>
      <c r="S296" s="4"/>
      <c r="T296" s="4"/>
      <c r="V296" s="132"/>
      <c r="W296" s="133"/>
      <c r="X296" s="133"/>
      <c r="AC296" s="134"/>
    </row>
    <row r="297" customFormat="false" ht="15.75" hidden="false" customHeight="true" outlineLevel="0" collapsed="false">
      <c r="D297" s="4"/>
      <c r="E297" s="4"/>
      <c r="F297" s="130"/>
      <c r="G297" s="7"/>
      <c r="H297" s="4"/>
      <c r="I297" s="9"/>
      <c r="J297" s="9"/>
      <c r="K297" s="9"/>
      <c r="L297" s="9"/>
      <c r="M297" s="9"/>
      <c r="N297" s="4"/>
      <c r="O297" s="4"/>
      <c r="P297" s="4"/>
      <c r="Q297" s="4"/>
      <c r="R297" s="4"/>
      <c r="S297" s="4"/>
      <c r="T297" s="4"/>
      <c r="V297" s="132"/>
      <c r="W297" s="133"/>
      <c r="X297" s="133"/>
      <c r="AC297" s="134"/>
    </row>
    <row r="298" customFormat="false" ht="15.75" hidden="false" customHeight="true" outlineLevel="0" collapsed="false">
      <c r="D298" s="4"/>
      <c r="E298" s="4"/>
      <c r="F298" s="130"/>
      <c r="G298" s="7"/>
      <c r="H298" s="4"/>
      <c r="I298" s="9"/>
      <c r="J298" s="9"/>
      <c r="K298" s="9"/>
      <c r="L298" s="9"/>
      <c r="M298" s="9"/>
      <c r="N298" s="4"/>
      <c r="O298" s="4"/>
      <c r="P298" s="4"/>
      <c r="Q298" s="4"/>
      <c r="R298" s="4"/>
      <c r="S298" s="4"/>
      <c r="T298" s="4"/>
      <c r="V298" s="132"/>
      <c r="W298" s="133"/>
      <c r="X298" s="133"/>
      <c r="AC298" s="134"/>
    </row>
    <row r="299" customFormat="false" ht="15.75" hidden="false" customHeight="true" outlineLevel="0" collapsed="false">
      <c r="D299" s="4"/>
      <c r="E299" s="4"/>
      <c r="F299" s="130"/>
      <c r="G299" s="7"/>
      <c r="H299" s="4"/>
      <c r="I299" s="9"/>
      <c r="J299" s="9"/>
      <c r="K299" s="9"/>
      <c r="L299" s="9"/>
      <c r="M299" s="9"/>
      <c r="N299" s="4"/>
      <c r="O299" s="4"/>
      <c r="P299" s="4"/>
      <c r="Q299" s="4"/>
      <c r="R299" s="4"/>
      <c r="S299" s="4"/>
      <c r="T299" s="4"/>
      <c r="V299" s="132"/>
      <c r="W299" s="133"/>
      <c r="X299" s="133"/>
      <c r="AC299" s="134"/>
    </row>
    <row r="300" customFormat="false" ht="15.75" hidden="false" customHeight="true" outlineLevel="0" collapsed="false">
      <c r="D300" s="4"/>
      <c r="E300" s="4"/>
      <c r="F300" s="130"/>
      <c r="G300" s="7"/>
      <c r="H300" s="4"/>
      <c r="I300" s="9"/>
      <c r="J300" s="9"/>
      <c r="K300" s="9"/>
      <c r="L300" s="9"/>
      <c r="M300" s="9"/>
      <c r="N300" s="4"/>
      <c r="O300" s="4"/>
      <c r="P300" s="4"/>
      <c r="Q300" s="4"/>
      <c r="R300" s="4"/>
      <c r="S300" s="4"/>
      <c r="T300" s="4"/>
      <c r="V300" s="132"/>
      <c r="W300" s="133"/>
      <c r="X300" s="133"/>
      <c r="AC300" s="134"/>
    </row>
    <row r="301" customFormat="false" ht="15.75" hidden="false" customHeight="true" outlineLevel="0" collapsed="false">
      <c r="D301" s="4"/>
      <c r="E301" s="4"/>
      <c r="F301" s="130"/>
      <c r="G301" s="7"/>
      <c r="H301" s="4"/>
      <c r="I301" s="9"/>
      <c r="J301" s="9"/>
      <c r="K301" s="9"/>
      <c r="L301" s="9"/>
      <c r="M301" s="9"/>
      <c r="N301" s="4"/>
      <c r="O301" s="4"/>
      <c r="P301" s="4"/>
      <c r="Q301" s="4"/>
      <c r="R301" s="4"/>
      <c r="S301" s="4"/>
      <c r="T301" s="4"/>
      <c r="V301" s="132"/>
      <c r="W301" s="133"/>
      <c r="X301" s="133"/>
      <c r="AC301" s="134"/>
    </row>
    <row r="302" customFormat="false" ht="15.75" hidden="false" customHeight="true" outlineLevel="0" collapsed="false">
      <c r="D302" s="4"/>
      <c r="E302" s="4"/>
      <c r="F302" s="130"/>
      <c r="G302" s="7"/>
      <c r="H302" s="4"/>
      <c r="I302" s="9"/>
      <c r="J302" s="9"/>
      <c r="K302" s="9"/>
      <c r="L302" s="9"/>
      <c r="M302" s="9"/>
      <c r="N302" s="4"/>
      <c r="O302" s="4"/>
      <c r="P302" s="4"/>
      <c r="Q302" s="4"/>
      <c r="R302" s="4"/>
      <c r="S302" s="4"/>
      <c r="T302" s="4"/>
      <c r="V302" s="132"/>
      <c r="W302" s="133"/>
      <c r="X302" s="133"/>
      <c r="AC302" s="134"/>
    </row>
    <row r="303" customFormat="false" ht="15.75" hidden="false" customHeight="true" outlineLevel="0" collapsed="false">
      <c r="D303" s="4"/>
      <c r="E303" s="4"/>
      <c r="F303" s="130"/>
      <c r="G303" s="7"/>
      <c r="H303" s="4"/>
      <c r="I303" s="9"/>
      <c r="J303" s="9"/>
      <c r="K303" s="9"/>
      <c r="L303" s="9"/>
      <c r="M303" s="9"/>
      <c r="N303" s="4"/>
      <c r="O303" s="4"/>
      <c r="P303" s="4"/>
      <c r="Q303" s="4"/>
      <c r="R303" s="4"/>
      <c r="S303" s="4"/>
      <c r="T303" s="4"/>
      <c r="V303" s="132"/>
      <c r="W303" s="133"/>
      <c r="X303" s="133"/>
      <c r="AC303" s="134"/>
    </row>
    <row r="304" customFormat="false" ht="15.75" hidden="false" customHeight="true" outlineLevel="0" collapsed="false">
      <c r="D304" s="4"/>
      <c r="E304" s="4"/>
      <c r="F304" s="130"/>
      <c r="G304" s="7"/>
      <c r="H304" s="4"/>
      <c r="I304" s="9"/>
      <c r="J304" s="9"/>
      <c r="K304" s="9"/>
      <c r="L304" s="9"/>
      <c r="M304" s="9"/>
      <c r="N304" s="4"/>
      <c r="O304" s="4"/>
      <c r="P304" s="4"/>
      <c r="Q304" s="4"/>
      <c r="R304" s="4"/>
      <c r="S304" s="4"/>
      <c r="T304" s="4"/>
      <c r="V304" s="132"/>
      <c r="W304" s="133"/>
      <c r="X304" s="133"/>
      <c r="AC304" s="134"/>
    </row>
    <row r="305" customFormat="false" ht="15.75" hidden="false" customHeight="true" outlineLevel="0" collapsed="false">
      <c r="D305" s="4"/>
      <c r="E305" s="4"/>
      <c r="F305" s="130"/>
      <c r="G305" s="7"/>
      <c r="H305" s="4"/>
      <c r="I305" s="9"/>
      <c r="J305" s="9"/>
      <c r="K305" s="9"/>
      <c r="L305" s="9"/>
      <c r="M305" s="9"/>
      <c r="N305" s="4"/>
      <c r="O305" s="4"/>
      <c r="P305" s="4"/>
      <c r="Q305" s="4"/>
      <c r="R305" s="4"/>
      <c r="S305" s="4"/>
      <c r="T305" s="4"/>
      <c r="V305" s="132"/>
      <c r="W305" s="133"/>
      <c r="X305" s="133"/>
      <c r="AC305" s="134"/>
    </row>
    <row r="306" customFormat="false" ht="15.75" hidden="false" customHeight="true" outlineLevel="0" collapsed="false">
      <c r="D306" s="4"/>
      <c r="E306" s="4"/>
      <c r="F306" s="130"/>
      <c r="G306" s="7"/>
      <c r="H306" s="4"/>
      <c r="I306" s="9"/>
      <c r="J306" s="9"/>
      <c r="K306" s="9"/>
      <c r="L306" s="9"/>
      <c r="M306" s="9"/>
      <c r="N306" s="4"/>
      <c r="O306" s="4"/>
      <c r="P306" s="4"/>
      <c r="Q306" s="4"/>
      <c r="R306" s="4"/>
      <c r="S306" s="4"/>
      <c r="T306" s="4"/>
      <c r="V306" s="132"/>
      <c r="W306" s="133"/>
      <c r="X306" s="133"/>
      <c r="AC306" s="134"/>
    </row>
    <row r="307" customFormat="false" ht="15.75" hidden="false" customHeight="true" outlineLevel="0" collapsed="false">
      <c r="D307" s="4"/>
      <c r="E307" s="4"/>
      <c r="F307" s="130"/>
      <c r="G307" s="7"/>
      <c r="H307" s="4"/>
      <c r="I307" s="9"/>
      <c r="J307" s="9"/>
      <c r="K307" s="9"/>
      <c r="L307" s="9"/>
      <c r="M307" s="9"/>
      <c r="N307" s="4"/>
      <c r="O307" s="4"/>
      <c r="P307" s="4"/>
      <c r="Q307" s="4"/>
      <c r="R307" s="4"/>
      <c r="S307" s="4"/>
      <c r="T307" s="4"/>
      <c r="V307" s="132"/>
      <c r="W307" s="133"/>
      <c r="X307" s="133"/>
      <c r="AC307" s="134"/>
    </row>
    <row r="308" customFormat="false" ht="15.75" hidden="false" customHeight="true" outlineLevel="0" collapsed="false">
      <c r="D308" s="4"/>
      <c r="E308" s="4"/>
      <c r="F308" s="130"/>
      <c r="G308" s="7"/>
      <c r="H308" s="4"/>
      <c r="I308" s="9"/>
      <c r="J308" s="9"/>
      <c r="K308" s="9"/>
      <c r="L308" s="9"/>
      <c r="M308" s="9"/>
      <c r="N308" s="4"/>
      <c r="O308" s="4"/>
      <c r="P308" s="4"/>
      <c r="Q308" s="4"/>
      <c r="R308" s="4"/>
      <c r="S308" s="4"/>
      <c r="T308" s="4"/>
      <c r="V308" s="132"/>
      <c r="W308" s="133"/>
      <c r="X308" s="133"/>
      <c r="AC308" s="134"/>
    </row>
    <row r="309" customFormat="false" ht="15.75" hidden="false" customHeight="true" outlineLevel="0" collapsed="false">
      <c r="D309" s="4"/>
      <c r="E309" s="4"/>
      <c r="F309" s="130"/>
      <c r="G309" s="7"/>
      <c r="H309" s="4"/>
      <c r="I309" s="9"/>
      <c r="J309" s="9"/>
      <c r="K309" s="9"/>
      <c r="L309" s="9"/>
      <c r="M309" s="9"/>
      <c r="N309" s="4"/>
      <c r="O309" s="4"/>
      <c r="P309" s="4"/>
      <c r="Q309" s="4"/>
      <c r="R309" s="4"/>
      <c r="S309" s="4"/>
      <c r="T309" s="4"/>
      <c r="V309" s="132"/>
      <c r="W309" s="133"/>
      <c r="X309" s="133"/>
      <c r="AC309" s="134"/>
    </row>
    <row r="310" customFormat="false" ht="15.75" hidden="false" customHeight="true" outlineLevel="0" collapsed="false">
      <c r="D310" s="4"/>
      <c r="E310" s="4"/>
      <c r="F310" s="130"/>
      <c r="G310" s="7"/>
      <c r="H310" s="4"/>
      <c r="I310" s="9"/>
      <c r="J310" s="9"/>
      <c r="K310" s="9"/>
      <c r="L310" s="9"/>
      <c r="M310" s="9"/>
      <c r="N310" s="4"/>
      <c r="O310" s="4"/>
      <c r="P310" s="4"/>
      <c r="Q310" s="4"/>
      <c r="R310" s="4"/>
      <c r="S310" s="4"/>
      <c r="T310" s="4"/>
      <c r="V310" s="132"/>
      <c r="W310" s="133"/>
      <c r="X310" s="133"/>
      <c r="AC310" s="134"/>
    </row>
    <row r="311" customFormat="false" ht="15.75" hidden="false" customHeight="true" outlineLevel="0" collapsed="false">
      <c r="D311" s="4"/>
      <c r="E311" s="4"/>
      <c r="F311" s="130"/>
      <c r="G311" s="7"/>
      <c r="H311" s="4"/>
      <c r="I311" s="9"/>
      <c r="J311" s="9"/>
      <c r="K311" s="9"/>
      <c r="L311" s="9"/>
      <c r="M311" s="9"/>
      <c r="N311" s="4"/>
      <c r="O311" s="4"/>
      <c r="P311" s="4"/>
      <c r="Q311" s="4"/>
      <c r="R311" s="4"/>
      <c r="S311" s="4"/>
      <c r="T311" s="4"/>
      <c r="V311" s="132"/>
      <c r="W311" s="133"/>
      <c r="X311" s="133"/>
      <c r="AC311" s="134"/>
    </row>
    <row r="312" customFormat="false" ht="15.75" hidden="false" customHeight="true" outlineLevel="0" collapsed="false">
      <c r="D312" s="4"/>
      <c r="E312" s="4"/>
      <c r="F312" s="130"/>
      <c r="G312" s="7"/>
      <c r="H312" s="4"/>
      <c r="I312" s="9"/>
      <c r="J312" s="9"/>
      <c r="K312" s="9"/>
      <c r="L312" s="9"/>
      <c r="M312" s="9"/>
      <c r="N312" s="4"/>
      <c r="O312" s="4"/>
      <c r="P312" s="4"/>
      <c r="Q312" s="4"/>
      <c r="R312" s="4"/>
      <c r="S312" s="4"/>
      <c r="T312" s="4"/>
      <c r="V312" s="132"/>
      <c r="W312" s="133"/>
      <c r="X312" s="133"/>
      <c r="AC312" s="134"/>
    </row>
    <row r="313" customFormat="false" ht="15.75" hidden="false" customHeight="true" outlineLevel="0" collapsed="false">
      <c r="D313" s="4"/>
      <c r="E313" s="4"/>
      <c r="F313" s="130"/>
      <c r="G313" s="7"/>
      <c r="H313" s="4"/>
      <c r="I313" s="9"/>
      <c r="J313" s="9"/>
      <c r="K313" s="9"/>
      <c r="L313" s="9"/>
      <c r="M313" s="9"/>
      <c r="N313" s="4"/>
      <c r="O313" s="4"/>
      <c r="P313" s="4"/>
      <c r="Q313" s="4"/>
      <c r="R313" s="4"/>
      <c r="S313" s="4"/>
      <c r="T313" s="4"/>
      <c r="V313" s="132"/>
      <c r="W313" s="133"/>
      <c r="X313" s="133"/>
      <c r="AC313" s="134"/>
    </row>
    <row r="314" customFormat="false" ht="15.75" hidden="false" customHeight="true" outlineLevel="0" collapsed="false">
      <c r="D314" s="4"/>
      <c r="E314" s="4"/>
      <c r="F314" s="130"/>
      <c r="G314" s="7"/>
      <c r="H314" s="4"/>
      <c r="I314" s="9"/>
      <c r="J314" s="9"/>
      <c r="K314" s="9"/>
      <c r="L314" s="9"/>
      <c r="M314" s="9"/>
      <c r="N314" s="4"/>
      <c r="O314" s="4"/>
      <c r="P314" s="4"/>
      <c r="Q314" s="4"/>
      <c r="R314" s="4"/>
      <c r="S314" s="4"/>
      <c r="T314" s="4"/>
      <c r="V314" s="132"/>
      <c r="W314" s="133"/>
      <c r="X314" s="133"/>
      <c r="AC314" s="134"/>
    </row>
    <row r="315" customFormat="false" ht="15.75" hidden="false" customHeight="true" outlineLevel="0" collapsed="false">
      <c r="D315" s="4"/>
      <c r="E315" s="4"/>
      <c r="F315" s="130"/>
      <c r="G315" s="7"/>
      <c r="H315" s="4"/>
      <c r="I315" s="9"/>
      <c r="J315" s="9"/>
      <c r="K315" s="9"/>
      <c r="L315" s="9"/>
      <c r="M315" s="9"/>
      <c r="N315" s="4"/>
      <c r="O315" s="4"/>
      <c r="P315" s="4"/>
      <c r="Q315" s="4"/>
      <c r="R315" s="4"/>
      <c r="S315" s="4"/>
      <c r="T315" s="4"/>
      <c r="V315" s="132"/>
      <c r="W315" s="133"/>
      <c r="X315" s="133"/>
      <c r="AC315" s="134"/>
    </row>
    <row r="316" customFormat="false" ht="15.75" hidden="false" customHeight="true" outlineLevel="0" collapsed="false">
      <c r="D316" s="4"/>
      <c r="E316" s="4"/>
      <c r="F316" s="130"/>
      <c r="G316" s="7"/>
      <c r="H316" s="4"/>
      <c r="I316" s="9"/>
      <c r="J316" s="9"/>
      <c r="K316" s="9"/>
      <c r="L316" s="9"/>
      <c r="M316" s="9"/>
      <c r="N316" s="4"/>
      <c r="O316" s="4"/>
      <c r="P316" s="4"/>
      <c r="Q316" s="4"/>
      <c r="R316" s="4"/>
      <c r="S316" s="4"/>
      <c r="T316" s="4"/>
      <c r="V316" s="132"/>
      <c r="W316" s="133"/>
      <c r="X316" s="133"/>
      <c r="AC316" s="134"/>
    </row>
    <row r="317" customFormat="false" ht="15.75" hidden="false" customHeight="true" outlineLevel="0" collapsed="false">
      <c r="D317" s="4"/>
      <c r="E317" s="4"/>
      <c r="F317" s="130"/>
      <c r="G317" s="7"/>
      <c r="H317" s="4"/>
      <c r="I317" s="9"/>
      <c r="J317" s="9"/>
      <c r="K317" s="9"/>
      <c r="L317" s="9"/>
      <c r="M317" s="9"/>
      <c r="N317" s="4"/>
      <c r="O317" s="4"/>
      <c r="P317" s="4"/>
      <c r="Q317" s="4"/>
      <c r="R317" s="4"/>
      <c r="S317" s="4"/>
      <c r="T317" s="4"/>
      <c r="V317" s="132"/>
      <c r="W317" s="133"/>
      <c r="X317" s="133"/>
      <c r="AC317" s="134"/>
    </row>
    <row r="318" customFormat="false" ht="15.75" hidden="false" customHeight="true" outlineLevel="0" collapsed="false">
      <c r="D318" s="4"/>
      <c r="E318" s="4"/>
      <c r="F318" s="130"/>
      <c r="G318" s="7"/>
      <c r="H318" s="4"/>
      <c r="I318" s="9"/>
      <c r="J318" s="9"/>
      <c r="K318" s="9"/>
      <c r="L318" s="9"/>
      <c r="M318" s="9"/>
      <c r="N318" s="4"/>
      <c r="O318" s="4"/>
      <c r="P318" s="4"/>
      <c r="Q318" s="4"/>
      <c r="R318" s="4"/>
      <c r="S318" s="4"/>
      <c r="T318" s="4"/>
      <c r="V318" s="132"/>
      <c r="W318" s="133"/>
      <c r="X318" s="133"/>
      <c r="AC318" s="134"/>
    </row>
    <row r="319" customFormat="false" ht="15.75" hidden="false" customHeight="true" outlineLevel="0" collapsed="false">
      <c r="D319" s="4"/>
      <c r="E319" s="4"/>
      <c r="F319" s="130"/>
      <c r="G319" s="7"/>
      <c r="H319" s="4"/>
      <c r="I319" s="9"/>
      <c r="J319" s="9"/>
      <c r="K319" s="9"/>
      <c r="L319" s="9"/>
      <c r="M319" s="9"/>
      <c r="N319" s="4"/>
      <c r="O319" s="4"/>
      <c r="P319" s="4"/>
      <c r="Q319" s="4"/>
      <c r="R319" s="4"/>
      <c r="S319" s="4"/>
      <c r="T319" s="4"/>
      <c r="V319" s="132"/>
      <c r="W319" s="133"/>
      <c r="X319" s="133"/>
      <c r="AC319" s="134"/>
    </row>
    <row r="320" customFormat="false" ht="15.75" hidden="false" customHeight="true" outlineLevel="0" collapsed="false">
      <c r="D320" s="4"/>
      <c r="E320" s="4"/>
      <c r="F320" s="130"/>
      <c r="G320" s="7"/>
      <c r="H320" s="4"/>
      <c r="I320" s="9"/>
      <c r="J320" s="9"/>
      <c r="K320" s="9"/>
      <c r="L320" s="9"/>
      <c r="M320" s="9"/>
      <c r="N320" s="4"/>
      <c r="O320" s="4"/>
      <c r="P320" s="4"/>
      <c r="Q320" s="4"/>
      <c r="R320" s="4"/>
      <c r="S320" s="4"/>
      <c r="T320" s="4"/>
      <c r="V320" s="132"/>
      <c r="W320" s="133"/>
      <c r="X320" s="133"/>
      <c r="AC320" s="134"/>
    </row>
    <row r="321" customFormat="false" ht="15.75" hidden="false" customHeight="true" outlineLevel="0" collapsed="false">
      <c r="D321" s="4"/>
      <c r="E321" s="4"/>
      <c r="F321" s="130"/>
      <c r="G321" s="7"/>
      <c r="H321" s="4"/>
      <c r="I321" s="9"/>
      <c r="J321" s="9"/>
      <c r="K321" s="9"/>
      <c r="L321" s="9"/>
      <c r="M321" s="9"/>
      <c r="N321" s="4"/>
      <c r="O321" s="4"/>
      <c r="P321" s="4"/>
      <c r="Q321" s="4"/>
      <c r="R321" s="4"/>
      <c r="S321" s="4"/>
      <c r="T321" s="4"/>
      <c r="V321" s="132"/>
      <c r="W321" s="133"/>
      <c r="X321" s="133"/>
      <c r="AC321" s="134"/>
    </row>
    <row r="322" customFormat="false" ht="15.75" hidden="false" customHeight="true" outlineLevel="0" collapsed="false">
      <c r="D322" s="4"/>
      <c r="E322" s="4"/>
      <c r="F322" s="130"/>
      <c r="G322" s="7"/>
      <c r="H322" s="4"/>
      <c r="I322" s="9"/>
      <c r="J322" s="9"/>
      <c r="K322" s="9"/>
      <c r="L322" s="9"/>
      <c r="M322" s="9"/>
      <c r="N322" s="4"/>
      <c r="O322" s="4"/>
      <c r="P322" s="4"/>
      <c r="Q322" s="4"/>
      <c r="R322" s="4"/>
      <c r="S322" s="4"/>
      <c r="T322" s="4"/>
      <c r="V322" s="132"/>
      <c r="W322" s="133"/>
      <c r="X322" s="133"/>
      <c r="AC322" s="134"/>
    </row>
    <row r="323" customFormat="false" ht="15.75" hidden="false" customHeight="true" outlineLevel="0" collapsed="false">
      <c r="D323" s="4"/>
      <c r="E323" s="4"/>
      <c r="F323" s="130"/>
      <c r="G323" s="7"/>
      <c r="H323" s="4"/>
      <c r="I323" s="9"/>
      <c r="J323" s="9"/>
      <c r="K323" s="9"/>
      <c r="L323" s="9"/>
      <c r="M323" s="9"/>
      <c r="N323" s="4"/>
      <c r="O323" s="4"/>
      <c r="P323" s="4"/>
      <c r="Q323" s="4"/>
      <c r="R323" s="4"/>
      <c r="S323" s="4"/>
      <c r="T323" s="4"/>
      <c r="V323" s="132"/>
      <c r="W323" s="133"/>
      <c r="X323" s="133"/>
      <c r="AC323" s="134"/>
    </row>
    <row r="324" customFormat="false" ht="15.75" hidden="false" customHeight="true" outlineLevel="0" collapsed="false">
      <c r="D324" s="4"/>
      <c r="E324" s="4"/>
      <c r="F324" s="130"/>
      <c r="G324" s="7"/>
      <c r="H324" s="4"/>
      <c r="I324" s="9"/>
      <c r="J324" s="9"/>
      <c r="K324" s="9"/>
      <c r="L324" s="9"/>
      <c r="M324" s="9"/>
      <c r="N324" s="4"/>
      <c r="O324" s="4"/>
      <c r="P324" s="4"/>
      <c r="Q324" s="4"/>
      <c r="R324" s="4"/>
      <c r="S324" s="4"/>
      <c r="T324" s="4"/>
      <c r="V324" s="132"/>
      <c r="W324" s="133"/>
      <c r="X324" s="133"/>
      <c r="AC324" s="134"/>
    </row>
    <row r="325" customFormat="false" ht="15.75" hidden="false" customHeight="true" outlineLevel="0" collapsed="false">
      <c r="D325" s="4"/>
      <c r="E325" s="4"/>
      <c r="F325" s="130"/>
      <c r="G325" s="7"/>
      <c r="H325" s="4"/>
      <c r="I325" s="9"/>
      <c r="J325" s="9"/>
      <c r="K325" s="9"/>
      <c r="L325" s="9"/>
      <c r="M325" s="9"/>
      <c r="N325" s="4"/>
      <c r="O325" s="4"/>
      <c r="P325" s="4"/>
      <c r="Q325" s="4"/>
      <c r="R325" s="4"/>
      <c r="S325" s="4"/>
      <c r="T325" s="4"/>
      <c r="V325" s="132"/>
      <c r="W325" s="133"/>
      <c r="X325" s="133"/>
      <c r="AC325" s="134"/>
    </row>
    <row r="326" customFormat="false" ht="15.75" hidden="false" customHeight="true" outlineLevel="0" collapsed="false">
      <c r="D326" s="4"/>
      <c r="E326" s="4"/>
      <c r="F326" s="130"/>
      <c r="G326" s="7"/>
      <c r="H326" s="4"/>
      <c r="I326" s="9"/>
      <c r="J326" s="9"/>
      <c r="K326" s="9"/>
      <c r="L326" s="9"/>
      <c r="M326" s="9"/>
      <c r="N326" s="4"/>
      <c r="O326" s="4"/>
      <c r="P326" s="4"/>
      <c r="Q326" s="4"/>
      <c r="R326" s="4"/>
      <c r="S326" s="4"/>
      <c r="T326" s="4"/>
      <c r="V326" s="132"/>
      <c r="W326" s="133"/>
      <c r="X326" s="133"/>
      <c r="AC326" s="134"/>
    </row>
    <row r="327" customFormat="false" ht="15.75" hidden="false" customHeight="true" outlineLevel="0" collapsed="false">
      <c r="D327" s="4"/>
      <c r="E327" s="4"/>
      <c r="F327" s="130"/>
      <c r="G327" s="7"/>
      <c r="H327" s="4"/>
      <c r="I327" s="9"/>
      <c r="J327" s="9"/>
      <c r="K327" s="9"/>
      <c r="L327" s="9"/>
      <c r="M327" s="9"/>
      <c r="N327" s="4"/>
      <c r="O327" s="4"/>
      <c r="P327" s="4"/>
      <c r="Q327" s="4"/>
      <c r="R327" s="4"/>
      <c r="S327" s="4"/>
      <c r="T327" s="4"/>
      <c r="V327" s="132"/>
      <c r="W327" s="133"/>
      <c r="X327" s="133"/>
      <c r="AC327" s="134"/>
    </row>
    <row r="328" customFormat="false" ht="15.75" hidden="false" customHeight="true" outlineLevel="0" collapsed="false">
      <c r="D328" s="4"/>
      <c r="E328" s="4"/>
      <c r="F328" s="130"/>
      <c r="G328" s="7"/>
      <c r="H328" s="4"/>
      <c r="I328" s="9"/>
      <c r="J328" s="9"/>
      <c r="K328" s="9"/>
      <c r="L328" s="9"/>
      <c r="M328" s="9"/>
      <c r="N328" s="4"/>
      <c r="O328" s="4"/>
      <c r="P328" s="4"/>
      <c r="Q328" s="4"/>
      <c r="R328" s="4"/>
      <c r="S328" s="4"/>
      <c r="T328" s="4"/>
      <c r="V328" s="132"/>
      <c r="W328" s="133"/>
      <c r="X328" s="133"/>
      <c r="AC328" s="134"/>
    </row>
    <row r="329" customFormat="false" ht="15.75" hidden="false" customHeight="true" outlineLevel="0" collapsed="false">
      <c r="D329" s="4"/>
      <c r="E329" s="4"/>
      <c r="F329" s="130"/>
      <c r="G329" s="7"/>
      <c r="H329" s="4"/>
      <c r="I329" s="9"/>
      <c r="J329" s="9"/>
      <c r="K329" s="9"/>
      <c r="L329" s="9"/>
      <c r="M329" s="9"/>
      <c r="N329" s="4"/>
      <c r="O329" s="4"/>
      <c r="P329" s="4"/>
      <c r="Q329" s="4"/>
      <c r="R329" s="4"/>
      <c r="S329" s="4"/>
      <c r="T329" s="4"/>
      <c r="V329" s="132"/>
      <c r="W329" s="133"/>
      <c r="X329" s="133"/>
      <c r="AC329" s="134"/>
    </row>
    <row r="330" customFormat="false" ht="15.75" hidden="false" customHeight="true" outlineLevel="0" collapsed="false">
      <c r="D330" s="4"/>
      <c r="E330" s="4"/>
      <c r="F330" s="130"/>
      <c r="G330" s="7"/>
      <c r="H330" s="4"/>
      <c r="I330" s="9"/>
      <c r="J330" s="9"/>
      <c r="K330" s="9"/>
      <c r="L330" s="9"/>
      <c r="M330" s="9"/>
      <c r="N330" s="4"/>
      <c r="O330" s="4"/>
      <c r="P330" s="4"/>
      <c r="Q330" s="4"/>
      <c r="R330" s="4"/>
      <c r="S330" s="4"/>
      <c r="T330" s="4"/>
      <c r="V330" s="132"/>
      <c r="W330" s="133"/>
      <c r="X330" s="133"/>
      <c r="AC330" s="134"/>
    </row>
    <row r="331" customFormat="false" ht="15.75" hidden="false" customHeight="true" outlineLevel="0" collapsed="false">
      <c r="D331" s="4"/>
      <c r="E331" s="4"/>
      <c r="F331" s="130"/>
      <c r="G331" s="7"/>
      <c r="H331" s="4"/>
      <c r="I331" s="9"/>
      <c r="J331" s="9"/>
      <c r="K331" s="9"/>
      <c r="L331" s="9"/>
      <c r="M331" s="9"/>
      <c r="N331" s="4"/>
      <c r="O331" s="4"/>
      <c r="P331" s="4"/>
      <c r="Q331" s="4"/>
      <c r="R331" s="4"/>
      <c r="S331" s="4"/>
      <c r="T331" s="4"/>
      <c r="V331" s="132"/>
      <c r="W331" s="133"/>
      <c r="X331" s="133"/>
      <c r="AC331" s="134"/>
    </row>
    <row r="332" customFormat="false" ht="15.75" hidden="false" customHeight="true" outlineLevel="0" collapsed="false">
      <c r="D332" s="4"/>
      <c r="E332" s="4"/>
      <c r="F332" s="130"/>
      <c r="G332" s="7"/>
      <c r="H332" s="4"/>
      <c r="I332" s="9"/>
      <c r="J332" s="9"/>
      <c r="K332" s="9"/>
      <c r="L332" s="9"/>
      <c r="M332" s="9"/>
      <c r="N332" s="4"/>
      <c r="O332" s="4"/>
      <c r="P332" s="4"/>
      <c r="Q332" s="4"/>
      <c r="R332" s="4"/>
      <c r="S332" s="4"/>
      <c r="T332" s="4"/>
      <c r="V332" s="132"/>
      <c r="W332" s="133"/>
      <c r="X332" s="133"/>
      <c r="AC332" s="134"/>
    </row>
    <row r="333" customFormat="false" ht="15.75" hidden="false" customHeight="true" outlineLevel="0" collapsed="false">
      <c r="D333" s="4"/>
      <c r="E333" s="4"/>
      <c r="F333" s="130"/>
      <c r="G333" s="7"/>
      <c r="H333" s="4"/>
      <c r="I333" s="9"/>
      <c r="J333" s="9"/>
      <c r="K333" s="9"/>
      <c r="L333" s="9"/>
      <c r="M333" s="9"/>
      <c r="N333" s="4"/>
      <c r="O333" s="4"/>
      <c r="P333" s="4"/>
      <c r="Q333" s="4"/>
      <c r="R333" s="4"/>
      <c r="S333" s="4"/>
      <c r="T333" s="4"/>
      <c r="V333" s="132"/>
      <c r="W333" s="133"/>
      <c r="X333" s="133"/>
      <c r="AC333" s="134"/>
    </row>
    <row r="334" customFormat="false" ht="15.75" hidden="false" customHeight="true" outlineLevel="0" collapsed="false">
      <c r="D334" s="4"/>
      <c r="E334" s="4"/>
      <c r="F334" s="130"/>
      <c r="G334" s="7"/>
      <c r="H334" s="4"/>
      <c r="I334" s="9"/>
      <c r="J334" s="9"/>
      <c r="K334" s="9"/>
      <c r="L334" s="9"/>
      <c r="M334" s="9"/>
      <c r="N334" s="4"/>
      <c r="O334" s="4"/>
      <c r="P334" s="4"/>
      <c r="Q334" s="4"/>
      <c r="R334" s="4"/>
      <c r="S334" s="4"/>
      <c r="T334" s="4"/>
      <c r="V334" s="132"/>
      <c r="W334" s="133"/>
      <c r="X334" s="133"/>
      <c r="AC334" s="134"/>
    </row>
    <row r="335" customFormat="false" ht="15.75" hidden="false" customHeight="true" outlineLevel="0" collapsed="false">
      <c r="D335" s="4"/>
      <c r="E335" s="4"/>
      <c r="F335" s="130"/>
      <c r="G335" s="7"/>
      <c r="H335" s="4"/>
      <c r="I335" s="9"/>
      <c r="J335" s="9"/>
      <c r="K335" s="9"/>
      <c r="L335" s="9"/>
      <c r="M335" s="9"/>
      <c r="N335" s="4"/>
      <c r="O335" s="4"/>
      <c r="P335" s="4"/>
      <c r="Q335" s="4"/>
      <c r="R335" s="4"/>
      <c r="S335" s="4"/>
      <c r="T335" s="4"/>
      <c r="V335" s="132"/>
      <c r="W335" s="133"/>
      <c r="X335" s="133"/>
      <c r="AC335" s="134"/>
    </row>
    <row r="336" customFormat="false" ht="15.75" hidden="false" customHeight="true" outlineLevel="0" collapsed="false">
      <c r="D336" s="4"/>
      <c r="E336" s="4"/>
      <c r="F336" s="130"/>
      <c r="G336" s="7"/>
      <c r="H336" s="4"/>
      <c r="I336" s="9"/>
      <c r="J336" s="9"/>
      <c r="K336" s="9"/>
      <c r="L336" s="9"/>
      <c r="M336" s="9"/>
      <c r="N336" s="4"/>
      <c r="O336" s="4"/>
      <c r="P336" s="4"/>
      <c r="Q336" s="4"/>
      <c r="R336" s="4"/>
      <c r="S336" s="4"/>
      <c r="T336" s="4"/>
      <c r="V336" s="132"/>
      <c r="W336" s="133"/>
      <c r="X336" s="133"/>
      <c r="AC336" s="134"/>
    </row>
    <row r="337" customFormat="false" ht="15.75" hidden="false" customHeight="true" outlineLevel="0" collapsed="false">
      <c r="D337" s="4"/>
      <c r="E337" s="4"/>
      <c r="F337" s="130"/>
      <c r="G337" s="7"/>
      <c r="H337" s="4"/>
      <c r="I337" s="9"/>
      <c r="J337" s="9"/>
      <c r="K337" s="9"/>
      <c r="L337" s="9"/>
      <c r="M337" s="9"/>
      <c r="N337" s="4"/>
      <c r="O337" s="4"/>
      <c r="P337" s="4"/>
      <c r="Q337" s="4"/>
      <c r="R337" s="4"/>
      <c r="S337" s="4"/>
      <c r="T337" s="4"/>
      <c r="V337" s="132"/>
      <c r="W337" s="133"/>
      <c r="X337" s="133"/>
      <c r="AC337" s="134"/>
    </row>
    <row r="338" customFormat="false" ht="15.75" hidden="false" customHeight="true" outlineLevel="0" collapsed="false">
      <c r="D338" s="4"/>
      <c r="E338" s="4"/>
      <c r="F338" s="130"/>
      <c r="G338" s="7"/>
      <c r="H338" s="4"/>
      <c r="I338" s="9"/>
      <c r="J338" s="9"/>
      <c r="K338" s="9"/>
      <c r="L338" s="9"/>
      <c r="M338" s="9"/>
      <c r="N338" s="4"/>
      <c r="O338" s="4"/>
      <c r="P338" s="4"/>
      <c r="Q338" s="4"/>
      <c r="R338" s="4"/>
      <c r="S338" s="4"/>
      <c r="T338" s="4"/>
      <c r="V338" s="132"/>
      <c r="W338" s="133"/>
      <c r="X338" s="133"/>
      <c r="AC338" s="134"/>
    </row>
    <row r="339" customFormat="false" ht="15.75" hidden="false" customHeight="true" outlineLevel="0" collapsed="false">
      <c r="D339" s="4"/>
      <c r="E339" s="4"/>
      <c r="F339" s="130"/>
      <c r="G339" s="7"/>
      <c r="H339" s="4"/>
      <c r="I339" s="9"/>
      <c r="J339" s="9"/>
      <c r="K339" s="9"/>
      <c r="L339" s="9"/>
      <c r="M339" s="9"/>
      <c r="N339" s="4"/>
      <c r="O339" s="4"/>
      <c r="P339" s="4"/>
      <c r="Q339" s="4"/>
      <c r="R339" s="4"/>
      <c r="S339" s="4"/>
      <c r="T339" s="4"/>
      <c r="V339" s="132"/>
      <c r="W339" s="133"/>
      <c r="X339" s="133"/>
      <c r="AC339" s="134"/>
    </row>
    <row r="340" customFormat="false" ht="15.75" hidden="false" customHeight="true" outlineLevel="0" collapsed="false">
      <c r="D340" s="4"/>
      <c r="E340" s="4"/>
      <c r="F340" s="130"/>
      <c r="G340" s="7"/>
      <c r="H340" s="4"/>
      <c r="I340" s="9"/>
      <c r="J340" s="9"/>
      <c r="K340" s="9"/>
      <c r="L340" s="9"/>
      <c r="M340" s="9"/>
      <c r="N340" s="4"/>
      <c r="O340" s="4"/>
      <c r="P340" s="4"/>
      <c r="Q340" s="4"/>
      <c r="R340" s="4"/>
      <c r="S340" s="4"/>
      <c r="T340" s="4"/>
      <c r="V340" s="132"/>
      <c r="W340" s="133"/>
      <c r="X340" s="133"/>
      <c r="AC340" s="134"/>
    </row>
    <row r="341" customFormat="false" ht="15.75" hidden="false" customHeight="true" outlineLevel="0" collapsed="false">
      <c r="D341" s="4"/>
      <c r="E341" s="4"/>
      <c r="F341" s="130"/>
      <c r="G341" s="7"/>
      <c r="H341" s="4"/>
      <c r="I341" s="9"/>
      <c r="J341" s="9"/>
      <c r="K341" s="9"/>
      <c r="L341" s="9"/>
      <c r="M341" s="9"/>
      <c r="N341" s="4"/>
      <c r="O341" s="4"/>
      <c r="P341" s="4"/>
      <c r="Q341" s="4"/>
      <c r="R341" s="4"/>
      <c r="S341" s="4"/>
      <c r="T341" s="4"/>
      <c r="V341" s="132"/>
      <c r="W341" s="133"/>
      <c r="X341" s="133"/>
      <c r="AC341" s="134"/>
    </row>
    <row r="342" customFormat="false" ht="15.75" hidden="false" customHeight="true" outlineLevel="0" collapsed="false">
      <c r="D342" s="4"/>
      <c r="E342" s="4"/>
      <c r="F342" s="130"/>
      <c r="G342" s="7"/>
      <c r="H342" s="4"/>
      <c r="I342" s="9"/>
      <c r="J342" s="9"/>
      <c r="K342" s="9"/>
      <c r="L342" s="9"/>
      <c r="M342" s="9"/>
      <c r="N342" s="4"/>
      <c r="O342" s="4"/>
      <c r="P342" s="4"/>
      <c r="Q342" s="4"/>
      <c r="R342" s="4"/>
      <c r="S342" s="4"/>
      <c r="T342" s="4"/>
      <c r="V342" s="132"/>
      <c r="W342" s="133"/>
      <c r="X342" s="133"/>
      <c r="AC342" s="134"/>
    </row>
    <row r="343" customFormat="false" ht="15.75" hidden="false" customHeight="true" outlineLevel="0" collapsed="false">
      <c r="D343" s="4"/>
      <c r="E343" s="4"/>
      <c r="F343" s="130"/>
      <c r="G343" s="7"/>
      <c r="H343" s="4"/>
      <c r="I343" s="9"/>
      <c r="J343" s="9"/>
      <c r="K343" s="9"/>
      <c r="L343" s="9"/>
      <c r="M343" s="9"/>
      <c r="N343" s="4"/>
      <c r="O343" s="4"/>
      <c r="P343" s="4"/>
      <c r="Q343" s="4"/>
      <c r="R343" s="4"/>
      <c r="S343" s="4"/>
      <c r="T343" s="4"/>
      <c r="V343" s="132"/>
      <c r="W343" s="133"/>
      <c r="X343" s="133"/>
      <c r="AC343" s="134"/>
    </row>
    <row r="344" customFormat="false" ht="15.75" hidden="false" customHeight="true" outlineLevel="0" collapsed="false">
      <c r="D344" s="4"/>
      <c r="E344" s="4"/>
      <c r="F344" s="130"/>
      <c r="G344" s="7"/>
      <c r="H344" s="4"/>
      <c r="I344" s="9"/>
      <c r="J344" s="9"/>
      <c r="K344" s="9"/>
      <c r="L344" s="9"/>
      <c r="M344" s="9"/>
      <c r="N344" s="4"/>
      <c r="O344" s="4"/>
      <c r="P344" s="4"/>
      <c r="Q344" s="4"/>
      <c r="R344" s="4"/>
      <c r="S344" s="4"/>
      <c r="T344" s="4"/>
      <c r="V344" s="132"/>
      <c r="W344" s="133"/>
      <c r="X344" s="133"/>
      <c r="AC344" s="134"/>
    </row>
    <row r="345" customFormat="false" ht="15.75" hidden="false" customHeight="true" outlineLevel="0" collapsed="false">
      <c r="D345" s="4"/>
      <c r="E345" s="4"/>
      <c r="F345" s="130"/>
      <c r="G345" s="7"/>
      <c r="H345" s="4"/>
      <c r="I345" s="9"/>
      <c r="J345" s="9"/>
      <c r="K345" s="9"/>
      <c r="L345" s="9"/>
      <c r="M345" s="9"/>
      <c r="N345" s="4"/>
      <c r="O345" s="4"/>
      <c r="P345" s="4"/>
      <c r="Q345" s="4"/>
      <c r="R345" s="4"/>
      <c r="S345" s="4"/>
      <c r="T345" s="4"/>
      <c r="V345" s="132"/>
      <c r="W345" s="133"/>
      <c r="X345" s="133"/>
      <c r="AC345" s="134"/>
    </row>
    <row r="346" customFormat="false" ht="15.75" hidden="false" customHeight="true" outlineLevel="0" collapsed="false">
      <c r="D346" s="4"/>
      <c r="E346" s="4"/>
      <c r="F346" s="130"/>
      <c r="G346" s="7"/>
      <c r="H346" s="4"/>
      <c r="I346" s="9"/>
      <c r="J346" s="9"/>
      <c r="K346" s="9"/>
      <c r="L346" s="9"/>
      <c r="M346" s="9"/>
      <c r="N346" s="4"/>
      <c r="O346" s="4"/>
      <c r="P346" s="4"/>
      <c r="Q346" s="4"/>
      <c r="R346" s="4"/>
      <c r="S346" s="4"/>
      <c r="T346" s="4"/>
      <c r="V346" s="132"/>
      <c r="W346" s="133"/>
      <c r="X346" s="133"/>
      <c r="AC346" s="134"/>
    </row>
    <row r="347" customFormat="false" ht="15.75" hidden="false" customHeight="true" outlineLevel="0" collapsed="false">
      <c r="D347" s="4"/>
      <c r="E347" s="4"/>
      <c r="F347" s="130"/>
      <c r="G347" s="7"/>
      <c r="H347" s="4"/>
      <c r="I347" s="9"/>
      <c r="J347" s="9"/>
      <c r="K347" s="9"/>
      <c r="L347" s="9"/>
      <c r="M347" s="9"/>
      <c r="N347" s="4"/>
      <c r="O347" s="4"/>
      <c r="P347" s="4"/>
      <c r="Q347" s="4"/>
      <c r="R347" s="4"/>
      <c r="S347" s="4"/>
      <c r="T347" s="4"/>
      <c r="V347" s="132"/>
      <c r="W347" s="133"/>
      <c r="X347" s="133"/>
      <c r="AC347" s="134"/>
    </row>
    <row r="348" customFormat="false" ht="15.75" hidden="false" customHeight="true" outlineLevel="0" collapsed="false">
      <c r="D348" s="4"/>
      <c r="E348" s="4"/>
      <c r="F348" s="130"/>
      <c r="G348" s="7"/>
      <c r="H348" s="4"/>
      <c r="I348" s="9"/>
      <c r="J348" s="9"/>
      <c r="K348" s="9"/>
      <c r="L348" s="9"/>
      <c r="M348" s="9"/>
      <c r="N348" s="4"/>
      <c r="O348" s="4"/>
      <c r="P348" s="4"/>
      <c r="Q348" s="4"/>
      <c r="R348" s="4"/>
      <c r="S348" s="4"/>
      <c r="T348" s="4"/>
      <c r="V348" s="132"/>
      <c r="W348" s="133"/>
      <c r="X348" s="133"/>
      <c r="AC348" s="134"/>
    </row>
    <row r="349" customFormat="false" ht="15.75" hidden="false" customHeight="true" outlineLevel="0" collapsed="false">
      <c r="D349" s="4"/>
      <c r="E349" s="4"/>
      <c r="F349" s="130"/>
      <c r="G349" s="7"/>
      <c r="H349" s="4"/>
      <c r="I349" s="9"/>
      <c r="J349" s="9"/>
      <c r="K349" s="9"/>
      <c r="L349" s="9"/>
      <c r="M349" s="9"/>
      <c r="N349" s="4"/>
      <c r="O349" s="4"/>
      <c r="P349" s="4"/>
      <c r="Q349" s="4"/>
      <c r="R349" s="4"/>
      <c r="S349" s="4"/>
      <c r="T349" s="4"/>
      <c r="V349" s="132"/>
      <c r="W349" s="133"/>
      <c r="X349" s="133"/>
      <c r="AC349" s="134"/>
    </row>
    <row r="350" customFormat="false" ht="15.75" hidden="false" customHeight="true" outlineLevel="0" collapsed="false">
      <c r="D350" s="4"/>
      <c r="E350" s="4"/>
      <c r="F350" s="130"/>
      <c r="G350" s="7"/>
      <c r="H350" s="4"/>
      <c r="I350" s="9"/>
      <c r="J350" s="9"/>
      <c r="K350" s="9"/>
      <c r="L350" s="9"/>
      <c r="M350" s="9"/>
      <c r="N350" s="4"/>
      <c r="O350" s="4"/>
      <c r="P350" s="4"/>
      <c r="Q350" s="4"/>
      <c r="R350" s="4"/>
      <c r="S350" s="4"/>
      <c r="T350" s="4"/>
      <c r="V350" s="132"/>
      <c r="W350" s="133"/>
      <c r="X350" s="133"/>
      <c r="AC350" s="134"/>
    </row>
    <row r="351" customFormat="false" ht="15.75" hidden="false" customHeight="true" outlineLevel="0" collapsed="false">
      <c r="D351" s="4"/>
      <c r="E351" s="4"/>
      <c r="F351" s="130"/>
      <c r="G351" s="7"/>
      <c r="H351" s="4"/>
      <c r="I351" s="9"/>
      <c r="J351" s="9"/>
      <c r="K351" s="9"/>
      <c r="L351" s="9"/>
      <c r="M351" s="9"/>
      <c r="N351" s="4"/>
      <c r="O351" s="4"/>
      <c r="P351" s="4"/>
      <c r="Q351" s="4"/>
      <c r="R351" s="4"/>
      <c r="S351" s="4"/>
      <c r="T351" s="4"/>
      <c r="V351" s="132"/>
      <c r="W351" s="133"/>
      <c r="X351" s="133"/>
      <c r="AC351" s="134"/>
    </row>
    <row r="352" customFormat="false" ht="15.75" hidden="false" customHeight="true" outlineLevel="0" collapsed="false">
      <c r="D352" s="4"/>
      <c r="E352" s="4"/>
      <c r="F352" s="130"/>
      <c r="G352" s="7"/>
      <c r="H352" s="4"/>
      <c r="I352" s="9"/>
      <c r="J352" s="9"/>
      <c r="K352" s="9"/>
      <c r="L352" s="9"/>
      <c r="M352" s="9"/>
      <c r="N352" s="4"/>
      <c r="O352" s="4"/>
      <c r="P352" s="4"/>
      <c r="Q352" s="4"/>
      <c r="R352" s="4"/>
      <c r="S352" s="4"/>
      <c r="T352" s="4"/>
      <c r="V352" s="132"/>
      <c r="W352" s="133"/>
      <c r="X352" s="133"/>
      <c r="AC352" s="134"/>
    </row>
    <row r="353" customFormat="false" ht="15.75" hidden="false" customHeight="true" outlineLevel="0" collapsed="false">
      <c r="D353" s="4"/>
      <c r="E353" s="4"/>
      <c r="F353" s="130"/>
      <c r="G353" s="7"/>
      <c r="H353" s="4"/>
      <c r="I353" s="9"/>
      <c r="J353" s="9"/>
      <c r="K353" s="9"/>
      <c r="L353" s="9"/>
      <c r="M353" s="9"/>
      <c r="N353" s="4"/>
      <c r="O353" s="4"/>
      <c r="P353" s="4"/>
      <c r="Q353" s="4"/>
      <c r="R353" s="4"/>
      <c r="S353" s="4"/>
      <c r="T353" s="4"/>
      <c r="V353" s="132"/>
      <c r="W353" s="133"/>
      <c r="X353" s="133"/>
      <c r="AC353" s="134"/>
    </row>
    <row r="354" customFormat="false" ht="15.75" hidden="false" customHeight="true" outlineLevel="0" collapsed="false">
      <c r="D354" s="4"/>
      <c r="E354" s="4"/>
      <c r="F354" s="130"/>
      <c r="G354" s="7"/>
      <c r="H354" s="4"/>
      <c r="I354" s="9"/>
      <c r="J354" s="9"/>
      <c r="K354" s="9"/>
      <c r="L354" s="9"/>
      <c r="M354" s="9"/>
      <c r="N354" s="4"/>
      <c r="O354" s="4"/>
      <c r="P354" s="4"/>
      <c r="Q354" s="4"/>
      <c r="R354" s="4"/>
      <c r="S354" s="4"/>
      <c r="T354" s="4"/>
      <c r="V354" s="132"/>
      <c r="W354" s="133"/>
      <c r="X354" s="133"/>
      <c r="AC354" s="134"/>
    </row>
    <row r="355" customFormat="false" ht="15.75" hidden="false" customHeight="true" outlineLevel="0" collapsed="false">
      <c r="D355" s="4"/>
      <c r="E355" s="4"/>
      <c r="F355" s="130"/>
      <c r="G355" s="7"/>
      <c r="H355" s="4"/>
      <c r="I355" s="9"/>
      <c r="J355" s="9"/>
      <c r="K355" s="9"/>
      <c r="L355" s="9"/>
      <c r="M355" s="9"/>
      <c r="N355" s="4"/>
      <c r="O355" s="4"/>
      <c r="P355" s="4"/>
      <c r="Q355" s="4"/>
      <c r="R355" s="4"/>
      <c r="S355" s="4"/>
      <c r="T355" s="4"/>
      <c r="V355" s="132"/>
      <c r="W355" s="133"/>
      <c r="X355" s="133"/>
      <c r="AC355" s="134"/>
    </row>
    <row r="356" customFormat="false" ht="15.75" hidden="false" customHeight="true" outlineLevel="0" collapsed="false">
      <c r="D356" s="4"/>
      <c r="E356" s="4"/>
      <c r="F356" s="130"/>
      <c r="G356" s="7"/>
      <c r="H356" s="4"/>
      <c r="I356" s="9"/>
      <c r="J356" s="9"/>
      <c r="K356" s="9"/>
      <c r="L356" s="9"/>
      <c r="M356" s="9"/>
      <c r="N356" s="4"/>
      <c r="O356" s="4"/>
      <c r="P356" s="4"/>
      <c r="Q356" s="4"/>
      <c r="R356" s="4"/>
      <c r="S356" s="4"/>
      <c r="T356" s="4"/>
      <c r="V356" s="132"/>
      <c r="W356" s="133"/>
      <c r="X356" s="133"/>
      <c r="AC356" s="134"/>
    </row>
    <row r="357" customFormat="false" ht="15.75" hidden="false" customHeight="true" outlineLevel="0" collapsed="false">
      <c r="D357" s="4"/>
      <c r="E357" s="4"/>
      <c r="F357" s="130"/>
      <c r="G357" s="7"/>
      <c r="H357" s="4"/>
      <c r="I357" s="9"/>
      <c r="J357" s="9"/>
      <c r="K357" s="9"/>
      <c r="L357" s="9"/>
      <c r="M357" s="9"/>
      <c r="N357" s="4"/>
      <c r="O357" s="4"/>
      <c r="P357" s="4"/>
      <c r="Q357" s="4"/>
      <c r="R357" s="4"/>
      <c r="S357" s="4"/>
      <c r="T357" s="4"/>
      <c r="V357" s="132"/>
      <c r="W357" s="133"/>
      <c r="X357" s="133"/>
      <c r="AC357" s="134"/>
    </row>
    <row r="358" customFormat="false" ht="15.75" hidden="false" customHeight="true" outlineLevel="0" collapsed="false">
      <c r="D358" s="4"/>
      <c r="E358" s="4"/>
      <c r="F358" s="130"/>
      <c r="G358" s="7"/>
      <c r="H358" s="4"/>
      <c r="I358" s="9"/>
      <c r="J358" s="9"/>
      <c r="K358" s="9"/>
      <c r="L358" s="9"/>
      <c r="M358" s="9"/>
      <c r="N358" s="4"/>
      <c r="O358" s="4"/>
      <c r="P358" s="4"/>
      <c r="Q358" s="4"/>
      <c r="R358" s="4"/>
      <c r="S358" s="4"/>
      <c r="T358" s="4"/>
      <c r="V358" s="132"/>
      <c r="W358" s="133"/>
      <c r="X358" s="133"/>
      <c r="AC358" s="134"/>
    </row>
    <row r="359" customFormat="false" ht="15.75" hidden="false" customHeight="true" outlineLevel="0" collapsed="false">
      <c r="D359" s="4"/>
      <c r="E359" s="4"/>
      <c r="F359" s="130"/>
      <c r="G359" s="7"/>
      <c r="H359" s="4"/>
      <c r="I359" s="9"/>
      <c r="J359" s="9"/>
      <c r="K359" s="9"/>
      <c r="L359" s="9"/>
      <c r="M359" s="9"/>
      <c r="N359" s="4"/>
      <c r="O359" s="4"/>
      <c r="P359" s="4"/>
      <c r="Q359" s="4"/>
      <c r="R359" s="4"/>
      <c r="S359" s="4"/>
      <c r="T359" s="4"/>
      <c r="V359" s="132"/>
      <c r="W359" s="133"/>
      <c r="X359" s="133"/>
      <c r="AC359" s="134"/>
    </row>
    <row r="360" customFormat="false" ht="15.75" hidden="false" customHeight="true" outlineLevel="0" collapsed="false">
      <c r="D360" s="4"/>
      <c r="E360" s="4"/>
      <c r="F360" s="130"/>
      <c r="G360" s="7"/>
      <c r="H360" s="4"/>
      <c r="I360" s="9"/>
      <c r="J360" s="9"/>
      <c r="K360" s="9"/>
      <c r="L360" s="9"/>
      <c r="M360" s="9"/>
      <c r="N360" s="4"/>
      <c r="O360" s="4"/>
      <c r="P360" s="4"/>
      <c r="Q360" s="4"/>
      <c r="R360" s="4"/>
      <c r="S360" s="4"/>
      <c r="T360" s="4"/>
      <c r="V360" s="132"/>
      <c r="W360" s="133"/>
      <c r="X360" s="133"/>
      <c r="AC360" s="134"/>
    </row>
    <row r="361" customFormat="false" ht="15.75" hidden="false" customHeight="true" outlineLevel="0" collapsed="false">
      <c r="D361" s="4"/>
      <c r="E361" s="4"/>
      <c r="F361" s="130"/>
      <c r="G361" s="7"/>
      <c r="H361" s="4"/>
      <c r="I361" s="9"/>
      <c r="J361" s="9"/>
      <c r="K361" s="9"/>
      <c r="L361" s="9"/>
      <c r="M361" s="9"/>
      <c r="N361" s="4"/>
      <c r="O361" s="4"/>
      <c r="P361" s="4"/>
      <c r="Q361" s="4"/>
      <c r="R361" s="4"/>
      <c r="S361" s="4"/>
      <c r="T361" s="4"/>
      <c r="V361" s="132"/>
      <c r="W361" s="133"/>
      <c r="X361" s="133"/>
      <c r="AC361" s="134"/>
    </row>
    <row r="362" customFormat="false" ht="15.75" hidden="false" customHeight="true" outlineLevel="0" collapsed="false">
      <c r="D362" s="4"/>
      <c r="E362" s="4"/>
      <c r="F362" s="130"/>
      <c r="G362" s="7"/>
      <c r="H362" s="4"/>
      <c r="I362" s="9"/>
      <c r="J362" s="9"/>
      <c r="K362" s="9"/>
      <c r="L362" s="9"/>
      <c r="M362" s="9"/>
      <c r="N362" s="4"/>
      <c r="O362" s="4"/>
      <c r="P362" s="4"/>
      <c r="Q362" s="4"/>
      <c r="R362" s="4"/>
      <c r="S362" s="4"/>
      <c r="T362" s="4"/>
      <c r="V362" s="132"/>
      <c r="W362" s="133"/>
      <c r="X362" s="133"/>
      <c r="AC362" s="134"/>
    </row>
    <row r="363" customFormat="false" ht="15.75" hidden="false" customHeight="true" outlineLevel="0" collapsed="false">
      <c r="D363" s="4"/>
      <c r="E363" s="4"/>
      <c r="F363" s="130"/>
      <c r="G363" s="7"/>
      <c r="H363" s="4"/>
      <c r="I363" s="9"/>
      <c r="J363" s="9"/>
      <c r="K363" s="9"/>
      <c r="L363" s="9"/>
      <c r="M363" s="9"/>
      <c r="N363" s="4"/>
      <c r="O363" s="4"/>
      <c r="P363" s="4"/>
      <c r="Q363" s="4"/>
      <c r="R363" s="4"/>
      <c r="S363" s="4"/>
      <c r="T363" s="4"/>
      <c r="V363" s="132"/>
      <c r="W363" s="133"/>
      <c r="X363" s="133"/>
      <c r="AC363" s="134"/>
    </row>
    <row r="364" customFormat="false" ht="15.75" hidden="false" customHeight="true" outlineLevel="0" collapsed="false">
      <c r="D364" s="4"/>
      <c r="E364" s="4"/>
      <c r="F364" s="130"/>
      <c r="G364" s="7"/>
      <c r="H364" s="4"/>
      <c r="I364" s="9"/>
      <c r="J364" s="9"/>
      <c r="K364" s="9"/>
      <c r="L364" s="9"/>
      <c r="M364" s="9"/>
      <c r="N364" s="4"/>
      <c r="O364" s="4"/>
      <c r="P364" s="4"/>
      <c r="Q364" s="4"/>
      <c r="R364" s="4"/>
      <c r="S364" s="4"/>
      <c r="T364" s="4"/>
      <c r="V364" s="132"/>
      <c r="W364" s="133"/>
      <c r="X364" s="133"/>
      <c r="AC364" s="134"/>
    </row>
    <row r="365" customFormat="false" ht="15.75" hidden="false" customHeight="true" outlineLevel="0" collapsed="false">
      <c r="D365" s="4"/>
      <c r="E365" s="4"/>
      <c r="F365" s="130"/>
      <c r="G365" s="7"/>
      <c r="H365" s="4"/>
      <c r="I365" s="9"/>
      <c r="J365" s="9"/>
      <c r="K365" s="9"/>
      <c r="L365" s="9"/>
      <c r="M365" s="9"/>
      <c r="N365" s="4"/>
      <c r="O365" s="4"/>
      <c r="P365" s="4"/>
      <c r="Q365" s="4"/>
      <c r="R365" s="4"/>
      <c r="S365" s="4"/>
      <c r="T365" s="4"/>
      <c r="V365" s="132"/>
      <c r="W365" s="133"/>
      <c r="X365" s="133"/>
      <c r="AC365" s="134"/>
    </row>
    <row r="366" customFormat="false" ht="15.75" hidden="false" customHeight="true" outlineLevel="0" collapsed="false">
      <c r="D366" s="4"/>
      <c r="E366" s="4"/>
      <c r="F366" s="130"/>
      <c r="G366" s="7"/>
      <c r="H366" s="4"/>
      <c r="I366" s="9"/>
      <c r="J366" s="9"/>
      <c r="K366" s="9"/>
      <c r="L366" s="9"/>
      <c r="M366" s="9"/>
      <c r="N366" s="4"/>
      <c r="O366" s="4"/>
      <c r="P366" s="4"/>
      <c r="Q366" s="4"/>
      <c r="R366" s="4"/>
      <c r="S366" s="4"/>
      <c r="T366" s="4"/>
      <c r="V366" s="132"/>
      <c r="W366" s="133"/>
      <c r="X366" s="133"/>
      <c r="AC366" s="134"/>
    </row>
    <row r="367" customFormat="false" ht="15.75" hidden="false" customHeight="true" outlineLevel="0" collapsed="false">
      <c r="D367" s="4"/>
      <c r="E367" s="4"/>
      <c r="F367" s="130"/>
      <c r="G367" s="7"/>
      <c r="H367" s="4"/>
      <c r="I367" s="9"/>
      <c r="J367" s="9"/>
      <c r="K367" s="9"/>
      <c r="L367" s="9"/>
      <c r="M367" s="9"/>
      <c r="N367" s="4"/>
      <c r="O367" s="4"/>
      <c r="P367" s="4"/>
      <c r="Q367" s="4"/>
      <c r="R367" s="4"/>
      <c r="S367" s="4"/>
      <c r="T367" s="4"/>
      <c r="V367" s="132"/>
      <c r="W367" s="133"/>
      <c r="X367" s="133"/>
      <c r="AC367" s="134"/>
    </row>
    <row r="368" customFormat="false" ht="15.75" hidden="false" customHeight="true" outlineLevel="0" collapsed="false">
      <c r="D368" s="4"/>
      <c r="E368" s="4"/>
      <c r="F368" s="130"/>
      <c r="G368" s="7"/>
      <c r="H368" s="4"/>
      <c r="I368" s="9"/>
      <c r="J368" s="9"/>
      <c r="K368" s="9"/>
      <c r="L368" s="9"/>
      <c r="M368" s="9"/>
      <c r="N368" s="4"/>
      <c r="O368" s="4"/>
      <c r="P368" s="4"/>
      <c r="Q368" s="4"/>
      <c r="R368" s="4"/>
      <c r="S368" s="4"/>
      <c r="T368" s="4"/>
      <c r="V368" s="132"/>
      <c r="W368" s="133"/>
      <c r="X368" s="133"/>
      <c r="AC368" s="134"/>
    </row>
    <row r="369" customFormat="false" ht="15.75" hidden="false" customHeight="true" outlineLevel="0" collapsed="false">
      <c r="D369" s="4"/>
      <c r="E369" s="4"/>
      <c r="F369" s="130"/>
      <c r="G369" s="7"/>
      <c r="H369" s="4"/>
      <c r="I369" s="9"/>
      <c r="J369" s="9"/>
      <c r="K369" s="9"/>
      <c r="L369" s="9"/>
      <c r="M369" s="9"/>
      <c r="N369" s="4"/>
      <c r="O369" s="4"/>
      <c r="P369" s="4"/>
      <c r="Q369" s="4"/>
      <c r="R369" s="4"/>
      <c r="S369" s="4"/>
      <c r="T369" s="4"/>
      <c r="V369" s="132"/>
      <c r="W369" s="133"/>
      <c r="X369" s="133"/>
      <c r="AC369" s="134"/>
    </row>
    <row r="370" customFormat="false" ht="15.75" hidden="false" customHeight="true" outlineLevel="0" collapsed="false">
      <c r="D370" s="4"/>
      <c r="E370" s="4"/>
      <c r="F370" s="130"/>
      <c r="G370" s="7"/>
      <c r="H370" s="4"/>
      <c r="I370" s="9"/>
      <c r="J370" s="9"/>
      <c r="K370" s="9"/>
      <c r="L370" s="9"/>
      <c r="M370" s="9"/>
      <c r="N370" s="4"/>
      <c r="O370" s="4"/>
      <c r="P370" s="4"/>
      <c r="Q370" s="4"/>
      <c r="R370" s="4"/>
      <c r="S370" s="4"/>
      <c r="T370" s="4"/>
      <c r="V370" s="132"/>
      <c r="W370" s="133"/>
      <c r="X370" s="133"/>
      <c r="AC370" s="134"/>
    </row>
    <row r="371" customFormat="false" ht="15.75" hidden="false" customHeight="true" outlineLevel="0" collapsed="false">
      <c r="D371" s="4"/>
      <c r="E371" s="4"/>
      <c r="F371" s="130"/>
      <c r="G371" s="7"/>
      <c r="H371" s="4"/>
      <c r="I371" s="9"/>
      <c r="J371" s="9"/>
      <c r="K371" s="9"/>
      <c r="L371" s="9"/>
      <c r="M371" s="9"/>
      <c r="N371" s="4"/>
      <c r="O371" s="4"/>
      <c r="P371" s="4"/>
      <c r="Q371" s="4"/>
      <c r="R371" s="4"/>
      <c r="S371" s="4"/>
      <c r="T371" s="4"/>
      <c r="V371" s="132"/>
      <c r="W371" s="133"/>
      <c r="X371" s="133"/>
      <c r="AC371" s="134"/>
    </row>
    <row r="372" customFormat="false" ht="15.75" hidden="false" customHeight="true" outlineLevel="0" collapsed="false">
      <c r="D372" s="4"/>
      <c r="E372" s="4"/>
      <c r="F372" s="130"/>
      <c r="G372" s="7"/>
      <c r="H372" s="4"/>
      <c r="I372" s="9"/>
      <c r="J372" s="9"/>
      <c r="K372" s="9"/>
      <c r="L372" s="9"/>
      <c r="M372" s="9"/>
      <c r="N372" s="4"/>
      <c r="O372" s="4"/>
      <c r="P372" s="4"/>
      <c r="Q372" s="4"/>
      <c r="R372" s="4"/>
      <c r="S372" s="4"/>
      <c r="T372" s="4"/>
      <c r="V372" s="132"/>
      <c r="W372" s="133"/>
      <c r="X372" s="133"/>
      <c r="AC372" s="134"/>
    </row>
    <row r="373" customFormat="false" ht="15.75" hidden="false" customHeight="true" outlineLevel="0" collapsed="false">
      <c r="D373" s="4"/>
      <c r="E373" s="4"/>
      <c r="F373" s="130"/>
      <c r="G373" s="7"/>
      <c r="H373" s="4"/>
      <c r="I373" s="9"/>
      <c r="J373" s="9"/>
      <c r="K373" s="9"/>
      <c r="L373" s="9"/>
      <c r="M373" s="9"/>
      <c r="N373" s="4"/>
      <c r="O373" s="4"/>
      <c r="P373" s="4"/>
      <c r="Q373" s="4"/>
      <c r="R373" s="4"/>
      <c r="S373" s="4"/>
      <c r="T373" s="4"/>
      <c r="V373" s="132"/>
      <c r="W373" s="133"/>
      <c r="X373" s="133"/>
      <c r="AC373" s="134"/>
    </row>
    <row r="374" customFormat="false" ht="15.75" hidden="false" customHeight="true" outlineLevel="0" collapsed="false">
      <c r="D374" s="4"/>
      <c r="E374" s="4"/>
      <c r="F374" s="130"/>
      <c r="G374" s="7"/>
      <c r="H374" s="4"/>
      <c r="I374" s="9"/>
      <c r="J374" s="9"/>
      <c r="K374" s="9"/>
      <c r="L374" s="9"/>
      <c r="M374" s="9"/>
      <c r="N374" s="4"/>
      <c r="O374" s="4"/>
      <c r="P374" s="4"/>
      <c r="Q374" s="4"/>
      <c r="R374" s="4"/>
      <c r="S374" s="4"/>
      <c r="T374" s="4"/>
      <c r="V374" s="132"/>
      <c r="W374" s="133"/>
      <c r="X374" s="133"/>
      <c r="AC374" s="134"/>
    </row>
    <row r="375" customFormat="false" ht="15.75" hidden="false" customHeight="true" outlineLevel="0" collapsed="false">
      <c r="D375" s="4"/>
      <c r="E375" s="4"/>
      <c r="F375" s="130"/>
      <c r="G375" s="7"/>
      <c r="H375" s="4"/>
      <c r="I375" s="9"/>
      <c r="J375" s="9"/>
      <c r="K375" s="9"/>
      <c r="L375" s="9"/>
      <c r="M375" s="9"/>
      <c r="N375" s="4"/>
      <c r="O375" s="4"/>
      <c r="P375" s="4"/>
      <c r="Q375" s="4"/>
      <c r="R375" s="4"/>
      <c r="S375" s="4"/>
      <c r="T375" s="4"/>
      <c r="V375" s="132"/>
      <c r="W375" s="133"/>
      <c r="X375" s="133"/>
      <c r="AC375" s="134"/>
    </row>
    <row r="376" customFormat="false" ht="15.75" hidden="false" customHeight="true" outlineLevel="0" collapsed="false">
      <c r="D376" s="4"/>
      <c r="E376" s="4"/>
      <c r="F376" s="130"/>
      <c r="G376" s="7"/>
      <c r="H376" s="4"/>
      <c r="I376" s="9"/>
      <c r="J376" s="9"/>
      <c r="K376" s="9"/>
      <c r="L376" s="9"/>
      <c r="M376" s="9"/>
      <c r="N376" s="4"/>
      <c r="O376" s="4"/>
      <c r="P376" s="4"/>
      <c r="Q376" s="4"/>
      <c r="R376" s="4"/>
      <c r="S376" s="4"/>
      <c r="T376" s="4"/>
      <c r="V376" s="132"/>
      <c r="W376" s="133"/>
      <c r="X376" s="133"/>
      <c r="AC376" s="134"/>
    </row>
    <row r="377" customFormat="false" ht="15.75" hidden="false" customHeight="true" outlineLevel="0" collapsed="false">
      <c r="D377" s="4"/>
      <c r="E377" s="4"/>
      <c r="F377" s="130"/>
      <c r="G377" s="7"/>
      <c r="H377" s="4"/>
      <c r="I377" s="9"/>
      <c r="J377" s="9"/>
      <c r="K377" s="9"/>
      <c r="L377" s="9"/>
      <c r="M377" s="9"/>
      <c r="N377" s="4"/>
      <c r="O377" s="4"/>
      <c r="P377" s="4"/>
      <c r="Q377" s="4"/>
      <c r="R377" s="4"/>
      <c r="S377" s="4"/>
      <c r="T377" s="4"/>
      <c r="V377" s="132"/>
      <c r="W377" s="133"/>
      <c r="X377" s="133"/>
      <c r="AC377" s="134"/>
    </row>
    <row r="378" customFormat="false" ht="15.75" hidden="false" customHeight="true" outlineLevel="0" collapsed="false">
      <c r="D378" s="4"/>
      <c r="E378" s="4"/>
      <c r="F378" s="130"/>
      <c r="G378" s="7"/>
      <c r="H378" s="4"/>
      <c r="I378" s="9"/>
      <c r="J378" s="9"/>
      <c r="K378" s="9"/>
      <c r="L378" s="9"/>
      <c r="M378" s="9"/>
      <c r="N378" s="4"/>
      <c r="O378" s="4"/>
      <c r="P378" s="4"/>
      <c r="Q378" s="4"/>
      <c r="R378" s="4"/>
      <c r="S378" s="4"/>
      <c r="T378" s="4"/>
      <c r="V378" s="132"/>
      <c r="W378" s="133"/>
      <c r="X378" s="133"/>
      <c r="AC378" s="134"/>
    </row>
    <row r="379" customFormat="false" ht="15.75" hidden="false" customHeight="true" outlineLevel="0" collapsed="false">
      <c r="D379" s="4"/>
      <c r="E379" s="4"/>
      <c r="F379" s="130"/>
      <c r="G379" s="7"/>
      <c r="H379" s="4"/>
      <c r="I379" s="9"/>
      <c r="J379" s="9"/>
      <c r="K379" s="9"/>
      <c r="L379" s="9"/>
      <c r="M379" s="9"/>
      <c r="N379" s="4"/>
      <c r="O379" s="4"/>
      <c r="P379" s="4"/>
      <c r="Q379" s="4"/>
      <c r="R379" s="4"/>
      <c r="S379" s="4"/>
      <c r="T379" s="4"/>
      <c r="V379" s="132"/>
      <c r="W379" s="133"/>
      <c r="X379" s="133"/>
      <c r="AC379" s="134"/>
    </row>
    <row r="380" customFormat="false" ht="15.75" hidden="false" customHeight="true" outlineLevel="0" collapsed="false">
      <c r="D380" s="4"/>
      <c r="E380" s="4"/>
      <c r="F380" s="130"/>
      <c r="G380" s="7"/>
      <c r="H380" s="4"/>
      <c r="I380" s="9"/>
      <c r="J380" s="9"/>
      <c r="K380" s="9"/>
      <c r="L380" s="9"/>
      <c r="M380" s="9"/>
      <c r="N380" s="4"/>
      <c r="O380" s="4"/>
      <c r="P380" s="4"/>
      <c r="Q380" s="4"/>
      <c r="R380" s="4"/>
      <c r="S380" s="4"/>
      <c r="T380" s="4"/>
      <c r="V380" s="132"/>
      <c r="W380" s="133"/>
      <c r="X380" s="133"/>
      <c r="AC380" s="134"/>
    </row>
    <row r="381" customFormat="false" ht="15.75" hidden="false" customHeight="true" outlineLevel="0" collapsed="false">
      <c r="D381" s="4"/>
      <c r="E381" s="4"/>
      <c r="F381" s="130"/>
      <c r="G381" s="7"/>
      <c r="H381" s="4"/>
      <c r="I381" s="9"/>
      <c r="J381" s="9"/>
      <c r="K381" s="9"/>
      <c r="L381" s="9"/>
      <c r="M381" s="9"/>
      <c r="N381" s="4"/>
      <c r="O381" s="4"/>
      <c r="P381" s="4"/>
      <c r="Q381" s="4"/>
      <c r="R381" s="4"/>
      <c r="S381" s="4"/>
      <c r="T381" s="4"/>
      <c r="V381" s="132"/>
      <c r="W381" s="133"/>
      <c r="X381" s="133"/>
      <c r="AC381" s="134"/>
    </row>
    <row r="382" customFormat="false" ht="15.75" hidden="false" customHeight="true" outlineLevel="0" collapsed="false">
      <c r="D382" s="4"/>
      <c r="E382" s="4"/>
      <c r="F382" s="130"/>
      <c r="G382" s="7"/>
      <c r="H382" s="4"/>
      <c r="I382" s="9"/>
      <c r="J382" s="9"/>
      <c r="K382" s="9"/>
      <c r="L382" s="9"/>
      <c r="M382" s="9"/>
      <c r="N382" s="4"/>
      <c r="O382" s="4"/>
      <c r="P382" s="4"/>
      <c r="Q382" s="4"/>
      <c r="R382" s="4"/>
      <c r="S382" s="4"/>
      <c r="T382" s="4"/>
      <c r="V382" s="132"/>
      <c r="W382" s="133"/>
      <c r="X382" s="133"/>
      <c r="AC382" s="134"/>
    </row>
    <row r="383" customFormat="false" ht="15.75" hidden="false" customHeight="true" outlineLevel="0" collapsed="false">
      <c r="D383" s="4"/>
      <c r="E383" s="4"/>
      <c r="F383" s="130"/>
      <c r="G383" s="7"/>
      <c r="H383" s="4"/>
      <c r="I383" s="9"/>
      <c r="J383" s="9"/>
      <c r="K383" s="9"/>
      <c r="L383" s="9"/>
      <c r="M383" s="9"/>
      <c r="N383" s="4"/>
      <c r="O383" s="4"/>
      <c r="P383" s="4"/>
      <c r="Q383" s="4"/>
      <c r="R383" s="4"/>
      <c r="S383" s="4"/>
      <c r="T383" s="4"/>
      <c r="V383" s="132"/>
      <c r="W383" s="133"/>
      <c r="X383" s="133"/>
      <c r="AC383" s="134"/>
    </row>
    <row r="384" customFormat="false" ht="15.75" hidden="false" customHeight="true" outlineLevel="0" collapsed="false">
      <c r="D384" s="4"/>
      <c r="E384" s="4"/>
      <c r="F384" s="130"/>
      <c r="G384" s="7"/>
      <c r="H384" s="4"/>
      <c r="I384" s="9"/>
      <c r="J384" s="9"/>
      <c r="K384" s="9"/>
      <c r="L384" s="9"/>
      <c r="M384" s="9"/>
      <c r="N384" s="4"/>
      <c r="O384" s="4"/>
      <c r="P384" s="4"/>
      <c r="Q384" s="4"/>
      <c r="R384" s="4"/>
      <c r="S384" s="4"/>
      <c r="T384" s="4"/>
      <c r="V384" s="132"/>
      <c r="W384" s="133"/>
      <c r="X384" s="133"/>
      <c r="AC384" s="134"/>
    </row>
    <row r="385" customFormat="false" ht="15.75" hidden="false" customHeight="true" outlineLevel="0" collapsed="false">
      <c r="D385" s="4"/>
      <c r="E385" s="4"/>
      <c r="F385" s="130"/>
      <c r="G385" s="7"/>
      <c r="H385" s="4"/>
      <c r="I385" s="9"/>
      <c r="J385" s="9"/>
      <c r="K385" s="9"/>
      <c r="L385" s="9"/>
      <c r="M385" s="9"/>
      <c r="N385" s="4"/>
      <c r="O385" s="4"/>
      <c r="P385" s="4"/>
      <c r="Q385" s="4"/>
      <c r="R385" s="4"/>
      <c r="S385" s="4"/>
      <c r="T385" s="4"/>
      <c r="V385" s="132"/>
      <c r="W385" s="133"/>
      <c r="X385" s="133"/>
      <c r="AC385" s="134"/>
    </row>
    <row r="386" customFormat="false" ht="15.75" hidden="false" customHeight="true" outlineLevel="0" collapsed="false">
      <c r="D386" s="4"/>
      <c r="E386" s="4"/>
      <c r="F386" s="130"/>
      <c r="G386" s="7"/>
      <c r="H386" s="4"/>
      <c r="I386" s="9"/>
      <c r="J386" s="9"/>
      <c r="K386" s="9"/>
      <c r="L386" s="9"/>
      <c r="M386" s="9"/>
      <c r="N386" s="4"/>
      <c r="O386" s="4"/>
      <c r="P386" s="4"/>
      <c r="Q386" s="4"/>
      <c r="R386" s="4"/>
      <c r="S386" s="4"/>
      <c r="T386" s="4"/>
      <c r="V386" s="132"/>
      <c r="W386" s="133"/>
      <c r="X386" s="133"/>
      <c r="AC386" s="134"/>
    </row>
    <row r="387" customFormat="false" ht="15.75" hidden="false" customHeight="true" outlineLevel="0" collapsed="false">
      <c r="D387" s="4"/>
      <c r="E387" s="4"/>
      <c r="F387" s="130"/>
      <c r="G387" s="7"/>
      <c r="H387" s="4"/>
      <c r="I387" s="9"/>
      <c r="J387" s="9"/>
      <c r="K387" s="9"/>
      <c r="L387" s="9"/>
      <c r="M387" s="9"/>
      <c r="N387" s="4"/>
      <c r="O387" s="4"/>
      <c r="P387" s="4"/>
      <c r="Q387" s="4"/>
      <c r="R387" s="4"/>
      <c r="S387" s="4"/>
      <c r="T387" s="4"/>
      <c r="V387" s="132"/>
      <c r="W387" s="133"/>
      <c r="X387" s="133"/>
      <c r="AC387" s="134"/>
    </row>
    <row r="388" customFormat="false" ht="15.75" hidden="false" customHeight="true" outlineLevel="0" collapsed="false">
      <c r="D388" s="4"/>
      <c r="E388" s="4"/>
      <c r="F388" s="130"/>
      <c r="G388" s="7"/>
      <c r="H388" s="4"/>
      <c r="I388" s="9"/>
      <c r="J388" s="9"/>
      <c r="K388" s="9"/>
      <c r="L388" s="9"/>
      <c r="M388" s="9"/>
      <c r="N388" s="4"/>
      <c r="O388" s="4"/>
      <c r="P388" s="4"/>
      <c r="Q388" s="4"/>
      <c r="R388" s="4"/>
      <c r="S388" s="4"/>
      <c r="T388" s="4"/>
      <c r="V388" s="132"/>
      <c r="W388" s="133"/>
      <c r="X388" s="133"/>
      <c r="AC388" s="134"/>
    </row>
    <row r="389" customFormat="false" ht="15.75" hidden="false" customHeight="true" outlineLevel="0" collapsed="false">
      <c r="D389" s="4"/>
      <c r="E389" s="4"/>
      <c r="F389" s="130"/>
      <c r="G389" s="7"/>
      <c r="H389" s="4"/>
      <c r="I389" s="9"/>
      <c r="J389" s="9"/>
      <c r="K389" s="9"/>
      <c r="L389" s="9"/>
      <c r="M389" s="9"/>
      <c r="N389" s="4"/>
      <c r="O389" s="4"/>
      <c r="P389" s="4"/>
      <c r="Q389" s="4"/>
      <c r="R389" s="4"/>
      <c r="S389" s="4"/>
      <c r="T389" s="4"/>
      <c r="V389" s="132"/>
      <c r="W389" s="133"/>
      <c r="X389" s="133"/>
      <c r="AC389" s="134"/>
    </row>
    <row r="390" customFormat="false" ht="15.75" hidden="false" customHeight="true" outlineLevel="0" collapsed="false">
      <c r="D390" s="4"/>
      <c r="E390" s="4"/>
      <c r="F390" s="130"/>
      <c r="G390" s="7"/>
      <c r="H390" s="4"/>
      <c r="I390" s="9"/>
      <c r="J390" s="9"/>
      <c r="K390" s="9"/>
      <c r="L390" s="9"/>
      <c r="M390" s="9"/>
      <c r="N390" s="4"/>
      <c r="O390" s="4"/>
      <c r="P390" s="4"/>
      <c r="Q390" s="4"/>
      <c r="R390" s="4"/>
      <c r="S390" s="4"/>
      <c r="T390" s="4"/>
      <c r="V390" s="132"/>
      <c r="W390" s="133"/>
      <c r="X390" s="133"/>
      <c r="AC390" s="134"/>
    </row>
    <row r="391" customFormat="false" ht="15.75" hidden="false" customHeight="true" outlineLevel="0" collapsed="false">
      <c r="D391" s="4"/>
      <c r="E391" s="4"/>
      <c r="F391" s="130"/>
      <c r="G391" s="7"/>
      <c r="H391" s="4"/>
      <c r="I391" s="9"/>
      <c r="J391" s="9"/>
      <c r="K391" s="9"/>
      <c r="L391" s="9"/>
      <c r="M391" s="9"/>
      <c r="N391" s="4"/>
      <c r="O391" s="4"/>
      <c r="P391" s="4"/>
      <c r="Q391" s="4"/>
      <c r="R391" s="4"/>
      <c r="S391" s="4"/>
      <c r="T391" s="4"/>
      <c r="V391" s="132"/>
      <c r="W391" s="133"/>
      <c r="X391" s="133"/>
      <c r="AC391" s="134"/>
    </row>
    <row r="392" customFormat="false" ht="15.75" hidden="false" customHeight="true" outlineLevel="0" collapsed="false">
      <c r="D392" s="4"/>
      <c r="E392" s="4"/>
      <c r="F392" s="130"/>
      <c r="G392" s="7"/>
      <c r="H392" s="4"/>
      <c r="I392" s="9"/>
      <c r="J392" s="9"/>
      <c r="K392" s="9"/>
      <c r="L392" s="9"/>
      <c r="M392" s="9"/>
      <c r="N392" s="4"/>
      <c r="O392" s="4"/>
      <c r="P392" s="4"/>
      <c r="Q392" s="4"/>
      <c r="R392" s="4"/>
      <c r="S392" s="4"/>
      <c r="T392" s="4"/>
      <c r="V392" s="132"/>
      <c r="W392" s="133"/>
      <c r="X392" s="133"/>
      <c r="AC392" s="134"/>
    </row>
    <row r="393" customFormat="false" ht="15.75" hidden="false" customHeight="true" outlineLevel="0" collapsed="false">
      <c r="D393" s="4"/>
      <c r="E393" s="4"/>
      <c r="F393" s="130"/>
      <c r="G393" s="7"/>
      <c r="H393" s="4"/>
      <c r="I393" s="9"/>
      <c r="J393" s="9"/>
      <c r="K393" s="9"/>
      <c r="L393" s="9"/>
      <c r="M393" s="9"/>
      <c r="N393" s="4"/>
      <c r="O393" s="4"/>
      <c r="P393" s="4"/>
      <c r="Q393" s="4"/>
      <c r="R393" s="4"/>
      <c r="S393" s="4"/>
      <c r="T393" s="4"/>
      <c r="V393" s="132"/>
      <c r="W393" s="133"/>
      <c r="X393" s="133"/>
      <c r="AC393" s="134"/>
    </row>
    <row r="394" customFormat="false" ht="15.75" hidden="false" customHeight="true" outlineLevel="0" collapsed="false">
      <c r="D394" s="4"/>
      <c r="E394" s="4"/>
      <c r="F394" s="130"/>
      <c r="G394" s="7"/>
      <c r="H394" s="4"/>
      <c r="I394" s="9"/>
      <c r="J394" s="9"/>
      <c r="K394" s="9"/>
      <c r="L394" s="9"/>
      <c r="M394" s="9"/>
      <c r="N394" s="4"/>
      <c r="O394" s="4"/>
      <c r="P394" s="4"/>
      <c r="Q394" s="4"/>
      <c r="R394" s="4"/>
      <c r="S394" s="4"/>
      <c r="T394" s="4"/>
      <c r="V394" s="132"/>
      <c r="W394" s="133"/>
      <c r="X394" s="133"/>
      <c r="AC394" s="134"/>
    </row>
    <row r="395" customFormat="false" ht="15.75" hidden="false" customHeight="true" outlineLevel="0" collapsed="false">
      <c r="D395" s="4"/>
      <c r="E395" s="4"/>
      <c r="F395" s="130"/>
      <c r="G395" s="7"/>
      <c r="H395" s="4"/>
      <c r="I395" s="9"/>
      <c r="J395" s="9"/>
      <c r="K395" s="9"/>
      <c r="L395" s="9"/>
      <c r="M395" s="9"/>
      <c r="N395" s="4"/>
      <c r="O395" s="4"/>
      <c r="P395" s="4"/>
      <c r="Q395" s="4"/>
      <c r="R395" s="4"/>
      <c r="S395" s="4"/>
      <c r="T395" s="4"/>
      <c r="V395" s="132"/>
      <c r="W395" s="133"/>
      <c r="X395" s="133"/>
      <c r="AC395" s="134"/>
    </row>
    <row r="396" customFormat="false" ht="15.75" hidden="false" customHeight="true" outlineLevel="0" collapsed="false">
      <c r="D396" s="4"/>
      <c r="E396" s="4"/>
      <c r="F396" s="130"/>
      <c r="G396" s="7"/>
      <c r="H396" s="4"/>
      <c r="I396" s="9"/>
      <c r="J396" s="9"/>
      <c r="K396" s="9"/>
      <c r="L396" s="9"/>
      <c r="M396" s="9"/>
      <c r="N396" s="4"/>
      <c r="O396" s="4"/>
      <c r="P396" s="4"/>
      <c r="Q396" s="4"/>
      <c r="R396" s="4"/>
      <c r="S396" s="4"/>
      <c r="T396" s="4"/>
      <c r="V396" s="132"/>
      <c r="W396" s="133"/>
      <c r="X396" s="133"/>
      <c r="AC396" s="134"/>
    </row>
    <row r="397" customFormat="false" ht="15.75" hidden="false" customHeight="true" outlineLevel="0" collapsed="false">
      <c r="D397" s="4"/>
      <c r="E397" s="4"/>
      <c r="F397" s="130"/>
      <c r="G397" s="7"/>
      <c r="H397" s="4"/>
      <c r="I397" s="9"/>
      <c r="J397" s="9"/>
      <c r="K397" s="9"/>
      <c r="L397" s="9"/>
      <c r="M397" s="9"/>
      <c r="N397" s="4"/>
      <c r="O397" s="4"/>
      <c r="P397" s="4"/>
      <c r="Q397" s="4"/>
      <c r="R397" s="4"/>
      <c r="S397" s="4"/>
      <c r="T397" s="4"/>
      <c r="V397" s="132"/>
      <c r="W397" s="133"/>
      <c r="X397" s="133"/>
      <c r="AC397" s="134"/>
    </row>
    <row r="398" customFormat="false" ht="15.75" hidden="false" customHeight="true" outlineLevel="0" collapsed="false">
      <c r="D398" s="4"/>
      <c r="E398" s="4"/>
      <c r="F398" s="130"/>
      <c r="G398" s="7"/>
      <c r="H398" s="4"/>
      <c r="I398" s="9"/>
      <c r="J398" s="9"/>
      <c r="K398" s="9"/>
      <c r="L398" s="9"/>
      <c r="M398" s="9"/>
      <c r="N398" s="4"/>
      <c r="O398" s="4"/>
      <c r="P398" s="4"/>
      <c r="Q398" s="4"/>
      <c r="R398" s="4"/>
      <c r="S398" s="4"/>
      <c r="T398" s="4"/>
      <c r="V398" s="132"/>
      <c r="W398" s="133"/>
      <c r="X398" s="133"/>
      <c r="AC398" s="134"/>
    </row>
    <row r="399" customFormat="false" ht="15.75" hidden="false" customHeight="true" outlineLevel="0" collapsed="false">
      <c r="D399" s="4"/>
      <c r="E399" s="4"/>
      <c r="F399" s="130"/>
      <c r="G399" s="7"/>
      <c r="H399" s="4"/>
      <c r="I399" s="9"/>
      <c r="J399" s="9"/>
      <c r="K399" s="9"/>
      <c r="L399" s="9"/>
      <c r="M399" s="9"/>
      <c r="N399" s="4"/>
      <c r="O399" s="4"/>
      <c r="P399" s="4"/>
      <c r="Q399" s="4"/>
      <c r="R399" s="4"/>
      <c r="S399" s="4"/>
      <c r="T399" s="4"/>
      <c r="V399" s="132"/>
      <c r="W399" s="133"/>
      <c r="X399" s="133"/>
      <c r="AC399" s="134"/>
    </row>
    <row r="400" customFormat="false" ht="15.75" hidden="false" customHeight="true" outlineLevel="0" collapsed="false">
      <c r="D400" s="4"/>
      <c r="E400" s="4"/>
      <c r="F400" s="130"/>
      <c r="G400" s="7"/>
      <c r="H400" s="4"/>
      <c r="I400" s="9"/>
      <c r="J400" s="9"/>
      <c r="K400" s="9"/>
      <c r="L400" s="9"/>
      <c r="M400" s="9"/>
      <c r="N400" s="4"/>
      <c r="O400" s="4"/>
      <c r="P400" s="4"/>
      <c r="Q400" s="4"/>
      <c r="R400" s="4"/>
      <c r="S400" s="4"/>
      <c r="T400" s="4"/>
      <c r="V400" s="132"/>
      <c r="W400" s="133"/>
      <c r="X400" s="133"/>
      <c r="AC400" s="134"/>
    </row>
    <row r="401" customFormat="false" ht="15.75" hidden="false" customHeight="true" outlineLevel="0" collapsed="false">
      <c r="D401" s="4"/>
      <c r="E401" s="4"/>
      <c r="F401" s="130"/>
      <c r="G401" s="7"/>
      <c r="H401" s="4"/>
      <c r="I401" s="9"/>
      <c r="J401" s="9"/>
      <c r="K401" s="9"/>
      <c r="L401" s="9"/>
      <c r="M401" s="9"/>
      <c r="N401" s="4"/>
      <c r="O401" s="4"/>
      <c r="P401" s="4"/>
      <c r="Q401" s="4"/>
      <c r="R401" s="4"/>
      <c r="S401" s="4"/>
      <c r="T401" s="4"/>
      <c r="V401" s="132"/>
      <c r="W401" s="133"/>
      <c r="X401" s="133"/>
      <c r="AC401" s="134"/>
    </row>
    <row r="402" customFormat="false" ht="15.75" hidden="false" customHeight="true" outlineLevel="0" collapsed="false">
      <c r="D402" s="4"/>
      <c r="E402" s="4"/>
      <c r="F402" s="130"/>
      <c r="G402" s="7"/>
      <c r="H402" s="4"/>
      <c r="I402" s="9"/>
      <c r="J402" s="9"/>
      <c r="K402" s="9"/>
      <c r="L402" s="9"/>
      <c r="M402" s="9"/>
      <c r="N402" s="4"/>
      <c r="O402" s="4"/>
      <c r="P402" s="4"/>
      <c r="Q402" s="4"/>
      <c r="R402" s="4"/>
      <c r="S402" s="4"/>
      <c r="T402" s="4"/>
      <c r="V402" s="132"/>
      <c r="W402" s="133"/>
      <c r="X402" s="133"/>
      <c r="AC402" s="134"/>
    </row>
    <row r="403" customFormat="false" ht="15.75" hidden="false" customHeight="true" outlineLevel="0" collapsed="false">
      <c r="D403" s="4"/>
      <c r="E403" s="4"/>
      <c r="F403" s="130"/>
      <c r="G403" s="7"/>
      <c r="H403" s="4"/>
      <c r="I403" s="9"/>
      <c r="J403" s="9"/>
      <c r="K403" s="9"/>
      <c r="L403" s="9"/>
      <c r="M403" s="9"/>
      <c r="N403" s="4"/>
      <c r="O403" s="4"/>
      <c r="P403" s="4"/>
      <c r="Q403" s="4"/>
      <c r="R403" s="4"/>
      <c r="S403" s="4"/>
      <c r="T403" s="4"/>
      <c r="V403" s="132"/>
      <c r="W403" s="133"/>
      <c r="X403" s="133"/>
      <c r="AC403" s="134"/>
    </row>
    <row r="404" customFormat="false" ht="15.75" hidden="false" customHeight="true" outlineLevel="0" collapsed="false">
      <c r="D404" s="4"/>
      <c r="E404" s="4"/>
      <c r="F404" s="130"/>
      <c r="G404" s="7"/>
      <c r="H404" s="4"/>
      <c r="I404" s="9"/>
      <c r="J404" s="9"/>
      <c r="K404" s="9"/>
      <c r="L404" s="9"/>
      <c r="M404" s="9"/>
      <c r="N404" s="4"/>
      <c r="O404" s="4"/>
      <c r="P404" s="4"/>
      <c r="Q404" s="4"/>
      <c r="R404" s="4"/>
      <c r="S404" s="4"/>
      <c r="T404" s="4"/>
      <c r="V404" s="132"/>
      <c r="W404" s="133"/>
      <c r="X404" s="133"/>
      <c r="AC404" s="134"/>
    </row>
    <row r="405" customFormat="false" ht="15.75" hidden="false" customHeight="true" outlineLevel="0" collapsed="false">
      <c r="D405" s="4"/>
      <c r="E405" s="4"/>
      <c r="F405" s="130"/>
      <c r="G405" s="7"/>
      <c r="H405" s="4"/>
      <c r="I405" s="9"/>
      <c r="J405" s="9"/>
      <c r="K405" s="9"/>
      <c r="L405" s="9"/>
      <c r="M405" s="9"/>
      <c r="N405" s="4"/>
      <c r="O405" s="4"/>
      <c r="P405" s="4"/>
      <c r="Q405" s="4"/>
      <c r="R405" s="4"/>
      <c r="S405" s="4"/>
      <c r="T405" s="4"/>
      <c r="V405" s="132"/>
      <c r="W405" s="133"/>
      <c r="X405" s="133"/>
      <c r="AC405" s="134"/>
    </row>
    <row r="406" customFormat="false" ht="15.75" hidden="false" customHeight="true" outlineLevel="0" collapsed="false">
      <c r="D406" s="4"/>
      <c r="E406" s="4"/>
      <c r="F406" s="130"/>
      <c r="G406" s="7"/>
      <c r="H406" s="4"/>
      <c r="I406" s="9"/>
      <c r="J406" s="9"/>
      <c r="K406" s="9"/>
      <c r="L406" s="9"/>
      <c r="M406" s="9"/>
      <c r="N406" s="4"/>
      <c r="O406" s="4"/>
      <c r="P406" s="4"/>
      <c r="Q406" s="4"/>
      <c r="R406" s="4"/>
      <c r="S406" s="4"/>
      <c r="T406" s="4"/>
      <c r="V406" s="132"/>
      <c r="W406" s="133"/>
      <c r="X406" s="133"/>
      <c r="AC406" s="134"/>
    </row>
    <row r="407" customFormat="false" ht="15.75" hidden="false" customHeight="true" outlineLevel="0" collapsed="false">
      <c r="D407" s="4"/>
      <c r="E407" s="4"/>
      <c r="F407" s="130"/>
      <c r="G407" s="7"/>
      <c r="H407" s="4"/>
      <c r="I407" s="9"/>
      <c r="J407" s="9"/>
      <c r="K407" s="9"/>
      <c r="L407" s="9"/>
      <c r="M407" s="9"/>
      <c r="N407" s="4"/>
      <c r="O407" s="4"/>
      <c r="P407" s="4"/>
      <c r="Q407" s="4"/>
      <c r="R407" s="4"/>
      <c r="S407" s="4"/>
      <c r="T407" s="4"/>
      <c r="V407" s="132"/>
      <c r="W407" s="133"/>
      <c r="X407" s="133"/>
      <c r="AC407" s="134"/>
    </row>
    <row r="408" customFormat="false" ht="15.75" hidden="false" customHeight="true" outlineLevel="0" collapsed="false">
      <c r="D408" s="4"/>
      <c r="E408" s="4"/>
      <c r="F408" s="130"/>
      <c r="G408" s="7"/>
      <c r="H408" s="4"/>
      <c r="I408" s="9"/>
      <c r="J408" s="9"/>
      <c r="K408" s="9"/>
      <c r="L408" s="9"/>
      <c r="M408" s="9"/>
      <c r="N408" s="4"/>
      <c r="O408" s="4"/>
      <c r="P408" s="4"/>
      <c r="Q408" s="4"/>
      <c r="R408" s="4"/>
      <c r="S408" s="4"/>
      <c r="T408" s="4"/>
      <c r="V408" s="132"/>
      <c r="W408" s="133"/>
      <c r="X408" s="133"/>
      <c r="AC408" s="134"/>
    </row>
    <row r="409" customFormat="false" ht="15.75" hidden="false" customHeight="true" outlineLevel="0" collapsed="false">
      <c r="D409" s="4"/>
      <c r="E409" s="4"/>
      <c r="F409" s="130"/>
      <c r="G409" s="7"/>
      <c r="H409" s="4"/>
      <c r="I409" s="9"/>
      <c r="J409" s="9"/>
      <c r="K409" s="9"/>
      <c r="L409" s="9"/>
      <c r="M409" s="9"/>
      <c r="N409" s="4"/>
      <c r="O409" s="4"/>
      <c r="P409" s="4"/>
      <c r="Q409" s="4"/>
      <c r="R409" s="4"/>
      <c r="S409" s="4"/>
      <c r="T409" s="4"/>
      <c r="V409" s="132"/>
      <c r="W409" s="133"/>
      <c r="X409" s="133"/>
      <c r="AC409" s="134"/>
    </row>
    <row r="410" customFormat="false" ht="15.75" hidden="false" customHeight="true" outlineLevel="0" collapsed="false">
      <c r="D410" s="4"/>
      <c r="E410" s="4"/>
      <c r="F410" s="130"/>
      <c r="G410" s="7"/>
      <c r="H410" s="4"/>
      <c r="I410" s="9"/>
      <c r="J410" s="9"/>
      <c r="K410" s="9"/>
      <c r="L410" s="9"/>
      <c r="M410" s="9"/>
      <c r="N410" s="4"/>
      <c r="O410" s="4"/>
      <c r="P410" s="4"/>
      <c r="Q410" s="4"/>
      <c r="R410" s="4"/>
      <c r="S410" s="4"/>
      <c r="T410" s="4"/>
      <c r="V410" s="132"/>
      <c r="W410" s="133"/>
      <c r="X410" s="133"/>
      <c r="AC410" s="134"/>
    </row>
    <row r="411" customFormat="false" ht="15.75" hidden="false" customHeight="true" outlineLevel="0" collapsed="false">
      <c r="D411" s="4"/>
      <c r="E411" s="4"/>
      <c r="F411" s="130"/>
      <c r="G411" s="7"/>
      <c r="H411" s="4"/>
      <c r="I411" s="9"/>
      <c r="J411" s="9"/>
      <c r="K411" s="9"/>
      <c r="L411" s="9"/>
      <c r="M411" s="9"/>
      <c r="N411" s="4"/>
      <c r="O411" s="4"/>
      <c r="P411" s="4"/>
      <c r="Q411" s="4"/>
      <c r="R411" s="4"/>
      <c r="S411" s="4"/>
      <c r="T411" s="4"/>
      <c r="V411" s="132"/>
      <c r="W411" s="133"/>
      <c r="X411" s="133"/>
      <c r="AC411" s="134"/>
    </row>
    <row r="412" customFormat="false" ht="15.75" hidden="false" customHeight="true" outlineLevel="0" collapsed="false">
      <c r="D412" s="4"/>
      <c r="E412" s="4"/>
      <c r="F412" s="130"/>
      <c r="G412" s="7"/>
      <c r="H412" s="4"/>
      <c r="I412" s="9"/>
      <c r="J412" s="9"/>
      <c r="K412" s="9"/>
      <c r="L412" s="9"/>
      <c r="M412" s="9"/>
      <c r="N412" s="4"/>
      <c r="O412" s="4"/>
      <c r="P412" s="4"/>
      <c r="Q412" s="4"/>
      <c r="R412" s="4"/>
      <c r="S412" s="4"/>
      <c r="T412" s="4"/>
      <c r="V412" s="132"/>
      <c r="W412" s="133"/>
      <c r="X412" s="133"/>
      <c r="AC412" s="134"/>
    </row>
    <row r="413" customFormat="false" ht="15.75" hidden="false" customHeight="true" outlineLevel="0" collapsed="false">
      <c r="D413" s="4"/>
      <c r="E413" s="4"/>
      <c r="F413" s="130"/>
      <c r="G413" s="7"/>
      <c r="H413" s="4"/>
      <c r="I413" s="9"/>
      <c r="J413" s="9"/>
      <c r="K413" s="9"/>
      <c r="L413" s="9"/>
      <c r="M413" s="9"/>
      <c r="N413" s="4"/>
      <c r="O413" s="4"/>
      <c r="P413" s="4"/>
      <c r="Q413" s="4"/>
      <c r="R413" s="4"/>
      <c r="S413" s="4"/>
      <c r="T413" s="4"/>
      <c r="V413" s="132"/>
      <c r="W413" s="133"/>
      <c r="X413" s="133"/>
      <c r="AC413" s="134"/>
    </row>
    <row r="414" customFormat="false" ht="15.75" hidden="false" customHeight="true" outlineLevel="0" collapsed="false">
      <c r="D414" s="4"/>
      <c r="E414" s="4"/>
      <c r="F414" s="130"/>
      <c r="G414" s="7"/>
      <c r="H414" s="4"/>
      <c r="I414" s="9"/>
      <c r="J414" s="9"/>
      <c r="K414" s="9"/>
      <c r="L414" s="9"/>
      <c r="M414" s="9"/>
      <c r="N414" s="4"/>
      <c r="O414" s="4"/>
      <c r="P414" s="4"/>
      <c r="Q414" s="4"/>
      <c r="R414" s="4"/>
      <c r="S414" s="4"/>
      <c r="T414" s="4"/>
      <c r="V414" s="132"/>
      <c r="W414" s="133"/>
      <c r="X414" s="133"/>
      <c r="AC414" s="134"/>
    </row>
    <row r="415" customFormat="false" ht="15.75" hidden="false" customHeight="true" outlineLevel="0" collapsed="false">
      <c r="D415" s="4"/>
      <c r="E415" s="4"/>
      <c r="F415" s="130"/>
      <c r="G415" s="7"/>
      <c r="H415" s="4"/>
      <c r="I415" s="9"/>
      <c r="J415" s="9"/>
      <c r="K415" s="9"/>
      <c r="L415" s="9"/>
      <c r="M415" s="9"/>
      <c r="N415" s="4"/>
      <c r="O415" s="4"/>
      <c r="P415" s="4"/>
      <c r="Q415" s="4"/>
      <c r="R415" s="4"/>
      <c r="S415" s="4"/>
      <c r="T415" s="4"/>
      <c r="V415" s="132"/>
      <c r="W415" s="133"/>
      <c r="X415" s="133"/>
      <c r="AC415" s="134"/>
    </row>
    <row r="416" customFormat="false" ht="15.75" hidden="false" customHeight="true" outlineLevel="0" collapsed="false">
      <c r="D416" s="4"/>
      <c r="E416" s="4"/>
      <c r="F416" s="130"/>
      <c r="G416" s="7"/>
      <c r="H416" s="4"/>
      <c r="I416" s="9"/>
      <c r="J416" s="9"/>
      <c r="K416" s="9"/>
      <c r="L416" s="9"/>
      <c r="M416" s="9"/>
      <c r="N416" s="4"/>
      <c r="O416" s="4"/>
      <c r="P416" s="4"/>
      <c r="Q416" s="4"/>
      <c r="R416" s="4"/>
      <c r="S416" s="4"/>
      <c r="T416" s="4"/>
      <c r="V416" s="132"/>
      <c r="W416" s="133"/>
      <c r="X416" s="133"/>
      <c r="AC416" s="134"/>
    </row>
    <row r="417" customFormat="false" ht="15.75" hidden="false" customHeight="true" outlineLevel="0" collapsed="false">
      <c r="D417" s="4"/>
      <c r="E417" s="4"/>
      <c r="F417" s="130"/>
      <c r="G417" s="7"/>
      <c r="H417" s="4"/>
      <c r="I417" s="9"/>
      <c r="J417" s="9"/>
      <c r="K417" s="9"/>
      <c r="L417" s="9"/>
      <c r="M417" s="9"/>
      <c r="N417" s="4"/>
      <c r="O417" s="4"/>
      <c r="P417" s="4"/>
      <c r="Q417" s="4"/>
      <c r="R417" s="4"/>
      <c r="S417" s="4"/>
      <c r="T417" s="4"/>
      <c r="V417" s="132"/>
      <c r="W417" s="133"/>
      <c r="X417" s="133"/>
      <c r="AC417" s="134"/>
    </row>
    <row r="418" customFormat="false" ht="15.75" hidden="false" customHeight="true" outlineLevel="0" collapsed="false">
      <c r="D418" s="4"/>
      <c r="E418" s="4"/>
      <c r="F418" s="130"/>
      <c r="G418" s="7"/>
      <c r="H418" s="4"/>
      <c r="I418" s="9"/>
      <c r="J418" s="9"/>
      <c r="K418" s="9"/>
      <c r="L418" s="9"/>
      <c r="M418" s="9"/>
      <c r="N418" s="4"/>
      <c r="O418" s="4"/>
      <c r="P418" s="4"/>
      <c r="Q418" s="4"/>
      <c r="R418" s="4"/>
      <c r="S418" s="4"/>
      <c r="T418" s="4"/>
      <c r="V418" s="132"/>
      <c r="W418" s="133"/>
      <c r="X418" s="133"/>
      <c r="AC418" s="134"/>
    </row>
    <row r="419" customFormat="false" ht="15.75" hidden="false" customHeight="true" outlineLevel="0" collapsed="false">
      <c r="D419" s="4"/>
      <c r="E419" s="4"/>
      <c r="F419" s="130"/>
      <c r="G419" s="7"/>
      <c r="H419" s="4"/>
      <c r="I419" s="9"/>
      <c r="J419" s="9"/>
      <c r="K419" s="9"/>
      <c r="L419" s="9"/>
      <c r="M419" s="9"/>
      <c r="N419" s="4"/>
      <c r="O419" s="4"/>
      <c r="P419" s="4"/>
      <c r="Q419" s="4"/>
      <c r="R419" s="4"/>
      <c r="S419" s="4"/>
      <c r="T419" s="4"/>
      <c r="V419" s="132"/>
      <c r="W419" s="133"/>
      <c r="X419" s="133"/>
      <c r="AC419" s="134"/>
    </row>
    <row r="420" customFormat="false" ht="15.75" hidden="false" customHeight="true" outlineLevel="0" collapsed="false">
      <c r="D420" s="4"/>
      <c r="E420" s="4"/>
      <c r="F420" s="130"/>
      <c r="G420" s="7"/>
      <c r="H420" s="4"/>
      <c r="I420" s="9"/>
      <c r="J420" s="9"/>
      <c r="K420" s="9"/>
      <c r="L420" s="9"/>
      <c r="M420" s="9"/>
      <c r="N420" s="4"/>
      <c r="O420" s="4"/>
      <c r="P420" s="4"/>
      <c r="Q420" s="4"/>
      <c r="R420" s="4"/>
      <c r="S420" s="4"/>
      <c r="T420" s="4"/>
      <c r="V420" s="132"/>
      <c r="W420" s="133"/>
      <c r="X420" s="133"/>
      <c r="AC420" s="134"/>
    </row>
    <row r="421" customFormat="false" ht="15.75" hidden="false" customHeight="true" outlineLevel="0" collapsed="false">
      <c r="D421" s="4"/>
      <c r="E421" s="4"/>
      <c r="F421" s="130"/>
      <c r="G421" s="7"/>
      <c r="H421" s="4"/>
      <c r="I421" s="9"/>
      <c r="J421" s="9"/>
      <c r="K421" s="9"/>
      <c r="L421" s="9"/>
      <c r="M421" s="9"/>
      <c r="N421" s="4"/>
      <c r="O421" s="4"/>
      <c r="P421" s="4"/>
      <c r="Q421" s="4"/>
      <c r="R421" s="4"/>
      <c r="S421" s="4"/>
      <c r="T421" s="4"/>
      <c r="V421" s="132"/>
      <c r="W421" s="133"/>
      <c r="X421" s="133"/>
      <c r="AC421" s="134"/>
    </row>
    <row r="422" customFormat="false" ht="15.75" hidden="false" customHeight="true" outlineLevel="0" collapsed="false">
      <c r="D422" s="4"/>
      <c r="E422" s="4"/>
      <c r="F422" s="130"/>
      <c r="G422" s="7"/>
      <c r="H422" s="4"/>
      <c r="I422" s="9"/>
      <c r="J422" s="9"/>
      <c r="K422" s="9"/>
      <c r="L422" s="9"/>
      <c r="M422" s="9"/>
      <c r="N422" s="4"/>
      <c r="O422" s="4"/>
      <c r="P422" s="4"/>
      <c r="Q422" s="4"/>
      <c r="R422" s="4"/>
      <c r="S422" s="4"/>
      <c r="T422" s="4"/>
      <c r="V422" s="132"/>
      <c r="W422" s="133"/>
      <c r="X422" s="133"/>
      <c r="AC422" s="134"/>
    </row>
    <row r="423" customFormat="false" ht="15.75" hidden="false" customHeight="true" outlineLevel="0" collapsed="false">
      <c r="D423" s="4"/>
      <c r="E423" s="4"/>
      <c r="F423" s="130"/>
      <c r="G423" s="7"/>
      <c r="H423" s="4"/>
      <c r="I423" s="9"/>
      <c r="J423" s="9"/>
      <c r="K423" s="9"/>
      <c r="L423" s="9"/>
      <c r="M423" s="9"/>
      <c r="N423" s="4"/>
      <c r="O423" s="4"/>
      <c r="P423" s="4"/>
      <c r="Q423" s="4"/>
      <c r="R423" s="4"/>
      <c r="S423" s="4"/>
      <c r="T423" s="4"/>
      <c r="V423" s="132"/>
      <c r="W423" s="133"/>
      <c r="X423" s="133"/>
      <c r="AC423" s="134"/>
    </row>
    <row r="424" customFormat="false" ht="15.75" hidden="false" customHeight="true" outlineLevel="0" collapsed="false">
      <c r="D424" s="4"/>
      <c r="E424" s="4"/>
      <c r="F424" s="130"/>
      <c r="G424" s="7"/>
      <c r="H424" s="4"/>
      <c r="I424" s="9"/>
      <c r="J424" s="9"/>
      <c r="K424" s="9"/>
      <c r="L424" s="9"/>
      <c r="M424" s="9"/>
      <c r="N424" s="4"/>
      <c r="O424" s="4"/>
      <c r="P424" s="4"/>
      <c r="Q424" s="4"/>
      <c r="R424" s="4"/>
      <c r="S424" s="4"/>
      <c r="T424" s="4"/>
      <c r="V424" s="132"/>
      <c r="W424" s="133"/>
      <c r="X424" s="133"/>
      <c r="AC424" s="134"/>
    </row>
    <row r="425" customFormat="false" ht="15.75" hidden="false" customHeight="true" outlineLevel="0" collapsed="false">
      <c r="D425" s="4"/>
      <c r="E425" s="4"/>
      <c r="F425" s="130"/>
      <c r="G425" s="7"/>
      <c r="H425" s="4"/>
      <c r="I425" s="9"/>
      <c r="J425" s="9"/>
      <c r="K425" s="9"/>
      <c r="L425" s="9"/>
      <c r="M425" s="9"/>
      <c r="N425" s="4"/>
      <c r="O425" s="4"/>
      <c r="P425" s="4"/>
      <c r="Q425" s="4"/>
      <c r="R425" s="4"/>
      <c r="S425" s="4"/>
      <c r="T425" s="4"/>
      <c r="V425" s="132"/>
      <c r="W425" s="133"/>
      <c r="X425" s="133"/>
      <c r="AC425" s="134"/>
    </row>
    <row r="426" customFormat="false" ht="15.75" hidden="false" customHeight="true" outlineLevel="0" collapsed="false">
      <c r="D426" s="4"/>
      <c r="E426" s="4"/>
      <c r="F426" s="130"/>
      <c r="G426" s="7"/>
      <c r="H426" s="4"/>
      <c r="I426" s="9"/>
      <c r="J426" s="9"/>
      <c r="K426" s="9"/>
      <c r="L426" s="9"/>
      <c r="M426" s="9"/>
      <c r="N426" s="4"/>
      <c r="O426" s="4"/>
      <c r="P426" s="4"/>
      <c r="Q426" s="4"/>
      <c r="R426" s="4"/>
      <c r="S426" s="4"/>
      <c r="T426" s="4"/>
      <c r="V426" s="132"/>
      <c r="W426" s="133"/>
      <c r="X426" s="133"/>
      <c r="AC426" s="134"/>
    </row>
    <row r="427" customFormat="false" ht="15.75" hidden="false" customHeight="true" outlineLevel="0" collapsed="false">
      <c r="D427" s="4"/>
      <c r="E427" s="4"/>
      <c r="F427" s="130"/>
      <c r="G427" s="7"/>
      <c r="H427" s="4"/>
      <c r="I427" s="9"/>
      <c r="J427" s="9"/>
      <c r="K427" s="9"/>
      <c r="L427" s="9"/>
      <c r="M427" s="9"/>
      <c r="N427" s="4"/>
      <c r="O427" s="4"/>
      <c r="P427" s="4"/>
      <c r="Q427" s="4"/>
      <c r="R427" s="4"/>
      <c r="S427" s="4"/>
      <c r="T427" s="4"/>
      <c r="V427" s="132"/>
      <c r="W427" s="133"/>
      <c r="X427" s="133"/>
      <c r="AC427" s="134"/>
    </row>
    <row r="428" customFormat="false" ht="15.75" hidden="false" customHeight="true" outlineLevel="0" collapsed="false">
      <c r="D428" s="4"/>
      <c r="E428" s="4"/>
      <c r="F428" s="130"/>
      <c r="G428" s="7"/>
      <c r="H428" s="4"/>
      <c r="I428" s="9"/>
      <c r="J428" s="9"/>
      <c r="K428" s="9"/>
      <c r="L428" s="9"/>
      <c r="M428" s="9"/>
      <c r="N428" s="4"/>
      <c r="O428" s="4"/>
      <c r="P428" s="4"/>
      <c r="Q428" s="4"/>
      <c r="R428" s="4"/>
      <c r="S428" s="4"/>
      <c r="T428" s="4"/>
      <c r="V428" s="132"/>
      <c r="W428" s="133"/>
      <c r="X428" s="133"/>
      <c r="AC428" s="134"/>
    </row>
    <row r="429" customFormat="false" ht="15.75" hidden="false" customHeight="true" outlineLevel="0" collapsed="false">
      <c r="D429" s="4"/>
      <c r="E429" s="4"/>
      <c r="F429" s="130"/>
      <c r="G429" s="7"/>
      <c r="H429" s="4"/>
      <c r="I429" s="9"/>
      <c r="J429" s="9"/>
      <c r="K429" s="9"/>
      <c r="L429" s="9"/>
      <c r="M429" s="9"/>
      <c r="N429" s="4"/>
      <c r="O429" s="4"/>
      <c r="P429" s="4"/>
      <c r="Q429" s="4"/>
      <c r="R429" s="4"/>
      <c r="S429" s="4"/>
      <c r="T429" s="4"/>
      <c r="V429" s="132"/>
      <c r="W429" s="133"/>
      <c r="X429" s="133"/>
      <c r="AC429" s="134"/>
    </row>
    <row r="430" customFormat="false" ht="15.75" hidden="false" customHeight="true" outlineLevel="0" collapsed="false">
      <c r="D430" s="4"/>
      <c r="E430" s="4"/>
      <c r="F430" s="130"/>
      <c r="G430" s="7"/>
      <c r="H430" s="4"/>
      <c r="I430" s="9"/>
      <c r="J430" s="9"/>
      <c r="K430" s="9"/>
      <c r="L430" s="9"/>
      <c r="M430" s="9"/>
      <c r="N430" s="4"/>
      <c r="O430" s="4"/>
      <c r="P430" s="4"/>
      <c r="Q430" s="4"/>
      <c r="R430" s="4"/>
      <c r="S430" s="4"/>
      <c r="T430" s="4"/>
      <c r="V430" s="132"/>
      <c r="W430" s="133"/>
      <c r="X430" s="133"/>
      <c r="AC430" s="134"/>
    </row>
    <row r="431" customFormat="false" ht="15.75" hidden="false" customHeight="true" outlineLevel="0" collapsed="false">
      <c r="D431" s="4"/>
      <c r="E431" s="4"/>
      <c r="F431" s="130"/>
      <c r="G431" s="7"/>
      <c r="H431" s="4"/>
      <c r="I431" s="9"/>
      <c r="J431" s="9"/>
      <c r="K431" s="9"/>
      <c r="L431" s="9"/>
      <c r="M431" s="9"/>
      <c r="N431" s="4"/>
      <c r="O431" s="4"/>
      <c r="P431" s="4"/>
      <c r="Q431" s="4"/>
      <c r="R431" s="4"/>
      <c r="S431" s="4"/>
      <c r="T431" s="4"/>
      <c r="V431" s="132"/>
      <c r="W431" s="133"/>
      <c r="X431" s="133"/>
      <c r="AC431" s="134"/>
    </row>
    <row r="432" customFormat="false" ht="15.75" hidden="false" customHeight="true" outlineLevel="0" collapsed="false">
      <c r="D432" s="4"/>
      <c r="E432" s="4"/>
      <c r="F432" s="130"/>
      <c r="G432" s="7"/>
      <c r="H432" s="4"/>
      <c r="I432" s="9"/>
      <c r="J432" s="9"/>
      <c r="K432" s="9"/>
      <c r="L432" s="9"/>
      <c r="M432" s="9"/>
      <c r="N432" s="4"/>
      <c r="O432" s="4"/>
      <c r="P432" s="4"/>
      <c r="Q432" s="4"/>
      <c r="R432" s="4"/>
      <c r="S432" s="4"/>
      <c r="T432" s="4"/>
      <c r="V432" s="132"/>
      <c r="W432" s="133"/>
      <c r="X432" s="133"/>
      <c r="AC432" s="134"/>
    </row>
    <row r="433" customFormat="false" ht="15.75" hidden="false" customHeight="true" outlineLevel="0" collapsed="false">
      <c r="D433" s="4"/>
      <c r="E433" s="4"/>
      <c r="F433" s="130"/>
      <c r="G433" s="7"/>
      <c r="H433" s="4"/>
      <c r="I433" s="9"/>
      <c r="J433" s="9"/>
      <c r="K433" s="9"/>
      <c r="L433" s="9"/>
      <c r="M433" s="9"/>
      <c r="N433" s="4"/>
      <c r="O433" s="4"/>
      <c r="P433" s="4"/>
      <c r="Q433" s="4"/>
      <c r="R433" s="4"/>
      <c r="S433" s="4"/>
      <c r="T433" s="4"/>
      <c r="V433" s="132"/>
      <c r="W433" s="133"/>
      <c r="X433" s="133"/>
      <c r="AC433" s="134"/>
    </row>
    <row r="434" customFormat="false" ht="15.75" hidden="false" customHeight="true" outlineLevel="0" collapsed="false">
      <c r="D434" s="4"/>
      <c r="E434" s="4"/>
      <c r="F434" s="130"/>
      <c r="G434" s="7"/>
      <c r="H434" s="4"/>
      <c r="I434" s="9"/>
      <c r="J434" s="9"/>
      <c r="K434" s="9"/>
      <c r="L434" s="9"/>
      <c r="M434" s="9"/>
      <c r="N434" s="4"/>
      <c r="O434" s="4"/>
      <c r="P434" s="4"/>
      <c r="Q434" s="4"/>
      <c r="R434" s="4"/>
      <c r="S434" s="4"/>
      <c r="T434" s="4"/>
      <c r="V434" s="132"/>
      <c r="W434" s="133"/>
      <c r="X434" s="133"/>
      <c r="AC434" s="134"/>
    </row>
    <row r="435" customFormat="false" ht="15.75" hidden="false" customHeight="true" outlineLevel="0" collapsed="false">
      <c r="D435" s="4"/>
      <c r="E435" s="4"/>
      <c r="F435" s="130"/>
      <c r="G435" s="7"/>
      <c r="H435" s="4"/>
      <c r="I435" s="9"/>
      <c r="J435" s="9"/>
      <c r="K435" s="9"/>
      <c r="L435" s="9"/>
      <c r="M435" s="9"/>
      <c r="N435" s="4"/>
      <c r="O435" s="4"/>
      <c r="P435" s="4"/>
      <c r="Q435" s="4"/>
      <c r="R435" s="4"/>
      <c r="S435" s="4"/>
      <c r="T435" s="4"/>
      <c r="V435" s="132"/>
      <c r="W435" s="133"/>
      <c r="X435" s="133"/>
      <c r="AC435" s="134"/>
    </row>
    <row r="436" customFormat="false" ht="15.75" hidden="false" customHeight="true" outlineLevel="0" collapsed="false">
      <c r="D436" s="4"/>
      <c r="E436" s="4"/>
      <c r="F436" s="130"/>
      <c r="G436" s="7"/>
      <c r="H436" s="4"/>
      <c r="I436" s="9"/>
      <c r="J436" s="9"/>
      <c r="K436" s="9"/>
      <c r="L436" s="9"/>
      <c r="M436" s="9"/>
      <c r="N436" s="4"/>
      <c r="O436" s="4"/>
      <c r="P436" s="4"/>
      <c r="Q436" s="4"/>
      <c r="R436" s="4"/>
      <c r="S436" s="4"/>
      <c r="T436" s="4"/>
      <c r="V436" s="132"/>
      <c r="W436" s="133"/>
      <c r="X436" s="133"/>
      <c r="AC436" s="134"/>
    </row>
    <row r="437" customFormat="false" ht="15.75" hidden="false" customHeight="true" outlineLevel="0" collapsed="false">
      <c r="D437" s="4"/>
      <c r="E437" s="4"/>
      <c r="F437" s="130"/>
      <c r="G437" s="7"/>
      <c r="H437" s="4"/>
      <c r="I437" s="9"/>
      <c r="J437" s="9"/>
      <c r="K437" s="9"/>
      <c r="L437" s="9"/>
      <c r="M437" s="9"/>
      <c r="N437" s="4"/>
      <c r="O437" s="4"/>
      <c r="P437" s="4"/>
      <c r="Q437" s="4"/>
      <c r="R437" s="4"/>
      <c r="S437" s="4"/>
      <c r="T437" s="4"/>
      <c r="V437" s="132"/>
      <c r="W437" s="133"/>
      <c r="X437" s="133"/>
      <c r="AC437" s="134"/>
    </row>
    <row r="438" customFormat="false" ht="15.75" hidden="false" customHeight="true" outlineLevel="0" collapsed="false">
      <c r="D438" s="4"/>
      <c r="E438" s="4"/>
      <c r="F438" s="130"/>
      <c r="G438" s="7"/>
      <c r="H438" s="4"/>
      <c r="I438" s="9"/>
      <c r="J438" s="9"/>
      <c r="K438" s="9"/>
      <c r="L438" s="9"/>
      <c r="M438" s="9"/>
      <c r="N438" s="4"/>
      <c r="O438" s="4"/>
      <c r="P438" s="4"/>
      <c r="Q438" s="4"/>
      <c r="R438" s="4"/>
      <c r="S438" s="4"/>
      <c r="T438" s="4"/>
      <c r="V438" s="132"/>
      <c r="W438" s="133"/>
      <c r="X438" s="133"/>
      <c r="AC438" s="134"/>
    </row>
    <row r="439" customFormat="false" ht="15.75" hidden="false" customHeight="true" outlineLevel="0" collapsed="false">
      <c r="D439" s="4"/>
      <c r="E439" s="4"/>
      <c r="F439" s="130"/>
      <c r="G439" s="7"/>
      <c r="H439" s="4"/>
      <c r="I439" s="9"/>
      <c r="J439" s="9"/>
      <c r="K439" s="9"/>
      <c r="L439" s="9"/>
      <c r="M439" s="9"/>
      <c r="N439" s="4"/>
      <c r="O439" s="4"/>
      <c r="P439" s="4"/>
      <c r="Q439" s="4"/>
      <c r="R439" s="4"/>
      <c r="S439" s="4"/>
      <c r="T439" s="4"/>
      <c r="V439" s="132"/>
      <c r="W439" s="133"/>
      <c r="X439" s="133"/>
      <c r="AC439" s="134"/>
    </row>
    <row r="440" customFormat="false" ht="15.75" hidden="false" customHeight="true" outlineLevel="0" collapsed="false">
      <c r="D440" s="4"/>
      <c r="E440" s="4"/>
      <c r="F440" s="130"/>
      <c r="G440" s="7"/>
      <c r="H440" s="4"/>
      <c r="I440" s="9"/>
      <c r="J440" s="9"/>
      <c r="K440" s="9"/>
      <c r="L440" s="9"/>
      <c r="M440" s="9"/>
      <c r="N440" s="4"/>
      <c r="O440" s="4"/>
      <c r="P440" s="4"/>
      <c r="Q440" s="4"/>
      <c r="R440" s="4"/>
      <c r="S440" s="4"/>
      <c r="T440" s="4"/>
      <c r="V440" s="132"/>
      <c r="W440" s="133"/>
      <c r="X440" s="133"/>
      <c r="AC440" s="134"/>
    </row>
    <row r="441" customFormat="false" ht="15.75" hidden="false" customHeight="true" outlineLevel="0" collapsed="false">
      <c r="D441" s="4"/>
      <c r="E441" s="4"/>
      <c r="F441" s="130"/>
      <c r="G441" s="7"/>
      <c r="H441" s="4"/>
      <c r="I441" s="9"/>
      <c r="J441" s="9"/>
      <c r="K441" s="9"/>
      <c r="L441" s="9"/>
      <c r="M441" s="9"/>
      <c r="N441" s="4"/>
      <c r="O441" s="4"/>
      <c r="P441" s="4"/>
      <c r="Q441" s="4"/>
      <c r="R441" s="4"/>
      <c r="S441" s="4"/>
      <c r="T441" s="4"/>
      <c r="V441" s="132"/>
      <c r="W441" s="133"/>
      <c r="X441" s="133"/>
      <c r="AC441" s="134"/>
    </row>
    <row r="442" customFormat="false" ht="15.75" hidden="false" customHeight="true" outlineLevel="0" collapsed="false">
      <c r="D442" s="4"/>
      <c r="E442" s="4"/>
      <c r="F442" s="130"/>
      <c r="G442" s="7"/>
      <c r="H442" s="4"/>
      <c r="I442" s="9"/>
      <c r="J442" s="9"/>
      <c r="K442" s="9"/>
      <c r="L442" s="9"/>
      <c r="M442" s="9"/>
      <c r="N442" s="4"/>
      <c r="O442" s="4"/>
      <c r="P442" s="4"/>
      <c r="Q442" s="4"/>
      <c r="R442" s="4"/>
      <c r="S442" s="4"/>
      <c r="T442" s="4"/>
      <c r="V442" s="132"/>
      <c r="W442" s="133"/>
      <c r="X442" s="133"/>
      <c r="AC442" s="134"/>
    </row>
    <row r="443" customFormat="false" ht="15.75" hidden="false" customHeight="true" outlineLevel="0" collapsed="false">
      <c r="D443" s="4"/>
      <c r="E443" s="4"/>
      <c r="F443" s="130"/>
      <c r="G443" s="7"/>
      <c r="H443" s="4"/>
      <c r="I443" s="9"/>
      <c r="J443" s="9"/>
      <c r="K443" s="9"/>
      <c r="L443" s="9"/>
      <c r="M443" s="9"/>
      <c r="N443" s="4"/>
      <c r="O443" s="4"/>
      <c r="P443" s="4"/>
      <c r="Q443" s="4"/>
      <c r="R443" s="4"/>
      <c r="S443" s="4"/>
      <c r="T443" s="4"/>
      <c r="V443" s="132"/>
      <c r="W443" s="133"/>
      <c r="X443" s="133"/>
      <c r="AC443" s="134"/>
    </row>
    <row r="444" customFormat="false" ht="15.75" hidden="false" customHeight="true" outlineLevel="0" collapsed="false">
      <c r="D444" s="4"/>
      <c r="E444" s="4"/>
      <c r="F444" s="130"/>
      <c r="G444" s="7"/>
      <c r="H444" s="4"/>
      <c r="I444" s="9"/>
      <c r="J444" s="9"/>
      <c r="K444" s="9"/>
      <c r="L444" s="9"/>
      <c r="M444" s="9"/>
      <c r="N444" s="4"/>
      <c r="O444" s="4"/>
      <c r="P444" s="4"/>
      <c r="Q444" s="4"/>
      <c r="R444" s="4"/>
      <c r="S444" s="4"/>
      <c r="T444" s="4"/>
      <c r="V444" s="132"/>
      <c r="W444" s="133"/>
      <c r="X444" s="133"/>
      <c r="AC444" s="134"/>
    </row>
    <row r="445" customFormat="false" ht="15.75" hidden="false" customHeight="true" outlineLevel="0" collapsed="false">
      <c r="D445" s="4"/>
      <c r="E445" s="4"/>
      <c r="F445" s="130"/>
      <c r="G445" s="7"/>
      <c r="H445" s="4"/>
      <c r="I445" s="9"/>
      <c r="J445" s="9"/>
      <c r="K445" s="9"/>
      <c r="L445" s="9"/>
      <c r="M445" s="9"/>
      <c r="N445" s="4"/>
      <c r="O445" s="4"/>
      <c r="P445" s="4"/>
      <c r="Q445" s="4"/>
      <c r="R445" s="4"/>
      <c r="S445" s="4"/>
      <c r="T445" s="4"/>
      <c r="V445" s="132"/>
      <c r="W445" s="133"/>
      <c r="X445" s="133"/>
      <c r="AC445" s="134"/>
    </row>
    <row r="446" customFormat="false" ht="15.75" hidden="false" customHeight="true" outlineLevel="0" collapsed="false">
      <c r="D446" s="4"/>
      <c r="E446" s="4"/>
      <c r="F446" s="130"/>
      <c r="G446" s="7"/>
      <c r="H446" s="4"/>
      <c r="I446" s="9"/>
      <c r="J446" s="9"/>
      <c r="K446" s="9"/>
      <c r="L446" s="9"/>
      <c r="M446" s="9"/>
      <c r="N446" s="4"/>
      <c r="O446" s="4"/>
      <c r="P446" s="4"/>
      <c r="Q446" s="4"/>
      <c r="R446" s="4"/>
      <c r="S446" s="4"/>
      <c r="T446" s="4"/>
      <c r="V446" s="132"/>
      <c r="W446" s="133"/>
      <c r="X446" s="133"/>
      <c r="AC446" s="134"/>
    </row>
    <row r="447" customFormat="false" ht="15.75" hidden="false" customHeight="true" outlineLevel="0" collapsed="false">
      <c r="D447" s="4"/>
      <c r="E447" s="4"/>
      <c r="F447" s="130"/>
      <c r="G447" s="7"/>
      <c r="H447" s="4"/>
      <c r="I447" s="9"/>
      <c r="J447" s="9"/>
      <c r="K447" s="9"/>
      <c r="L447" s="9"/>
      <c r="M447" s="9"/>
      <c r="N447" s="4"/>
      <c r="O447" s="4"/>
      <c r="P447" s="4"/>
      <c r="Q447" s="4"/>
      <c r="R447" s="4"/>
      <c r="S447" s="4"/>
      <c r="T447" s="4"/>
      <c r="V447" s="132"/>
      <c r="W447" s="133"/>
      <c r="X447" s="133"/>
      <c r="AC447" s="134"/>
    </row>
    <row r="448" customFormat="false" ht="15.75" hidden="false" customHeight="true" outlineLevel="0" collapsed="false">
      <c r="D448" s="4"/>
      <c r="E448" s="4"/>
      <c r="F448" s="130"/>
      <c r="G448" s="7"/>
      <c r="H448" s="4"/>
      <c r="I448" s="9"/>
      <c r="J448" s="9"/>
      <c r="K448" s="9"/>
      <c r="L448" s="9"/>
      <c r="M448" s="9"/>
      <c r="N448" s="4"/>
      <c r="O448" s="4"/>
      <c r="P448" s="4"/>
      <c r="Q448" s="4"/>
      <c r="R448" s="4"/>
      <c r="S448" s="4"/>
      <c r="T448" s="4"/>
      <c r="V448" s="132"/>
      <c r="W448" s="133"/>
      <c r="X448" s="133"/>
      <c r="AC448" s="134"/>
    </row>
    <row r="449" customFormat="false" ht="15.75" hidden="false" customHeight="true" outlineLevel="0" collapsed="false">
      <c r="D449" s="4"/>
      <c r="E449" s="4"/>
      <c r="F449" s="130"/>
      <c r="G449" s="7"/>
      <c r="H449" s="4"/>
      <c r="I449" s="9"/>
      <c r="J449" s="9"/>
      <c r="K449" s="9"/>
      <c r="L449" s="9"/>
      <c r="M449" s="9"/>
      <c r="N449" s="4"/>
      <c r="O449" s="4"/>
      <c r="P449" s="4"/>
      <c r="Q449" s="4"/>
      <c r="R449" s="4"/>
      <c r="S449" s="4"/>
      <c r="T449" s="4"/>
      <c r="V449" s="132"/>
      <c r="W449" s="133"/>
      <c r="X449" s="133"/>
      <c r="AC449" s="134"/>
    </row>
    <row r="450" customFormat="false" ht="15.75" hidden="false" customHeight="true" outlineLevel="0" collapsed="false">
      <c r="D450" s="4"/>
      <c r="E450" s="4"/>
      <c r="F450" s="130"/>
      <c r="G450" s="7"/>
      <c r="H450" s="4"/>
      <c r="I450" s="9"/>
      <c r="J450" s="9"/>
      <c r="K450" s="9"/>
      <c r="L450" s="9"/>
      <c r="M450" s="9"/>
      <c r="N450" s="4"/>
      <c r="O450" s="4"/>
      <c r="P450" s="4"/>
      <c r="Q450" s="4"/>
      <c r="R450" s="4"/>
      <c r="S450" s="4"/>
      <c r="T450" s="4"/>
      <c r="V450" s="132"/>
      <c r="W450" s="133"/>
      <c r="X450" s="133"/>
      <c r="AC450" s="134"/>
    </row>
    <row r="451" customFormat="false" ht="15.75" hidden="false" customHeight="true" outlineLevel="0" collapsed="false">
      <c r="D451" s="4"/>
      <c r="E451" s="4"/>
      <c r="F451" s="130"/>
      <c r="G451" s="7"/>
      <c r="H451" s="4"/>
      <c r="I451" s="9"/>
      <c r="J451" s="9"/>
      <c r="K451" s="9"/>
      <c r="L451" s="9"/>
      <c r="M451" s="9"/>
      <c r="N451" s="4"/>
      <c r="O451" s="4"/>
      <c r="P451" s="4"/>
      <c r="Q451" s="4"/>
      <c r="R451" s="4"/>
      <c r="S451" s="4"/>
      <c r="T451" s="4"/>
      <c r="V451" s="132"/>
      <c r="W451" s="133"/>
      <c r="X451" s="133"/>
      <c r="AC451" s="134"/>
    </row>
    <row r="452" customFormat="false" ht="15.75" hidden="false" customHeight="true" outlineLevel="0" collapsed="false">
      <c r="D452" s="4"/>
      <c r="E452" s="4"/>
      <c r="F452" s="130"/>
      <c r="G452" s="7"/>
      <c r="H452" s="4"/>
      <c r="I452" s="9"/>
      <c r="J452" s="9"/>
      <c r="K452" s="9"/>
      <c r="L452" s="9"/>
      <c r="M452" s="9"/>
      <c r="N452" s="4"/>
      <c r="O452" s="4"/>
      <c r="P452" s="4"/>
      <c r="Q452" s="4"/>
      <c r="R452" s="4"/>
      <c r="S452" s="4"/>
      <c r="T452" s="4"/>
      <c r="V452" s="132"/>
      <c r="W452" s="133"/>
      <c r="X452" s="133"/>
      <c r="AC452" s="134"/>
    </row>
    <row r="453" customFormat="false" ht="15.75" hidden="false" customHeight="true" outlineLevel="0" collapsed="false">
      <c r="D453" s="4"/>
      <c r="E453" s="4"/>
      <c r="F453" s="130"/>
      <c r="G453" s="7"/>
      <c r="H453" s="4"/>
      <c r="I453" s="9"/>
      <c r="J453" s="9"/>
      <c r="K453" s="9"/>
      <c r="L453" s="9"/>
      <c r="M453" s="9"/>
      <c r="N453" s="4"/>
      <c r="O453" s="4"/>
      <c r="P453" s="4"/>
      <c r="Q453" s="4"/>
      <c r="R453" s="4"/>
      <c r="S453" s="4"/>
      <c r="T453" s="4"/>
      <c r="V453" s="132"/>
      <c r="W453" s="133"/>
      <c r="X453" s="133"/>
      <c r="AC453" s="134"/>
    </row>
    <row r="454" customFormat="false" ht="15.75" hidden="false" customHeight="true" outlineLevel="0" collapsed="false">
      <c r="D454" s="4"/>
      <c r="E454" s="4"/>
      <c r="F454" s="130"/>
      <c r="G454" s="7"/>
      <c r="H454" s="4"/>
      <c r="I454" s="9"/>
      <c r="J454" s="9"/>
      <c r="K454" s="9"/>
      <c r="L454" s="9"/>
      <c r="M454" s="9"/>
      <c r="N454" s="4"/>
      <c r="O454" s="4"/>
      <c r="P454" s="4"/>
      <c r="Q454" s="4"/>
      <c r="R454" s="4"/>
      <c r="S454" s="4"/>
      <c r="T454" s="4"/>
      <c r="V454" s="132"/>
      <c r="W454" s="133"/>
      <c r="X454" s="133"/>
      <c r="AC454" s="134"/>
    </row>
    <row r="455" customFormat="false" ht="15.75" hidden="false" customHeight="true" outlineLevel="0" collapsed="false">
      <c r="D455" s="4"/>
      <c r="E455" s="4"/>
      <c r="F455" s="130"/>
      <c r="G455" s="7"/>
      <c r="H455" s="4"/>
      <c r="I455" s="9"/>
      <c r="J455" s="9"/>
      <c r="K455" s="9"/>
      <c r="L455" s="9"/>
      <c r="M455" s="9"/>
      <c r="N455" s="4"/>
      <c r="O455" s="4"/>
      <c r="P455" s="4"/>
      <c r="Q455" s="4"/>
      <c r="R455" s="4"/>
      <c r="S455" s="4"/>
      <c r="T455" s="4"/>
      <c r="V455" s="132"/>
      <c r="W455" s="133"/>
      <c r="X455" s="133"/>
      <c r="AC455" s="134"/>
    </row>
    <row r="456" customFormat="false" ht="15.75" hidden="false" customHeight="true" outlineLevel="0" collapsed="false">
      <c r="D456" s="4"/>
      <c r="E456" s="4"/>
      <c r="F456" s="130"/>
      <c r="G456" s="7"/>
      <c r="H456" s="4"/>
      <c r="I456" s="9"/>
      <c r="J456" s="9"/>
      <c r="K456" s="9"/>
      <c r="L456" s="9"/>
      <c r="M456" s="9"/>
      <c r="N456" s="4"/>
      <c r="O456" s="4"/>
      <c r="P456" s="4"/>
      <c r="Q456" s="4"/>
      <c r="R456" s="4"/>
      <c r="S456" s="4"/>
      <c r="T456" s="4"/>
      <c r="V456" s="132"/>
      <c r="W456" s="133"/>
      <c r="X456" s="133"/>
      <c r="AC456" s="134"/>
    </row>
    <row r="457" customFormat="false" ht="15.75" hidden="false" customHeight="true" outlineLevel="0" collapsed="false">
      <c r="D457" s="4"/>
      <c r="E457" s="4"/>
      <c r="F457" s="130"/>
      <c r="G457" s="7"/>
      <c r="H457" s="4"/>
      <c r="I457" s="9"/>
      <c r="J457" s="9"/>
      <c r="K457" s="9"/>
      <c r="L457" s="9"/>
      <c r="M457" s="9"/>
      <c r="N457" s="4"/>
      <c r="O457" s="4"/>
      <c r="P457" s="4"/>
      <c r="Q457" s="4"/>
      <c r="R457" s="4"/>
      <c r="S457" s="4"/>
      <c r="T457" s="4"/>
      <c r="V457" s="132"/>
      <c r="W457" s="133"/>
      <c r="X457" s="133"/>
      <c r="AC457" s="134"/>
    </row>
    <row r="458" customFormat="false" ht="15.75" hidden="false" customHeight="true" outlineLevel="0" collapsed="false">
      <c r="D458" s="4"/>
      <c r="E458" s="4"/>
      <c r="F458" s="130"/>
      <c r="G458" s="7"/>
      <c r="H458" s="4"/>
      <c r="I458" s="9"/>
      <c r="J458" s="9"/>
      <c r="K458" s="9"/>
      <c r="L458" s="9"/>
      <c r="M458" s="9"/>
      <c r="N458" s="4"/>
      <c r="O458" s="4"/>
      <c r="P458" s="4"/>
      <c r="Q458" s="4"/>
      <c r="R458" s="4"/>
      <c r="S458" s="4"/>
      <c r="T458" s="4"/>
      <c r="V458" s="132"/>
      <c r="W458" s="133"/>
      <c r="X458" s="133"/>
      <c r="AC458" s="134"/>
    </row>
    <row r="459" customFormat="false" ht="15.75" hidden="false" customHeight="true" outlineLevel="0" collapsed="false">
      <c r="D459" s="4"/>
      <c r="E459" s="4"/>
      <c r="F459" s="130"/>
      <c r="G459" s="7"/>
      <c r="H459" s="4"/>
      <c r="I459" s="9"/>
      <c r="J459" s="9"/>
      <c r="K459" s="9"/>
      <c r="L459" s="9"/>
      <c r="M459" s="9"/>
      <c r="N459" s="4"/>
      <c r="O459" s="4"/>
      <c r="P459" s="4"/>
      <c r="Q459" s="4"/>
      <c r="R459" s="4"/>
      <c r="S459" s="4"/>
      <c r="T459" s="4"/>
      <c r="V459" s="132"/>
      <c r="W459" s="133"/>
      <c r="X459" s="133"/>
      <c r="AC459" s="134"/>
    </row>
    <row r="460" customFormat="false" ht="15.75" hidden="false" customHeight="true" outlineLevel="0" collapsed="false">
      <c r="D460" s="4"/>
      <c r="E460" s="4"/>
      <c r="F460" s="130"/>
      <c r="G460" s="7"/>
      <c r="H460" s="4"/>
      <c r="I460" s="9"/>
      <c r="J460" s="9"/>
      <c r="K460" s="9"/>
      <c r="L460" s="9"/>
      <c r="M460" s="9"/>
      <c r="N460" s="4"/>
      <c r="O460" s="4"/>
      <c r="P460" s="4"/>
      <c r="Q460" s="4"/>
      <c r="R460" s="4"/>
      <c r="S460" s="4"/>
      <c r="T460" s="4"/>
      <c r="V460" s="132"/>
      <c r="W460" s="133"/>
      <c r="X460" s="133"/>
      <c r="AC460" s="134"/>
    </row>
    <row r="461" customFormat="false" ht="15.75" hidden="false" customHeight="true" outlineLevel="0" collapsed="false">
      <c r="D461" s="4"/>
      <c r="E461" s="4"/>
      <c r="F461" s="130"/>
      <c r="G461" s="7"/>
      <c r="H461" s="4"/>
      <c r="I461" s="9"/>
      <c r="J461" s="9"/>
      <c r="K461" s="9"/>
      <c r="L461" s="9"/>
      <c r="M461" s="9"/>
      <c r="N461" s="4"/>
      <c r="O461" s="4"/>
      <c r="P461" s="4"/>
      <c r="Q461" s="4"/>
      <c r="R461" s="4"/>
      <c r="S461" s="4"/>
      <c r="T461" s="4"/>
      <c r="V461" s="132"/>
      <c r="W461" s="133"/>
      <c r="X461" s="133"/>
      <c r="AC461" s="134"/>
    </row>
    <row r="462" customFormat="false" ht="15.75" hidden="false" customHeight="true" outlineLevel="0" collapsed="false">
      <c r="D462" s="4"/>
      <c r="E462" s="4"/>
      <c r="F462" s="130"/>
      <c r="G462" s="7"/>
      <c r="H462" s="4"/>
      <c r="I462" s="9"/>
      <c r="J462" s="9"/>
      <c r="K462" s="9"/>
      <c r="L462" s="9"/>
      <c r="M462" s="9"/>
      <c r="N462" s="4"/>
      <c r="O462" s="4"/>
      <c r="P462" s="4"/>
      <c r="Q462" s="4"/>
      <c r="R462" s="4"/>
      <c r="S462" s="4"/>
      <c r="T462" s="4"/>
      <c r="V462" s="132"/>
      <c r="W462" s="133"/>
      <c r="X462" s="133"/>
      <c r="AC462" s="134"/>
    </row>
    <row r="463" customFormat="false" ht="15.75" hidden="false" customHeight="true" outlineLevel="0" collapsed="false">
      <c r="D463" s="4"/>
      <c r="E463" s="4"/>
      <c r="F463" s="130"/>
      <c r="G463" s="7"/>
      <c r="H463" s="4"/>
      <c r="I463" s="9"/>
      <c r="J463" s="9"/>
      <c r="K463" s="9"/>
      <c r="L463" s="9"/>
      <c r="M463" s="9"/>
      <c r="N463" s="4"/>
      <c r="O463" s="4"/>
      <c r="P463" s="4"/>
      <c r="Q463" s="4"/>
      <c r="R463" s="4"/>
      <c r="S463" s="4"/>
      <c r="T463" s="4"/>
      <c r="V463" s="132"/>
      <c r="W463" s="133"/>
      <c r="X463" s="133"/>
      <c r="AC463" s="134"/>
    </row>
    <row r="464" customFormat="false" ht="15.75" hidden="false" customHeight="true" outlineLevel="0" collapsed="false">
      <c r="D464" s="4"/>
      <c r="E464" s="4"/>
      <c r="F464" s="130"/>
      <c r="G464" s="7"/>
      <c r="H464" s="4"/>
      <c r="I464" s="9"/>
      <c r="J464" s="9"/>
      <c r="K464" s="9"/>
      <c r="L464" s="9"/>
      <c r="M464" s="9"/>
      <c r="N464" s="4"/>
      <c r="O464" s="4"/>
      <c r="P464" s="4"/>
      <c r="Q464" s="4"/>
      <c r="R464" s="4"/>
      <c r="S464" s="4"/>
      <c r="T464" s="4"/>
      <c r="V464" s="132"/>
      <c r="W464" s="133"/>
      <c r="X464" s="133"/>
      <c r="AC464" s="134"/>
    </row>
    <row r="465" customFormat="false" ht="15.75" hidden="false" customHeight="true" outlineLevel="0" collapsed="false">
      <c r="D465" s="4"/>
      <c r="E465" s="4"/>
      <c r="F465" s="130"/>
      <c r="G465" s="7"/>
      <c r="H465" s="4"/>
      <c r="I465" s="9"/>
      <c r="J465" s="9"/>
      <c r="K465" s="9"/>
      <c r="L465" s="9"/>
      <c r="M465" s="9"/>
      <c r="N465" s="4"/>
      <c r="O465" s="4"/>
      <c r="P465" s="4"/>
      <c r="Q465" s="4"/>
      <c r="R465" s="4"/>
      <c r="S465" s="4"/>
      <c r="T465" s="4"/>
      <c r="V465" s="132"/>
      <c r="W465" s="133"/>
      <c r="X465" s="133"/>
      <c r="AC465" s="134"/>
    </row>
    <row r="466" customFormat="false" ht="15.75" hidden="false" customHeight="true" outlineLevel="0" collapsed="false">
      <c r="D466" s="4"/>
      <c r="E466" s="4"/>
      <c r="F466" s="130"/>
      <c r="G466" s="7"/>
      <c r="H466" s="4"/>
      <c r="I466" s="9"/>
      <c r="J466" s="9"/>
      <c r="K466" s="9"/>
      <c r="L466" s="9"/>
      <c r="M466" s="9"/>
      <c r="N466" s="4"/>
      <c r="O466" s="4"/>
      <c r="P466" s="4"/>
      <c r="Q466" s="4"/>
      <c r="R466" s="4"/>
      <c r="S466" s="4"/>
      <c r="T466" s="4"/>
      <c r="V466" s="132"/>
      <c r="W466" s="133"/>
      <c r="X466" s="133"/>
      <c r="AC466" s="134"/>
    </row>
    <row r="467" customFormat="false" ht="15.75" hidden="false" customHeight="true" outlineLevel="0" collapsed="false">
      <c r="D467" s="4"/>
      <c r="E467" s="4"/>
      <c r="F467" s="130"/>
      <c r="G467" s="7"/>
      <c r="H467" s="4"/>
      <c r="I467" s="9"/>
      <c r="J467" s="9"/>
      <c r="K467" s="9"/>
      <c r="L467" s="9"/>
      <c r="M467" s="9"/>
      <c r="N467" s="4"/>
      <c r="O467" s="4"/>
      <c r="P467" s="4"/>
      <c r="Q467" s="4"/>
      <c r="R467" s="4"/>
      <c r="S467" s="4"/>
      <c r="T467" s="4"/>
      <c r="V467" s="132"/>
      <c r="W467" s="133"/>
      <c r="X467" s="133"/>
      <c r="AC467" s="134"/>
    </row>
    <row r="468" customFormat="false" ht="15.75" hidden="false" customHeight="true" outlineLevel="0" collapsed="false">
      <c r="D468" s="4"/>
      <c r="E468" s="4"/>
      <c r="F468" s="130"/>
      <c r="G468" s="7"/>
      <c r="H468" s="4"/>
      <c r="I468" s="9"/>
      <c r="J468" s="9"/>
      <c r="K468" s="9"/>
      <c r="L468" s="9"/>
      <c r="M468" s="9"/>
      <c r="N468" s="4"/>
      <c r="O468" s="4"/>
      <c r="P468" s="4"/>
      <c r="Q468" s="4"/>
      <c r="R468" s="4"/>
      <c r="S468" s="4"/>
      <c r="T468" s="4"/>
      <c r="V468" s="132"/>
      <c r="W468" s="133"/>
      <c r="X468" s="133"/>
      <c r="AC468" s="134"/>
    </row>
    <row r="469" customFormat="false" ht="15.75" hidden="false" customHeight="true" outlineLevel="0" collapsed="false">
      <c r="D469" s="4"/>
      <c r="E469" s="4"/>
      <c r="F469" s="130"/>
      <c r="G469" s="7"/>
      <c r="H469" s="4"/>
      <c r="I469" s="9"/>
      <c r="J469" s="9"/>
      <c r="K469" s="9"/>
      <c r="L469" s="9"/>
      <c r="M469" s="9"/>
      <c r="N469" s="4"/>
      <c r="O469" s="4"/>
      <c r="P469" s="4"/>
      <c r="Q469" s="4"/>
      <c r="R469" s="4"/>
      <c r="S469" s="4"/>
      <c r="T469" s="4"/>
      <c r="V469" s="132"/>
      <c r="W469" s="133"/>
      <c r="X469" s="133"/>
      <c r="AC469" s="134"/>
    </row>
    <row r="470" customFormat="false" ht="15.75" hidden="false" customHeight="true" outlineLevel="0" collapsed="false">
      <c r="D470" s="4"/>
      <c r="E470" s="4"/>
      <c r="F470" s="130"/>
      <c r="G470" s="7"/>
      <c r="H470" s="4"/>
      <c r="I470" s="9"/>
      <c r="J470" s="9"/>
      <c r="K470" s="9"/>
      <c r="L470" s="9"/>
      <c r="M470" s="9"/>
      <c r="N470" s="4"/>
      <c r="O470" s="4"/>
      <c r="P470" s="4"/>
      <c r="Q470" s="4"/>
      <c r="R470" s="4"/>
      <c r="S470" s="4"/>
      <c r="T470" s="4"/>
      <c r="V470" s="132"/>
      <c r="W470" s="133"/>
      <c r="X470" s="133"/>
      <c r="AC470" s="134"/>
    </row>
    <row r="471" customFormat="false" ht="15.75" hidden="false" customHeight="true" outlineLevel="0" collapsed="false">
      <c r="D471" s="4"/>
      <c r="E471" s="4"/>
      <c r="F471" s="130"/>
      <c r="G471" s="7"/>
      <c r="H471" s="4"/>
      <c r="I471" s="9"/>
      <c r="J471" s="9"/>
      <c r="K471" s="9"/>
      <c r="L471" s="9"/>
      <c r="M471" s="9"/>
      <c r="N471" s="4"/>
      <c r="O471" s="4"/>
      <c r="P471" s="4"/>
      <c r="Q471" s="4"/>
      <c r="R471" s="4"/>
      <c r="S471" s="4"/>
      <c r="T471" s="4"/>
      <c r="V471" s="132"/>
      <c r="W471" s="133"/>
      <c r="X471" s="133"/>
      <c r="AC471" s="134"/>
    </row>
    <row r="472" customFormat="false" ht="15.75" hidden="false" customHeight="true" outlineLevel="0" collapsed="false">
      <c r="D472" s="4"/>
      <c r="E472" s="4"/>
      <c r="F472" s="130"/>
      <c r="G472" s="7"/>
      <c r="H472" s="4"/>
      <c r="I472" s="9"/>
      <c r="J472" s="9"/>
      <c r="K472" s="9"/>
      <c r="L472" s="9"/>
      <c r="M472" s="9"/>
      <c r="N472" s="4"/>
      <c r="O472" s="4"/>
      <c r="P472" s="4"/>
      <c r="Q472" s="4"/>
      <c r="R472" s="4"/>
      <c r="S472" s="4"/>
      <c r="T472" s="4"/>
      <c r="V472" s="132"/>
      <c r="W472" s="133"/>
      <c r="X472" s="133"/>
      <c r="AC472" s="134"/>
    </row>
    <row r="473" customFormat="false" ht="15.75" hidden="false" customHeight="true" outlineLevel="0" collapsed="false">
      <c r="D473" s="4"/>
      <c r="E473" s="4"/>
      <c r="F473" s="130"/>
      <c r="G473" s="7"/>
      <c r="H473" s="4"/>
      <c r="I473" s="9"/>
      <c r="J473" s="9"/>
      <c r="K473" s="9"/>
      <c r="L473" s="9"/>
      <c r="M473" s="9"/>
      <c r="N473" s="4"/>
      <c r="O473" s="4"/>
      <c r="P473" s="4"/>
      <c r="Q473" s="4"/>
      <c r="R473" s="4"/>
      <c r="S473" s="4"/>
      <c r="T473" s="4"/>
      <c r="V473" s="132"/>
      <c r="W473" s="133"/>
      <c r="X473" s="133"/>
      <c r="AC473" s="134"/>
    </row>
    <row r="474" customFormat="false" ht="15.75" hidden="false" customHeight="true" outlineLevel="0" collapsed="false">
      <c r="D474" s="4"/>
      <c r="E474" s="4"/>
      <c r="F474" s="130"/>
      <c r="G474" s="7"/>
      <c r="H474" s="4"/>
      <c r="I474" s="9"/>
      <c r="J474" s="9"/>
      <c r="K474" s="9"/>
      <c r="L474" s="9"/>
      <c r="M474" s="9"/>
      <c r="N474" s="4"/>
      <c r="O474" s="4"/>
      <c r="P474" s="4"/>
      <c r="Q474" s="4"/>
      <c r="R474" s="4"/>
      <c r="S474" s="4"/>
      <c r="T474" s="4"/>
      <c r="V474" s="132"/>
      <c r="W474" s="133"/>
      <c r="X474" s="133"/>
      <c r="AC474" s="134"/>
    </row>
    <row r="475" customFormat="false" ht="15.75" hidden="false" customHeight="true" outlineLevel="0" collapsed="false">
      <c r="D475" s="4"/>
      <c r="E475" s="4"/>
      <c r="F475" s="130"/>
      <c r="G475" s="7"/>
      <c r="H475" s="4"/>
      <c r="I475" s="9"/>
      <c r="J475" s="9"/>
      <c r="K475" s="9"/>
      <c r="L475" s="9"/>
      <c r="M475" s="9"/>
      <c r="N475" s="4"/>
      <c r="O475" s="4"/>
      <c r="P475" s="4"/>
      <c r="Q475" s="4"/>
      <c r="R475" s="4"/>
      <c r="S475" s="4"/>
      <c r="T475" s="4"/>
      <c r="V475" s="132"/>
      <c r="W475" s="133"/>
      <c r="X475" s="133"/>
      <c r="AC475" s="134"/>
    </row>
    <row r="476" customFormat="false" ht="15.75" hidden="false" customHeight="true" outlineLevel="0" collapsed="false">
      <c r="D476" s="4"/>
      <c r="E476" s="4"/>
      <c r="F476" s="130"/>
      <c r="G476" s="7"/>
      <c r="H476" s="4"/>
      <c r="I476" s="9"/>
      <c r="J476" s="9"/>
      <c r="K476" s="9"/>
      <c r="L476" s="9"/>
      <c r="M476" s="9"/>
      <c r="N476" s="4"/>
      <c r="O476" s="4"/>
      <c r="P476" s="4"/>
      <c r="Q476" s="4"/>
      <c r="R476" s="4"/>
      <c r="S476" s="4"/>
      <c r="T476" s="4"/>
      <c r="V476" s="132"/>
      <c r="W476" s="133"/>
      <c r="X476" s="133"/>
      <c r="AC476" s="134"/>
    </row>
    <row r="477" customFormat="false" ht="15.75" hidden="false" customHeight="true" outlineLevel="0" collapsed="false">
      <c r="D477" s="4"/>
      <c r="E477" s="4"/>
      <c r="F477" s="130"/>
      <c r="G477" s="7"/>
      <c r="H477" s="4"/>
      <c r="I477" s="9"/>
      <c r="J477" s="9"/>
      <c r="K477" s="9"/>
      <c r="L477" s="9"/>
      <c r="M477" s="9"/>
      <c r="N477" s="4"/>
      <c r="O477" s="4"/>
      <c r="P477" s="4"/>
      <c r="Q477" s="4"/>
      <c r="R477" s="4"/>
      <c r="S477" s="4"/>
      <c r="T477" s="4"/>
      <c r="V477" s="132"/>
      <c r="W477" s="133"/>
      <c r="X477" s="133"/>
      <c r="AC477" s="134"/>
    </row>
    <row r="478" customFormat="false" ht="15.75" hidden="false" customHeight="true" outlineLevel="0" collapsed="false">
      <c r="D478" s="4"/>
      <c r="E478" s="4"/>
      <c r="F478" s="130"/>
      <c r="G478" s="7"/>
      <c r="H478" s="4"/>
      <c r="I478" s="9"/>
      <c r="J478" s="9"/>
      <c r="K478" s="9"/>
      <c r="L478" s="9"/>
      <c r="M478" s="9"/>
      <c r="N478" s="4"/>
      <c r="O478" s="4"/>
      <c r="P478" s="4"/>
      <c r="Q478" s="4"/>
      <c r="R478" s="4"/>
      <c r="S478" s="4"/>
      <c r="T478" s="4"/>
      <c r="V478" s="132"/>
      <c r="W478" s="133"/>
      <c r="X478" s="133"/>
      <c r="AC478" s="134"/>
    </row>
    <row r="479" customFormat="false" ht="15.75" hidden="false" customHeight="true" outlineLevel="0" collapsed="false">
      <c r="D479" s="4"/>
      <c r="E479" s="4"/>
      <c r="F479" s="130"/>
      <c r="G479" s="7"/>
      <c r="H479" s="4"/>
      <c r="I479" s="9"/>
      <c r="J479" s="9"/>
      <c r="K479" s="9"/>
      <c r="L479" s="9"/>
      <c r="M479" s="9"/>
      <c r="N479" s="4"/>
      <c r="O479" s="4"/>
      <c r="P479" s="4"/>
      <c r="Q479" s="4"/>
      <c r="R479" s="4"/>
      <c r="S479" s="4"/>
      <c r="T479" s="4"/>
      <c r="V479" s="132"/>
      <c r="W479" s="133"/>
      <c r="X479" s="133"/>
      <c r="AC479" s="134"/>
    </row>
    <row r="480" customFormat="false" ht="15.75" hidden="false" customHeight="true" outlineLevel="0" collapsed="false">
      <c r="D480" s="4"/>
      <c r="E480" s="4"/>
      <c r="F480" s="130"/>
      <c r="G480" s="7"/>
      <c r="H480" s="4"/>
      <c r="I480" s="9"/>
      <c r="J480" s="9"/>
      <c r="K480" s="9"/>
      <c r="L480" s="9"/>
      <c r="M480" s="9"/>
      <c r="N480" s="4"/>
      <c r="O480" s="4"/>
      <c r="P480" s="4"/>
      <c r="Q480" s="4"/>
      <c r="R480" s="4"/>
      <c r="S480" s="4"/>
      <c r="T480" s="4"/>
      <c r="V480" s="132"/>
      <c r="W480" s="133"/>
      <c r="X480" s="133"/>
      <c r="AC480" s="134"/>
    </row>
    <row r="481" customFormat="false" ht="15.75" hidden="false" customHeight="true" outlineLevel="0" collapsed="false">
      <c r="D481" s="4"/>
      <c r="E481" s="4"/>
      <c r="F481" s="130"/>
      <c r="G481" s="7"/>
      <c r="H481" s="4"/>
      <c r="I481" s="9"/>
      <c r="J481" s="9"/>
      <c r="K481" s="9"/>
      <c r="L481" s="9"/>
      <c r="M481" s="9"/>
      <c r="N481" s="4"/>
      <c r="O481" s="4"/>
      <c r="P481" s="4"/>
      <c r="Q481" s="4"/>
      <c r="R481" s="4"/>
      <c r="S481" s="4"/>
      <c r="T481" s="4"/>
      <c r="V481" s="132"/>
      <c r="W481" s="133"/>
      <c r="X481" s="133"/>
      <c r="AC481" s="134"/>
    </row>
    <row r="482" customFormat="false" ht="15.75" hidden="false" customHeight="true" outlineLevel="0" collapsed="false">
      <c r="D482" s="4"/>
      <c r="E482" s="4"/>
      <c r="F482" s="130"/>
      <c r="G482" s="7"/>
      <c r="H482" s="4"/>
      <c r="I482" s="9"/>
      <c r="J482" s="9"/>
      <c r="K482" s="9"/>
      <c r="L482" s="9"/>
      <c r="M482" s="9"/>
      <c r="N482" s="4"/>
      <c r="O482" s="4"/>
      <c r="P482" s="4"/>
      <c r="Q482" s="4"/>
      <c r="R482" s="4"/>
      <c r="S482" s="4"/>
      <c r="T482" s="4"/>
      <c r="V482" s="132"/>
      <c r="W482" s="133"/>
      <c r="X482" s="133"/>
      <c r="AC482" s="134"/>
    </row>
    <row r="483" customFormat="false" ht="15.75" hidden="false" customHeight="true" outlineLevel="0" collapsed="false">
      <c r="D483" s="4"/>
      <c r="E483" s="4"/>
      <c r="F483" s="130"/>
      <c r="G483" s="7"/>
      <c r="H483" s="4"/>
      <c r="I483" s="9"/>
      <c r="J483" s="9"/>
      <c r="K483" s="9"/>
      <c r="L483" s="9"/>
      <c r="M483" s="9"/>
      <c r="N483" s="4"/>
      <c r="O483" s="4"/>
      <c r="P483" s="4"/>
      <c r="Q483" s="4"/>
      <c r="R483" s="4"/>
      <c r="S483" s="4"/>
      <c r="T483" s="4"/>
      <c r="V483" s="132"/>
      <c r="W483" s="133"/>
      <c r="X483" s="133"/>
      <c r="AC483" s="134"/>
    </row>
    <row r="484" customFormat="false" ht="15.75" hidden="false" customHeight="true" outlineLevel="0" collapsed="false">
      <c r="D484" s="4"/>
      <c r="E484" s="4"/>
      <c r="F484" s="130"/>
      <c r="G484" s="7"/>
      <c r="H484" s="4"/>
      <c r="I484" s="9"/>
      <c r="J484" s="9"/>
      <c r="K484" s="9"/>
      <c r="L484" s="9"/>
      <c r="M484" s="9"/>
      <c r="N484" s="4"/>
      <c r="O484" s="4"/>
      <c r="P484" s="4"/>
      <c r="Q484" s="4"/>
      <c r="R484" s="4"/>
      <c r="S484" s="4"/>
      <c r="T484" s="4"/>
      <c r="V484" s="132"/>
      <c r="W484" s="133"/>
      <c r="X484" s="133"/>
      <c r="AC484" s="134"/>
    </row>
    <row r="485" customFormat="false" ht="15.75" hidden="false" customHeight="true" outlineLevel="0" collapsed="false">
      <c r="D485" s="4"/>
      <c r="E485" s="4"/>
      <c r="F485" s="130"/>
      <c r="G485" s="7"/>
      <c r="H485" s="4"/>
      <c r="I485" s="9"/>
      <c r="J485" s="9"/>
      <c r="K485" s="9"/>
      <c r="L485" s="9"/>
      <c r="M485" s="9"/>
      <c r="N485" s="4"/>
      <c r="O485" s="4"/>
      <c r="P485" s="4"/>
      <c r="Q485" s="4"/>
      <c r="R485" s="4"/>
      <c r="S485" s="4"/>
      <c r="T485" s="4"/>
      <c r="V485" s="132"/>
      <c r="W485" s="133"/>
      <c r="X485" s="133"/>
      <c r="AC485" s="134"/>
    </row>
    <row r="486" customFormat="false" ht="15.75" hidden="false" customHeight="true" outlineLevel="0" collapsed="false">
      <c r="D486" s="4"/>
      <c r="E486" s="4"/>
      <c r="F486" s="130"/>
      <c r="G486" s="7"/>
      <c r="H486" s="4"/>
      <c r="I486" s="9"/>
      <c r="J486" s="9"/>
      <c r="K486" s="9"/>
      <c r="L486" s="9"/>
      <c r="M486" s="9"/>
      <c r="N486" s="4"/>
      <c r="O486" s="4"/>
      <c r="P486" s="4"/>
      <c r="Q486" s="4"/>
      <c r="R486" s="4"/>
      <c r="S486" s="4"/>
      <c r="T486" s="4"/>
      <c r="V486" s="132"/>
      <c r="W486" s="133"/>
      <c r="X486" s="133"/>
      <c r="AC486" s="134"/>
    </row>
    <row r="487" customFormat="false" ht="15.75" hidden="false" customHeight="true" outlineLevel="0" collapsed="false">
      <c r="D487" s="4"/>
      <c r="E487" s="4"/>
      <c r="F487" s="130"/>
      <c r="G487" s="7"/>
      <c r="H487" s="4"/>
      <c r="I487" s="9"/>
      <c r="J487" s="9"/>
      <c r="K487" s="9"/>
      <c r="L487" s="9"/>
      <c r="M487" s="9"/>
      <c r="N487" s="4"/>
      <c r="O487" s="4"/>
      <c r="P487" s="4"/>
      <c r="Q487" s="4"/>
      <c r="R487" s="4"/>
      <c r="S487" s="4"/>
      <c r="T487" s="4"/>
      <c r="V487" s="132"/>
      <c r="W487" s="133"/>
      <c r="X487" s="133"/>
      <c r="AC487" s="134"/>
    </row>
    <row r="488" customFormat="false" ht="15.75" hidden="false" customHeight="true" outlineLevel="0" collapsed="false">
      <c r="D488" s="4"/>
      <c r="E488" s="4"/>
      <c r="F488" s="130"/>
      <c r="G488" s="7"/>
      <c r="H488" s="4"/>
      <c r="I488" s="9"/>
      <c r="J488" s="9"/>
      <c r="K488" s="9"/>
      <c r="L488" s="9"/>
      <c r="M488" s="9"/>
      <c r="N488" s="4"/>
      <c r="O488" s="4"/>
      <c r="P488" s="4"/>
      <c r="Q488" s="4"/>
      <c r="R488" s="4"/>
      <c r="S488" s="4"/>
      <c r="T488" s="4"/>
      <c r="V488" s="132"/>
      <c r="W488" s="133"/>
      <c r="X488" s="133"/>
      <c r="AC488" s="134"/>
    </row>
    <row r="489" customFormat="false" ht="15.75" hidden="false" customHeight="true" outlineLevel="0" collapsed="false">
      <c r="D489" s="4"/>
      <c r="E489" s="4"/>
      <c r="F489" s="130"/>
      <c r="G489" s="7"/>
      <c r="H489" s="4"/>
      <c r="I489" s="9"/>
      <c r="J489" s="9"/>
      <c r="K489" s="9"/>
      <c r="L489" s="9"/>
      <c r="M489" s="9"/>
      <c r="N489" s="4"/>
      <c r="O489" s="4"/>
      <c r="P489" s="4"/>
      <c r="Q489" s="4"/>
      <c r="R489" s="4"/>
      <c r="S489" s="4"/>
      <c r="T489" s="4"/>
      <c r="V489" s="132"/>
      <c r="W489" s="133"/>
      <c r="X489" s="133"/>
      <c r="AC489" s="134"/>
    </row>
    <row r="490" customFormat="false" ht="15.75" hidden="false" customHeight="true" outlineLevel="0" collapsed="false">
      <c r="D490" s="4"/>
      <c r="E490" s="4"/>
      <c r="F490" s="130"/>
      <c r="G490" s="7"/>
      <c r="H490" s="4"/>
      <c r="I490" s="9"/>
      <c r="J490" s="9"/>
      <c r="K490" s="9"/>
      <c r="L490" s="9"/>
      <c r="M490" s="9"/>
      <c r="N490" s="4"/>
      <c r="O490" s="4"/>
      <c r="P490" s="4"/>
      <c r="Q490" s="4"/>
      <c r="R490" s="4"/>
      <c r="S490" s="4"/>
      <c r="T490" s="4"/>
      <c r="V490" s="132"/>
      <c r="W490" s="133"/>
      <c r="X490" s="133"/>
      <c r="AC490" s="134"/>
    </row>
    <row r="491" customFormat="false" ht="15.75" hidden="false" customHeight="true" outlineLevel="0" collapsed="false">
      <c r="D491" s="4"/>
      <c r="E491" s="4"/>
      <c r="F491" s="130"/>
      <c r="G491" s="7"/>
      <c r="H491" s="4"/>
      <c r="I491" s="9"/>
      <c r="J491" s="9"/>
      <c r="K491" s="9"/>
      <c r="L491" s="9"/>
      <c r="M491" s="9"/>
      <c r="N491" s="4"/>
      <c r="O491" s="4"/>
      <c r="P491" s="4"/>
      <c r="Q491" s="4"/>
      <c r="R491" s="4"/>
      <c r="S491" s="4"/>
      <c r="T491" s="4"/>
      <c r="V491" s="132"/>
      <c r="W491" s="133"/>
      <c r="X491" s="133"/>
      <c r="AC491" s="134"/>
    </row>
    <row r="492" customFormat="false" ht="15.75" hidden="false" customHeight="true" outlineLevel="0" collapsed="false">
      <c r="D492" s="4"/>
      <c r="E492" s="4"/>
      <c r="F492" s="130"/>
      <c r="G492" s="7"/>
      <c r="H492" s="4"/>
      <c r="I492" s="9"/>
      <c r="J492" s="9"/>
      <c r="K492" s="9"/>
      <c r="L492" s="9"/>
      <c r="M492" s="9"/>
      <c r="N492" s="4"/>
      <c r="O492" s="4"/>
      <c r="P492" s="4"/>
      <c r="Q492" s="4"/>
      <c r="R492" s="4"/>
      <c r="S492" s="4"/>
      <c r="T492" s="4"/>
      <c r="V492" s="132"/>
      <c r="W492" s="133"/>
      <c r="X492" s="133"/>
      <c r="AC492" s="134"/>
    </row>
    <row r="493" customFormat="false" ht="15.75" hidden="false" customHeight="true" outlineLevel="0" collapsed="false">
      <c r="D493" s="4"/>
      <c r="E493" s="4"/>
      <c r="F493" s="130"/>
      <c r="G493" s="7"/>
      <c r="H493" s="4"/>
      <c r="I493" s="9"/>
      <c r="J493" s="9"/>
      <c r="K493" s="9"/>
      <c r="L493" s="9"/>
      <c r="M493" s="9"/>
      <c r="N493" s="4"/>
      <c r="O493" s="4"/>
      <c r="P493" s="4"/>
      <c r="Q493" s="4"/>
      <c r="R493" s="4"/>
      <c r="S493" s="4"/>
      <c r="T493" s="4"/>
      <c r="V493" s="132"/>
      <c r="W493" s="133"/>
      <c r="X493" s="133"/>
      <c r="AC493" s="134"/>
    </row>
    <row r="494" customFormat="false" ht="15.75" hidden="false" customHeight="true" outlineLevel="0" collapsed="false">
      <c r="D494" s="4"/>
      <c r="E494" s="4"/>
      <c r="F494" s="130"/>
      <c r="G494" s="7"/>
      <c r="H494" s="4"/>
      <c r="I494" s="9"/>
      <c r="J494" s="9"/>
      <c r="K494" s="9"/>
      <c r="L494" s="9"/>
      <c r="M494" s="9"/>
      <c r="N494" s="4"/>
      <c r="O494" s="4"/>
      <c r="P494" s="4"/>
      <c r="Q494" s="4"/>
      <c r="R494" s="4"/>
      <c r="S494" s="4"/>
      <c r="T494" s="4"/>
      <c r="V494" s="132"/>
      <c r="W494" s="133"/>
      <c r="X494" s="133"/>
      <c r="AC494" s="134"/>
    </row>
    <row r="495" customFormat="false" ht="15.75" hidden="false" customHeight="true" outlineLevel="0" collapsed="false">
      <c r="D495" s="4"/>
      <c r="E495" s="4"/>
      <c r="F495" s="130"/>
      <c r="G495" s="7"/>
      <c r="H495" s="4"/>
      <c r="I495" s="9"/>
      <c r="J495" s="9"/>
      <c r="K495" s="9"/>
      <c r="L495" s="9"/>
      <c r="M495" s="9"/>
      <c r="N495" s="4"/>
      <c r="O495" s="4"/>
      <c r="P495" s="4"/>
      <c r="Q495" s="4"/>
      <c r="R495" s="4"/>
      <c r="S495" s="4"/>
      <c r="T495" s="4"/>
      <c r="V495" s="132"/>
      <c r="W495" s="133"/>
      <c r="X495" s="133"/>
      <c r="AC495" s="134"/>
    </row>
    <row r="496" customFormat="false" ht="15.75" hidden="false" customHeight="true" outlineLevel="0" collapsed="false">
      <c r="D496" s="4"/>
      <c r="E496" s="4"/>
      <c r="F496" s="130"/>
      <c r="G496" s="7"/>
      <c r="H496" s="4"/>
      <c r="I496" s="9"/>
      <c r="J496" s="9"/>
      <c r="K496" s="9"/>
      <c r="L496" s="9"/>
      <c r="M496" s="9"/>
      <c r="N496" s="4"/>
      <c r="O496" s="4"/>
      <c r="P496" s="4"/>
      <c r="Q496" s="4"/>
      <c r="R496" s="4"/>
      <c r="S496" s="4"/>
      <c r="T496" s="4"/>
      <c r="V496" s="132"/>
      <c r="W496" s="133"/>
      <c r="X496" s="133"/>
      <c r="AC496" s="134"/>
    </row>
    <row r="497" customFormat="false" ht="15.75" hidden="false" customHeight="true" outlineLevel="0" collapsed="false">
      <c r="D497" s="4"/>
      <c r="E497" s="4"/>
      <c r="F497" s="130"/>
      <c r="G497" s="7"/>
      <c r="H497" s="4"/>
      <c r="I497" s="9"/>
      <c r="J497" s="9"/>
      <c r="K497" s="9"/>
      <c r="L497" s="9"/>
      <c r="M497" s="9"/>
      <c r="N497" s="4"/>
      <c r="O497" s="4"/>
      <c r="P497" s="4"/>
      <c r="Q497" s="4"/>
      <c r="R497" s="4"/>
      <c r="S497" s="4"/>
      <c r="T497" s="4"/>
      <c r="V497" s="132"/>
      <c r="W497" s="133"/>
      <c r="X497" s="133"/>
      <c r="AC497" s="134"/>
    </row>
    <row r="498" customFormat="false" ht="15.75" hidden="false" customHeight="true" outlineLevel="0" collapsed="false">
      <c r="D498" s="4"/>
      <c r="E498" s="4"/>
      <c r="F498" s="130"/>
      <c r="G498" s="7"/>
      <c r="H498" s="4"/>
      <c r="I498" s="9"/>
      <c r="J498" s="9"/>
      <c r="K498" s="9"/>
      <c r="L498" s="9"/>
      <c r="M498" s="9"/>
      <c r="N498" s="4"/>
      <c r="O498" s="4"/>
      <c r="P498" s="4"/>
      <c r="Q498" s="4"/>
      <c r="R498" s="4"/>
      <c r="S498" s="4"/>
      <c r="T498" s="4"/>
      <c r="V498" s="132"/>
      <c r="W498" s="133"/>
      <c r="X498" s="133"/>
      <c r="AC498" s="134"/>
    </row>
    <row r="499" customFormat="false" ht="15.75" hidden="false" customHeight="true" outlineLevel="0" collapsed="false">
      <c r="D499" s="4"/>
      <c r="E499" s="4"/>
      <c r="F499" s="130"/>
      <c r="G499" s="7"/>
      <c r="H499" s="4"/>
      <c r="I499" s="9"/>
      <c r="J499" s="9"/>
      <c r="K499" s="9"/>
      <c r="L499" s="9"/>
      <c r="M499" s="9"/>
      <c r="N499" s="4"/>
      <c r="O499" s="4"/>
      <c r="P499" s="4"/>
      <c r="Q499" s="4"/>
      <c r="R499" s="4"/>
      <c r="S499" s="4"/>
      <c r="T499" s="4"/>
      <c r="V499" s="132"/>
      <c r="W499" s="133"/>
      <c r="X499" s="133"/>
      <c r="AC499" s="134"/>
    </row>
    <row r="500" customFormat="false" ht="15.75" hidden="false" customHeight="true" outlineLevel="0" collapsed="false">
      <c r="D500" s="4"/>
      <c r="E500" s="4"/>
      <c r="F500" s="130"/>
      <c r="G500" s="7"/>
      <c r="H500" s="4"/>
      <c r="I500" s="9"/>
      <c r="J500" s="9"/>
      <c r="K500" s="9"/>
      <c r="L500" s="9"/>
      <c r="M500" s="9"/>
      <c r="N500" s="4"/>
      <c r="O500" s="4"/>
      <c r="P500" s="4"/>
      <c r="Q500" s="4"/>
      <c r="R500" s="4"/>
      <c r="S500" s="4"/>
      <c r="T500" s="4"/>
      <c r="V500" s="132"/>
      <c r="W500" s="133"/>
      <c r="X500" s="133"/>
      <c r="AC500" s="134"/>
    </row>
    <row r="501" customFormat="false" ht="15.75" hidden="false" customHeight="true" outlineLevel="0" collapsed="false">
      <c r="D501" s="4"/>
      <c r="E501" s="4"/>
      <c r="F501" s="130"/>
      <c r="G501" s="7"/>
      <c r="H501" s="4"/>
      <c r="I501" s="9"/>
      <c r="J501" s="9"/>
      <c r="K501" s="9"/>
      <c r="L501" s="9"/>
      <c r="M501" s="9"/>
      <c r="N501" s="4"/>
      <c r="O501" s="4"/>
      <c r="P501" s="4"/>
      <c r="Q501" s="4"/>
      <c r="R501" s="4"/>
      <c r="S501" s="4"/>
      <c r="T501" s="4"/>
      <c r="V501" s="132"/>
      <c r="W501" s="133"/>
      <c r="X501" s="133"/>
      <c r="AC501" s="134"/>
    </row>
    <row r="502" customFormat="false" ht="15.75" hidden="false" customHeight="true" outlineLevel="0" collapsed="false">
      <c r="D502" s="4"/>
      <c r="E502" s="4"/>
      <c r="F502" s="130"/>
      <c r="G502" s="7"/>
      <c r="H502" s="4"/>
      <c r="I502" s="9"/>
      <c r="J502" s="9"/>
      <c r="K502" s="9"/>
      <c r="L502" s="9"/>
      <c r="M502" s="9"/>
      <c r="N502" s="4"/>
      <c r="O502" s="4"/>
      <c r="P502" s="4"/>
      <c r="Q502" s="4"/>
      <c r="R502" s="4"/>
      <c r="S502" s="4"/>
      <c r="T502" s="4"/>
      <c r="V502" s="132"/>
      <c r="W502" s="133"/>
      <c r="X502" s="133"/>
      <c r="AC502" s="134"/>
    </row>
    <row r="503" customFormat="false" ht="15.75" hidden="false" customHeight="true" outlineLevel="0" collapsed="false">
      <c r="D503" s="4"/>
      <c r="E503" s="4"/>
      <c r="F503" s="130"/>
      <c r="G503" s="7"/>
      <c r="H503" s="4"/>
      <c r="I503" s="9"/>
      <c r="J503" s="9"/>
      <c r="K503" s="9"/>
      <c r="L503" s="9"/>
      <c r="M503" s="9"/>
      <c r="N503" s="4"/>
      <c r="O503" s="4"/>
      <c r="P503" s="4"/>
      <c r="Q503" s="4"/>
      <c r="R503" s="4"/>
      <c r="S503" s="4"/>
      <c r="T503" s="4"/>
      <c r="V503" s="132"/>
      <c r="W503" s="133"/>
      <c r="X503" s="133"/>
      <c r="AC503" s="134"/>
    </row>
    <row r="504" customFormat="false" ht="15.75" hidden="false" customHeight="true" outlineLevel="0" collapsed="false">
      <c r="D504" s="4"/>
      <c r="E504" s="4"/>
      <c r="F504" s="130"/>
      <c r="G504" s="7"/>
      <c r="H504" s="4"/>
      <c r="I504" s="9"/>
      <c r="J504" s="9"/>
      <c r="K504" s="9"/>
      <c r="L504" s="9"/>
      <c r="M504" s="9"/>
      <c r="N504" s="4"/>
      <c r="O504" s="4"/>
      <c r="P504" s="4"/>
      <c r="Q504" s="4"/>
      <c r="R504" s="4"/>
      <c r="S504" s="4"/>
      <c r="T504" s="4"/>
      <c r="V504" s="132"/>
      <c r="W504" s="133"/>
      <c r="X504" s="133"/>
      <c r="AC504" s="134"/>
    </row>
    <row r="505" customFormat="false" ht="15.75" hidden="false" customHeight="true" outlineLevel="0" collapsed="false">
      <c r="D505" s="4"/>
      <c r="E505" s="4"/>
      <c r="F505" s="130"/>
      <c r="G505" s="7"/>
      <c r="H505" s="4"/>
      <c r="I505" s="9"/>
      <c r="J505" s="9"/>
      <c r="K505" s="9"/>
      <c r="L505" s="9"/>
      <c r="M505" s="9"/>
      <c r="N505" s="4"/>
      <c r="O505" s="4"/>
      <c r="P505" s="4"/>
      <c r="Q505" s="4"/>
      <c r="R505" s="4"/>
      <c r="S505" s="4"/>
      <c r="T505" s="4"/>
      <c r="V505" s="132"/>
      <c r="W505" s="133"/>
      <c r="X505" s="133"/>
      <c r="AC505" s="134"/>
    </row>
    <row r="506" customFormat="false" ht="15.75" hidden="false" customHeight="true" outlineLevel="0" collapsed="false">
      <c r="D506" s="4"/>
      <c r="E506" s="4"/>
      <c r="F506" s="130"/>
      <c r="G506" s="7"/>
      <c r="H506" s="4"/>
      <c r="I506" s="9"/>
      <c r="J506" s="9"/>
      <c r="K506" s="9"/>
      <c r="L506" s="9"/>
      <c r="M506" s="9"/>
      <c r="N506" s="4"/>
      <c r="O506" s="4"/>
      <c r="P506" s="4"/>
      <c r="Q506" s="4"/>
      <c r="R506" s="4"/>
      <c r="S506" s="4"/>
      <c r="T506" s="4"/>
      <c r="V506" s="132"/>
      <c r="W506" s="133"/>
      <c r="X506" s="133"/>
      <c r="AC506" s="134"/>
    </row>
    <row r="507" customFormat="false" ht="15.75" hidden="false" customHeight="true" outlineLevel="0" collapsed="false">
      <c r="D507" s="4"/>
      <c r="E507" s="4"/>
      <c r="F507" s="130"/>
      <c r="G507" s="7"/>
      <c r="H507" s="4"/>
      <c r="I507" s="9"/>
      <c r="J507" s="9"/>
      <c r="K507" s="9"/>
      <c r="L507" s="9"/>
      <c r="M507" s="9"/>
      <c r="N507" s="4"/>
      <c r="O507" s="4"/>
      <c r="P507" s="4"/>
      <c r="Q507" s="4"/>
      <c r="R507" s="4"/>
      <c r="S507" s="4"/>
      <c r="T507" s="4"/>
      <c r="V507" s="132"/>
      <c r="W507" s="133"/>
      <c r="X507" s="133"/>
      <c r="AC507" s="134"/>
    </row>
    <row r="508" customFormat="false" ht="15.75" hidden="false" customHeight="true" outlineLevel="0" collapsed="false">
      <c r="D508" s="4"/>
      <c r="E508" s="4"/>
      <c r="F508" s="130"/>
      <c r="G508" s="7"/>
      <c r="H508" s="4"/>
      <c r="I508" s="9"/>
      <c r="J508" s="9"/>
      <c r="K508" s="9"/>
      <c r="L508" s="9"/>
      <c r="M508" s="9"/>
      <c r="N508" s="4"/>
      <c r="O508" s="4"/>
      <c r="P508" s="4"/>
      <c r="Q508" s="4"/>
      <c r="R508" s="4"/>
      <c r="S508" s="4"/>
      <c r="T508" s="4"/>
      <c r="V508" s="132"/>
      <c r="W508" s="133"/>
      <c r="X508" s="133"/>
      <c r="AC508" s="134"/>
    </row>
    <row r="509" customFormat="false" ht="15.75" hidden="false" customHeight="true" outlineLevel="0" collapsed="false">
      <c r="D509" s="4"/>
      <c r="E509" s="4"/>
      <c r="F509" s="130"/>
      <c r="G509" s="7"/>
      <c r="H509" s="4"/>
      <c r="I509" s="9"/>
      <c r="J509" s="9"/>
      <c r="K509" s="9"/>
      <c r="L509" s="9"/>
      <c r="M509" s="9"/>
      <c r="N509" s="4"/>
      <c r="O509" s="4"/>
      <c r="P509" s="4"/>
      <c r="Q509" s="4"/>
      <c r="R509" s="4"/>
      <c r="S509" s="4"/>
      <c r="T509" s="4"/>
      <c r="V509" s="132"/>
      <c r="W509" s="133"/>
      <c r="X509" s="133"/>
      <c r="AC509" s="134"/>
    </row>
    <row r="510" customFormat="false" ht="15.75" hidden="false" customHeight="true" outlineLevel="0" collapsed="false">
      <c r="D510" s="4"/>
      <c r="E510" s="4"/>
      <c r="F510" s="130"/>
      <c r="G510" s="7"/>
      <c r="H510" s="4"/>
      <c r="I510" s="9"/>
      <c r="J510" s="9"/>
      <c r="K510" s="9"/>
      <c r="L510" s="9"/>
      <c r="M510" s="9"/>
      <c r="N510" s="4"/>
      <c r="O510" s="4"/>
      <c r="P510" s="4"/>
      <c r="Q510" s="4"/>
      <c r="R510" s="4"/>
      <c r="S510" s="4"/>
      <c r="T510" s="4"/>
      <c r="V510" s="132"/>
      <c r="W510" s="133"/>
      <c r="X510" s="133"/>
      <c r="AC510" s="134"/>
    </row>
    <row r="511" customFormat="false" ht="15.75" hidden="false" customHeight="true" outlineLevel="0" collapsed="false">
      <c r="D511" s="4"/>
      <c r="E511" s="4"/>
      <c r="F511" s="130"/>
      <c r="G511" s="7"/>
      <c r="H511" s="4"/>
      <c r="I511" s="9"/>
      <c r="J511" s="9"/>
      <c r="K511" s="9"/>
      <c r="L511" s="9"/>
      <c r="M511" s="9"/>
      <c r="N511" s="4"/>
      <c r="O511" s="4"/>
      <c r="P511" s="4"/>
      <c r="Q511" s="4"/>
      <c r="R511" s="4"/>
      <c r="S511" s="4"/>
      <c r="T511" s="4"/>
      <c r="V511" s="132"/>
      <c r="W511" s="133"/>
      <c r="X511" s="133"/>
      <c r="AC511" s="134"/>
    </row>
    <row r="512" customFormat="false" ht="15.75" hidden="false" customHeight="true" outlineLevel="0" collapsed="false">
      <c r="D512" s="4"/>
      <c r="E512" s="4"/>
      <c r="F512" s="130"/>
      <c r="G512" s="7"/>
      <c r="H512" s="4"/>
      <c r="I512" s="9"/>
      <c r="J512" s="9"/>
      <c r="K512" s="9"/>
      <c r="L512" s="9"/>
      <c r="M512" s="9"/>
      <c r="N512" s="4"/>
      <c r="O512" s="4"/>
      <c r="P512" s="4"/>
      <c r="Q512" s="4"/>
      <c r="R512" s="4"/>
      <c r="S512" s="4"/>
      <c r="T512" s="4"/>
      <c r="V512" s="132"/>
      <c r="W512" s="133"/>
      <c r="X512" s="133"/>
      <c r="AC512" s="134"/>
    </row>
    <row r="513" customFormat="false" ht="15.75" hidden="false" customHeight="true" outlineLevel="0" collapsed="false">
      <c r="D513" s="4"/>
      <c r="E513" s="4"/>
      <c r="F513" s="130"/>
      <c r="G513" s="7"/>
      <c r="H513" s="4"/>
      <c r="I513" s="9"/>
      <c r="J513" s="9"/>
      <c r="K513" s="9"/>
      <c r="L513" s="9"/>
      <c r="M513" s="9"/>
      <c r="N513" s="4"/>
      <c r="O513" s="4"/>
      <c r="P513" s="4"/>
      <c r="Q513" s="4"/>
      <c r="R513" s="4"/>
      <c r="S513" s="4"/>
      <c r="T513" s="4"/>
      <c r="V513" s="132"/>
      <c r="W513" s="133"/>
      <c r="X513" s="133"/>
      <c r="AC513" s="134"/>
    </row>
    <row r="514" customFormat="false" ht="15.75" hidden="false" customHeight="true" outlineLevel="0" collapsed="false">
      <c r="D514" s="4"/>
      <c r="E514" s="4"/>
      <c r="F514" s="130"/>
      <c r="G514" s="7"/>
      <c r="H514" s="4"/>
      <c r="I514" s="9"/>
      <c r="J514" s="9"/>
      <c r="K514" s="9"/>
      <c r="L514" s="9"/>
      <c r="M514" s="9"/>
      <c r="N514" s="4"/>
      <c r="O514" s="4"/>
      <c r="P514" s="4"/>
      <c r="Q514" s="4"/>
      <c r="R514" s="4"/>
      <c r="S514" s="4"/>
      <c r="T514" s="4"/>
      <c r="V514" s="132"/>
      <c r="W514" s="133"/>
      <c r="X514" s="133"/>
      <c r="AC514" s="134"/>
    </row>
    <row r="515" customFormat="false" ht="15.75" hidden="false" customHeight="true" outlineLevel="0" collapsed="false">
      <c r="D515" s="4"/>
      <c r="E515" s="4"/>
      <c r="F515" s="130"/>
      <c r="G515" s="7"/>
      <c r="H515" s="4"/>
      <c r="I515" s="9"/>
      <c r="J515" s="9"/>
      <c r="K515" s="9"/>
      <c r="L515" s="9"/>
      <c r="M515" s="9"/>
      <c r="N515" s="4"/>
      <c r="O515" s="4"/>
      <c r="P515" s="4"/>
      <c r="Q515" s="4"/>
      <c r="R515" s="4"/>
      <c r="S515" s="4"/>
      <c r="T515" s="4"/>
      <c r="V515" s="132"/>
      <c r="W515" s="133"/>
      <c r="X515" s="133"/>
      <c r="AC515" s="134"/>
    </row>
    <row r="516" customFormat="false" ht="15.75" hidden="false" customHeight="true" outlineLevel="0" collapsed="false">
      <c r="D516" s="4"/>
      <c r="E516" s="4"/>
      <c r="F516" s="130"/>
      <c r="G516" s="7"/>
      <c r="H516" s="4"/>
      <c r="I516" s="9"/>
      <c r="J516" s="9"/>
      <c r="K516" s="9"/>
      <c r="L516" s="9"/>
      <c r="M516" s="9"/>
      <c r="N516" s="4"/>
      <c r="O516" s="4"/>
      <c r="P516" s="4"/>
      <c r="Q516" s="4"/>
      <c r="R516" s="4"/>
      <c r="S516" s="4"/>
      <c r="T516" s="4"/>
      <c r="V516" s="132"/>
      <c r="W516" s="133"/>
      <c r="X516" s="133"/>
      <c r="AC516" s="134"/>
    </row>
    <row r="517" customFormat="false" ht="15.75" hidden="false" customHeight="true" outlineLevel="0" collapsed="false">
      <c r="D517" s="4"/>
      <c r="E517" s="4"/>
      <c r="F517" s="130"/>
      <c r="G517" s="7"/>
      <c r="H517" s="4"/>
      <c r="I517" s="9"/>
      <c r="J517" s="9"/>
      <c r="K517" s="9"/>
      <c r="L517" s="9"/>
      <c r="M517" s="9"/>
      <c r="N517" s="4"/>
      <c r="O517" s="4"/>
      <c r="P517" s="4"/>
      <c r="Q517" s="4"/>
      <c r="R517" s="4"/>
      <c r="S517" s="4"/>
      <c r="T517" s="4"/>
      <c r="V517" s="132"/>
      <c r="W517" s="133"/>
      <c r="X517" s="133"/>
      <c r="AC517" s="134"/>
    </row>
    <row r="518" customFormat="false" ht="15.75" hidden="false" customHeight="true" outlineLevel="0" collapsed="false">
      <c r="D518" s="4"/>
      <c r="E518" s="4"/>
      <c r="F518" s="130"/>
      <c r="G518" s="7"/>
      <c r="H518" s="4"/>
      <c r="I518" s="9"/>
      <c r="J518" s="9"/>
      <c r="K518" s="9"/>
      <c r="L518" s="9"/>
      <c r="M518" s="9"/>
      <c r="N518" s="4"/>
      <c r="O518" s="4"/>
      <c r="P518" s="4"/>
      <c r="Q518" s="4"/>
      <c r="R518" s="4"/>
      <c r="S518" s="4"/>
      <c r="T518" s="4"/>
      <c r="V518" s="132"/>
      <c r="W518" s="133"/>
      <c r="X518" s="133"/>
      <c r="AC518" s="134"/>
    </row>
    <row r="519" customFormat="false" ht="15.75" hidden="false" customHeight="true" outlineLevel="0" collapsed="false">
      <c r="D519" s="4"/>
      <c r="E519" s="4"/>
      <c r="F519" s="130"/>
      <c r="G519" s="7"/>
      <c r="H519" s="4"/>
      <c r="I519" s="9"/>
      <c r="J519" s="9"/>
      <c r="K519" s="9"/>
      <c r="L519" s="9"/>
      <c r="M519" s="9"/>
      <c r="N519" s="4"/>
      <c r="O519" s="4"/>
      <c r="P519" s="4"/>
      <c r="Q519" s="4"/>
      <c r="R519" s="4"/>
      <c r="S519" s="4"/>
      <c r="T519" s="4"/>
      <c r="V519" s="132"/>
      <c r="W519" s="133"/>
      <c r="X519" s="133"/>
      <c r="AC519" s="134"/>
    </row>
    <row r="520" customFormat="false" ht="15.75" hidden="false" customHeight="true" outlineLevel="0" collapsed="false">
      <c r="D520" s="4"/>
      <c r="E520" s="4"/>
      <c r="F520" s="130"/>
      <c r="G520" s="7"/>
      <c r="H520" s="4"/>
      <c r="I520" s="9"/>
      <c r="J520" s="9"/>
      <c r="K520" s="9"/>
      <c r="L520" s="9"/>
      <c r="M520" s="9"/>
      <c r="N520" s="4"/>
      <c r="O520" s="4"/>
      <c r="P520" s="4"/>
      <c r="Q520" s="4"/>
      <c r="R520" s="4"/>
      <c r="S520" s="4"/>
      <c r="T520" s="4"/>
      <c r="V520" s="132"/>
      <c r="W520" s="133"/>
      <c r="X520" s="133"/>
      <c r="AC520" s="134"/>
    </row>
    <row r="521" customFormat="false" ht="15.75" hidden="false" customHeight="true" outlineLevel="0" collapsed="false">
      <c r="D521" s="4"/>
      <c r="E521" s="4"/>
      <c r="F521" s="130"/>
      <c r="G521" s="7"/>
      <c r="H521" s="4"/>
      <c r="I521" s="9"/>
      <c r="J521" s="9"/>
      <c r="K521" s="9"/>
      <c r="L521" s="9"/>
      <c r="M521" s="9"/>
      <c r="N521" s="4"/>
      <c r="O521" s="4"/>
      <c r="P521" s="4"/>
      <c r="Q521" s="4"/>
      <c r="R521" s="4"/>
      <c r="S521" s="4"/>
      <c r="T521" s="4"/>
      <c r="V521" s="132"/>
      <c r="W521" s="133"/>
      <c r="X521" s="133"/>
      <c r="AC521" s="134"/>
    </row>
    <row r="522" customFormat="false" ht="15.75" hidden="false" customHeight="true" outlineLevel="0" collapsed="false">
      <c r="D522" s="4"/>
      <c r="E522" s="4"/>
      <c r="F522" s="130"/>
      <c r="G522" s="7"/>
      <c r="H522" s="4"/>
      <c r="I522" s="9"/>
      <c r="J522" s="9"/>
      <c r="K522" s="9"/>
      <c r="L522" s="9"/>
      <c r="M522" s="9"/>
      <c r="N522" s="4"/>
      <c r="O522" s="4"/>
      <c r="P522" s="4"/>
      <c r="Q522" s="4"/>
      <c r="R522" s="4"/>
      <c r="S522" s="4"/>
      <c r="T522" s="4"/>
      <c r="V522" s="132"/>
      <c r="W522" s="133"/>
      <c r="X522" s="133"/>
      <c r="AC522" s="134"/>
    </row>
    <row r="523" customFormat="false" ht="15.75" hidden="false" customHeight="true" outlineLevel="0" collapsed="false">
      <c r="D523" s="4"/>
      <c r="E523" s="4"/>
      <c r="F523" s="130"/>
      <c r="G523" s="7"/>
      <c r="H523" s="4"/>
      <c r="I523" s="9"/>
      <c r="J523" s="9"/>
      <c r="K523" s="9"/>
      <c r="L523" s="9"/>
      <c r="M523" s="9"/>
      <c r="N523" s="4"/>
      <c r="O523" s="4"/>
      <c r="P523" s="4"/>
      <c r="Q523" s="4"/>
      <c r="R523" s="4"/>
      <c r="S523" s="4"/>
      <c r="T523" s="4"/>
      <c r="V523" s="132"/>
      <c r="W523" s="133"/>
      <c r="X523" s="133"/>
      <c r="AC523" s="134"/>
    </row>
    <row r="524" customFormat="false" ht="15.75" hidden="false" customHeight="true" outlineLevel="0" collapsed="false">
      <c r="D524" s="4"/>
      <c r="E524" s="4"/>
      <c r="F524" s="130"/>
      <c r="G524" s="7"/>
      <c r="H524" s="4"/>
      <c r="I524" s="9"/>
      <c r="J524" s="9"/>
      <c r="K524" s="9"/>
      <c r="L524" s="9"/>
      <c r="M524" s="9"/>
      <c r="N524" s="4"/>
      <c r="O524" s="4"/>
      <c r="P524" s="4"/>
      <c r="Q524" s="4"/>
      <c r="R524" s="4"/>
      <c r="S524" s="4"/>
      <c r="T524" s="4"/>
      <c r="V524" s="132"/>
      <c r="W524" s="133"/>
      <c r="X524" s="133"/>
      <c r="AC524" s="134"/>
    </row>
    <row r="525" customFormat="false" ht="15.75" hidden="false" customHeight="true" outlineLevel="0" collapsed="false">
      <c r="D525" s="4"/>
      <c r="E525" s="4"/>
      <c r="F525" s="130"/>
      <c r="G525" s="7"/>
      <c r="H525" s="4"/>
      <c r="I525" s="9"/>
      <c r="J525" s="9"/>
      <c r="K525" s="9"/>
      <c r="L525" s="9"/>
      <c r="M525" s="9"/>
      <c r="N525" s="4"/>
      <c r="O525" s="4"/>
      <c r="P525" s="4"/>
      <c r="Q525" s="4"/>
      <c r="R525" s="4"/>
      <c r="S525" s="4"/>
      <c r="T525" s="4"/>
      <c r="V525" s="132"/>
      <c r="W525" s="133"/>
      <c r="X525" s="133"/>
      <c r="AC525" s="134"/>
    </row>
    <row r="526" customFormat="false" ht="15.75" hidden="false" customHeight="true" outlineLevel="0" collapsed="false">
      <c r="D526" s="4"/>
      <c r="E526" s="4"/>
      <c r="F526" s="130"/>
      <c r="G526" s="7"/>
      <c r="H526" s="4"/>
      <c r="I526" s="9"/>
      <c r="J526" s="9"/>
      <c r="K526" s="9"/>
      <c r="L526" s="9"/>
      <c r="M526" s="9"/>
      <c r="N526" s="4"/>
      <c r="O526" s="4"/>
      <c r="P526" s="4"/>
      <c r="Q526" s="4"/>
      <c r="R526" s="4"/>
      <c r="S526" s="4"/>
      <c r="T526" s="4"/>
      <c r="V526" s="132"/>
      <c r="W526" s="133"/>
      <c r="X526" s="133"/>
      <c r="AC526" s="134"/>
    </row>
    <row r="527" customFormat="false" ht="15.75" hidden="false" customHeight="true" outlineLevel="0" collapsed="false">
      <c r="D527" s="4"/>
      <c r="E527" s="4"/>
      <c r="F527" s="130"/>
      <c r="G527" s="7"/>
      <c r="H527" s="4"/>
      <c r="I527" s="9"/>
      <c r="J527" s="9"/>
      <c r="K527" s="9"/>
      <c r="L527" s="9"/>
      <c r="M527" s="9"/>
      <c r="N527" s="4"/>
      <c r="O527" s="4"/>
      <c r="P527" s="4"/>
      <c r="Q527" s="4"/>
      <c r="R527" s="4"/>
      <c r="S527" s="4"/>
      <c r="T527" s="4"/>
      <c r="V527" s="132"/>
      <c r="W527" s="133"/>
      <c r="X527" s="133"/>
      <c r="AC527" s="134"/>
    </row>
    <row r="528" customFormat="false" ht="15.75" hidden="false" customHeight="true" outlineLevel="0" collapsed="false">
      <c r="D528" s="4"/>
      <c r="E528" s="4"/>
      <c r="F528" s="130"/>
      <c r="G528" s="7"/>
      <c r="H528" s="4"/>
      <c r="I528" s="9"/>
      <c r="J528" s="9"/>
      <c r="K528" s="9"/>
      <c r="L528" s="9"/>
      <c r="M528" s="9"/>
      <c r="N528" s="4"/>
      <c r="O528" s="4"/>
      <c r="P528" s="4"/>
      <c r="Q528" s="4"/>
      <c r="R528" s="4"/>
      <c r="S528" s="4"/>
      <c r="T528" s="4"/>
      <c r="V528" s="132"/>
      <c r="W528" s="133"/>
      <c r="X528" s="133"/>
      <c r="AC528" s="134"/>
    </row>
    <row r="529" customFormat="false" ht="15.75" hidden="false" customHeight="true" outlineLevel="0" collapsed="false">
      <c r="D529" s="4"/>
      <c r="E529" s="4"/>
      <c r="F529" s="130"/>
      <c r="G529" s="7"/>
      <c r="H529" s="4"/>
      <c r="I529" s="9"/>
      <c r="J529" s="9"/>
      <c r="K529" s="9"/>
      <c r="L529" s="9"/>
      <c r="M529" s="9"/>
      <c r="N529" s="4"/>
      <c r="O529" s="4"/>
      <c r="P529" s="4"/>
      <c r="Q529" s="4"/>
      <c r="R529" s="4"/>
      <c r="S529" s="4"/>
      <c r="T529" s="4"/>
      <c r="V529" s="132"/>
      <c r="W529" s="133"/>
      <c r="X529" s="133"/>
      <c r="AC529" s="134"/>
    </row>
    <row r="530" customFormat="false" ht="15.75" hidden="false" customHeight="true" outlineLevel="0" collapsed="false">
      <c r="D530" s="4"/>
      <c r="E530" s="4"/>
      <c r="F530" s="130"/>
      <c r="G530" s="7"/>
      <c r="H530" s="4"/>
      <c r="I530" s="9"/>
      <c r="J530" s="9"/>
      <c r="K530" s="9"/>
      <c r="L530" s="9"/>
      <c r="M530" s="9"/>
      <c r="N530" s="4"/>
      <c r="O530" s="4"/>
      <c r="P530" s="4"/>
      <c r="Q530" s="4"/>
      <c r="R530" s="4"/>
      <c r="S530" s="4"/>
      <c r="T530" s="4"/>
      <c r="V530" s="132"/>
      <c r="W530" s="133"/>
      <c r="X530" s="133"/>
      <c r="AC530" s="134"/>
    </row>
    <row r="531" customFormat="false" ht="15.75" hidden="false" customHeight="true" outlineLevel="0" collapsed="false">
      <c r="D531" s="4"/>
      <c r="E531" s="4"/>
      <c r="F531" s="130"/>
      <c r="G531" s="7"/>
      <c r="H531" s="4"/>
      <c r="I531" s="9"/>
      <c r="J531" s="9"/>
      <c r="K531" s="9"/>
      <c r="L531" s="9"/>
      <c r="M531" s="9"/>
      <c r="N531" s="4"/>
      <c r="O531" s="4"/>
      <c r="P531" s="4"/>
      <c r="Q531" s="4"/>
      <c r="R531" s="4"/>
      <c r="S531" s="4"/>
      <c r="T531" s="4"/>
      <c r="V531" s="132"/>
      <c r="W531" s="133"/>
      <c r="X531" s="133"/>
      <c r="AC531" s="134"/>
    </row>
    <row r="532" customFormat="false" ht="15.75" hidden="false" customHeight="true" outlineLevel="0" collapsed="false">
      <c r="D532" s="4"/>
      <c r="E532" s="4"/>
      <c r="F532" s="130"/>
      <c r="G532" s="7"/>
      <c r="H532" s="4"/>
      <c r="I532" s="9"/>
      <c r="J532" s="9"/>
      <c r="K532" s="9"/>
      <c r="L532" s="9"/>
      <c r="M532" s="9"/>
      <c r="N532" s="4"/>
      <c r="O532" s="4"/>
      <c r="P532" s="4"/>
      <c r="Q532" s="4"/>
      <c r="R532" s="4"/>
      <c r="S532" s="4"/>
      <c r="T532" s="4"/>
      <c r="V532" s="132"/>
      <c r="W532" s="133"/>
      <c r="X532" s="133"/>
      <c r="AC532" s="134"/>
    </row>
    <row r="533" customFormat="false" ht="15.75" hidden="false" customHeight="true" outlineLevel="0" collapsed="false">
      <c r="D533" s="4"/>
      <c r="E533" s="4"/>
      <c r="F533" s="130"/>
      <c r="G533" s="7"/>
      <c r="H533" s="4"/>
      <c r="I533" s="9"/>
      <c r="J533" s="9"/>
      <c r="K533" s="9"/>
      <c r="L533" s="9"/>
      <c r="M533" s="9"/>
      <c r="N533" s="4"/>
      <c r="O533" s="4"/>
      <c r="P533" s="4"/>
      <c r="Q533" s="4"/>
      <c r="R533" s="4"/>
      <c r="S533" s="4"/>
      <c r="T533" s="4"/>
      <c r="V533" s="132"/>
      <c r="W533" s="133"/>
      <c r="X533" s="133"/>
      <c r="AC533" s="134"/>
    </row>
    <row r="534" customFormat="false" ht="15.75" hidden="false" customHeight="true" outlineLevel="0" collapsed="false">
      <c r="D534" s="4"/>
      <c r="E534" s="4"/>
      <c r="F534" s="130"/>
      <c r="G534" s="7"/>
      <c r="H534" s="4"/>
      <c r="I534" s="9"/>
      <c r="J534" s="9"/>
      <c r="K534" s="9"/>
      <c r="L534" s="9"/>
      <c r="M534" s="9"/>
      <c r="N534" s="4"/>
      <c r="O534" s="4"/>
      <c r="P534" s="4"/>
      <c r="Q534" s="4"/>
      <c r="R534" s="4"/>
      <c r="S534" s="4"/>
      <c r="T534" s="4"/>
      <c r="V534" s="132"/>
      <c r="W534" s="133"/>
      <c r="X534" s="133"/>
      <c r="AC534" s="134"/>
    </row>
    <row r="535" customFormat="false" ht="15.75" hidden="false" customHeight="true" outlineLevel="0" collapsed="false">
      <c r="D535" s="4"/>
      <c r="E535" s="4"/>
      <c r="F535" s="130"/>
      <c r="G535" s="7"/>
      <c r="H535" s="4"/>
      <c r="I535" s="9"/>
      <c r="J535" s="9"/>
      <c r="K535" s="9"/>
      <c r="L535" s="9"/>
      <c r="M535" s="9"/>
      <c r="N535" s="4"/>
      <c r="O535" s="4"/>
      <c r="P535" s="4"/>
      <c r="Q535" s="4"/>
      <c r="R535" s="4"/>
      <c r="S535" s="4"/>
      <c r="T535" s="4"/>
      <c r="V535" s="132"/>
      <c r="W535" s="133"/>
      <c r="X535" s="133"/>
      <c r="AC535" s="134"/>
    </row>
    <row r="536" customFormat="false" ht="15.75" hidden="false" customHeight="true" outlineLevel="0" collapsed="false">
      <c r="D536" s="4"/>
      <c r="E536" s="4"/>
      <c r="F536" s="130"/>
      <c r="G536" s="7"/>
      <c r="H536" s="4"/>
      <c r="I536" s="9"/>
      <c r="J536" s="9"/>
      <c r="K536" s="9"/>
      <c r="L536" s="9"/>
      <c r="M536" s="9"/>
      <c r="N536" s="4"/>
      <c r="O536" s="4"/>
      <c r="P536" s="4"/>
      <c r="Q536" s="4"/>
      <c r="R536" s="4"/>
      <c r="S536" s="4"/>
      <c r="T536" s="4"/>
      <c r="V536" s="132"/>
      <c r="W536" s="133"/>
      <c r="X536" s="133"/>
      <c r="AC536" s="134"/>
    </row>
    <row r="537" customFormat="false" ht="15.75" hidden="false" customHeight="true" outlineLevel="0" collapsed="false">
      <c r="D537" s="4"/>
      <c r="E537" s="4"/>
      <c r="F537" s="130"/>
      <c r="G537" s="7"/>
      <c r="H537" s="4"/>
      <c r="I537" s="9"/>
      <c r="J537" s="9"/>
      <c r="K537" s="9"/>
      <c r="L537" s="9"/>
      <c r="M537" s="9"/>
      <c r="N537" s="4"/>
      <c r="O537" s="4"/>
      <c r="P537" s="4"/>
      <c r="Q537" s="4"/>
      <c r="R537" s="4"/>
      <c r="S537" s="4"/>
      <c r="T537" s="4"/>
      <c r="V537" s="132"/>
      <c r="W537" s="133"/>
      <c r="X537" s="133"/>
      <c r="AC537" s="134"/>
    </row>
    <row r="538" customFormat="false" ht="15.75" hidden="false" customHeight="true" outlineLevel="0" collapsed="false">
      <c r="D538" s="4"/>
      <c r="E538" s="4"/>
      <c r="F538" s="130"/>
      <c r="G538" s="7"/>
      <c r="H538" s="4"/>
      <c r="I538" s="9"/>
      <c r="J538" s="9"/>
      <c r="K538" s="9"/>
      <c r="L538" s="9"/>
      <c r="M538" s="9"/>
      <c r="N538" s="4"/>
      <c r="O538" s="4"/>
      <c r="P538" s="4"/>
      <c r="Q538" s="4"/>
      <c r="R538" s="4"/>
      <c r="S538" s="4"/>
      <c r="T538" s="4"/>
      <c r="V538" s="132"/>
      <c r="W538" s="133"/>
      <c r="X538" s="133"/>
      <c r="AC538" s="134"/>
    </row>
    <row r="539" customFormat="false" ht="15.75" hidden="false" customHeight="true" outlineLevel="0" collapsed="false">
      <c r="D539" s="4"/>
      <c r="E539" s="4"/>
      <c r="F539" s="130"/>
      <c r="G539" s="7"/>
      <c r="H539" s="4"/>
      <c r="I539" s="9"/>
      <c r="J539" s="9"/>
      <c r="K539" s="9"/>
      <c r="L539" s="9"/>
      <c r="M539" s="9"/>
      <c r="N539" s="4"/>
      <c r="O539" s="4"/>
      <c r="P539" s="4"/>
      <c r="Q539" s="4"/>
      <c r="R539" s="4"/>
      <c r="S539" s="4"/>
      <c r="T539" s="4"/>
      <c r="V539" s="132"/>
      <c r="W539" s="133"/>
      <c r="X539" s="133"/>
      <c r="AC539" s="134"/>
    </row>
    <row r="540" customFormat="false" ht="15.75" hidden="false" customHeight="true" outlineLevel="0" collapsed="false">
      <c r="D540" s="4"/>
      <c r="E540" s="4"/>
      <c r="F540" s="130"/>
      <c r="G540" s="7"/>
      <c r="H540" s="4"/>
      <c r="I540" s="9"/>
      <c r="J540" s="9"/>
      <c r="K540" s="9"/>
      <c r="L540" s="9"/>
      <c r="M540" s="9"/>
      <c r="N540" s="4"/>
      <c r="O540" s="4"/>
      <c r="P540" s="4"/>
      <c r="Q540" s="4"/>
      <c r="R540" s="4"/>
      <c r="S540" s="4"/>
      <c r="T540" s="4"/>
      <c r="V540" s="132"/>
      <c r="W540" s="133"/>
      <c r="X540" s="133"/>
      <c r="AC540" s="134"/>
    </row>
    <row r="541" customFormat="false" ht="15.75" hidden="false" customHeight="true" outlineLevel="0" collapsed="false">
      <c r="D541" s="4"/>
      <c r="E541" s="4"/>
      <c r="F541" s="130"/>
      <c r="G541" s="7"/>
      <c r="H541" s="4"/>
      <c r="I541" s="9"/>
      <c r="J541" s="9"/>
      <c r="K541" s="9"/>
      <c r="L541" s="9"/>
      <c r="M541" s="9"/>
      <c r="N541" s="4"/>
      <c r="O541" s="4"/>
      <c r="P541" s="4"/>
      <c r="Q541" s="4"/>
      <c r="R541" s="4"/>
      <c r="S541" s="4"/>
      <c r="T541" s="4"/>
      <c r="V541" s="132"/>
      <c r="W541" s="133"/>
      <c r="X541" s="133"/>
      <c r="AC541" s="134"/>
    </row>
    <row r="542" customFormat="false" ht="15.75" hidden="false" customHeight="true" outlineLevel="0" collapsed="false">
      <c r="D542" s="4"/>
      <c r="E542" s="4"/>
      <c r="F542" s="130"/>
      <c r="G542" s="7"/>
      <c r="H542" s="4"/>
      <c r="I542" s="9"/>
      <c r="J542" s="9"/>
      <c r="K542" s="9"/>
      <c r="L542" s="9"/>
      <c r="M542" s="9"/>
      <c r="N542" s="4"/>
      <c r="O542" s="4"/>
      <c r="P542" s="4"/>
      <c r="Q542" s="4"/>
      <c r="R542" s="4"/>
      <c r="S542" s="4"/>
      <c r="T542" s="4"/>
      <c r="V542" s="132"/>
      <c r="W542" s="133"/>
      <c r="X542" s="133"/>
      <c r="AC542" s="134"/>
    </row>
    <row r="543" customFormat="false" ht="15.75" hidden="false" customHeight="true" outlineLevel="0" collapsed="false">
      <c r="D543" s="4"/>
      <c r="E543" s="4"/>
      <c r="F543" s="130"/>
      <c r="G543" s="7"/>
      <c r="H543" s="4"/>
      <c r="I543" s="9"/>
      <c r="J543" s="9"/>
      <c r="K543" s="9"/>
      <c r="L543" s="9"/>
      <c r="M543" s="9"/>
      <c r="N543" s="4"/>
      <c r="O543" s="4"/>
      <c r="P543" s="4"/>
      <c r="Q543" s="4"/>
      <c r="R543" s="4"/>
      <c r="S543" s="4"/>
      <c r="T543" s="4"/>
      <c r="V543" s="132"/>
      <c r="W543" s="133"/>
      <c r="X543" s="133"/>
      <c r="AC543" s="134"/>
    </row>
    <row r="544" customFormat="false" ht="15.75" hidden="false" customHeight="true" outlineLevel="0" collapsed="false">
      <c r="D544" s="4"/>
      <c r="E544" s="4"/>
      <c r="F544" s="130"/>
      <c r="G544" s="7"/>
      <c r="H544" s="4"/>
      <c r="I544" s="9"/>
      <c r="J544" s="9"/>
      <c r="K544" s="9"/>
      <c r="L544" s="9"/>
      <c r="M544" s="9"/>
      <c r="N544" s="4"/>
      <c r="O544" s="4"/>
      <c r="P544" s="4"/>
      <c r="Q544" s="4"/>
      <c r="R544" s="4"/>
      <c r="S544" s="4"/>
      <c r="T544" s="4"/>
      <c r="V544" s="132"/>
      <c r="W544" s="133"/>
      <c r="X544" s="133"/>
      <c r="AC544" s="134"/>
    </row>
    <row r="545" customFormat="false" ht="15.75" hidden="false" customHeight="true" outlineLevel="0" collapsed="false">
      <c r="D545" s="4"/>
      <c r="E545" s="4"/>
      <c r="F545" s="130"/>
      <c r="G545" s="7"/>
      <c r="H545" s="4"/>
      <c r="I545" s="9"/>
      <c r="J545" s="9"/>
      <c r="K545" s="9"/>
      <c r="L545" s="9"/>
      <c r="M545" s="9"/>
      <c r="N545" s="4"/>
      <c r="O545" s="4"/>
      <c r="P545" s="4"/>
      <c r="Q545" s="4"/>
      <c r="R545" s="4"/>
      <c r="S545" s="4"/>
      <c r="T545" s="4"/>
      <c r="V545" s="132"/>
      <c r="W545" s="133"/>
      <c r="X545" s="133"/>
      <c r="AC545" s="134"/>
    </row>
    <row r="546" customFormat="false" ht="15.75" hidden="false" customHeight="true" outlineLevel="0" collapsed="false">
      <c r="D546" s="4"/>
      <c r="E546" s="4"/>
      <c r="F546" s="130"/>
      <c r="G546" s="7"/>
      <c r="H546" s="4"/>
      <c r="I546" s="9"/>
      <c r="J546" s="9"/>
      <c r="K546" s="9"/>
      <c r="L546" s="9"/>
      <c r="M546" s="9"/>
      <c r="N546" s="4"/>
      <c r="O546" s="4"/>
      <c r="P546" s="4"/>
      <c r="Q546" s="4"/>
      <c r="R546" s="4"/>
      <c r="S546" s="4"/>
      <c r="T546" s="4"/>
      <c r="V546" s="132"/>
      <c r="W546" s="133"/>
      <c r="X546" s="133"/>
      <c r="AC546" s="134"/>
    </row>
    <row r="547" customFormat="false" ht="15.75" hidden="false" customHeight="true" outlineLevel="0" collapsed="false">
      <c r="D547" s="4"/>
      <c r="E547" s="4"/>
      <c r="F547" s="130"/>
      <c r="G547" s="7"/>
      <c r="H547" s="4"/>
      <c r="I547" s="9"/>
      <c r="J547" s="9"/>
      <c r="K547" s="9"/>
      <c r="L547" s="9"/>
      <c r="M547" s="9"/>
      <c r="N547" s="4"/>
      <c r="O547" s="4"/>
      <c r="P547" s="4"/>
      <c r="Q547" s="4"/>
      <c r="R547" s="4"/>
      <c r="S547" s="4"/>
      <c r="T547" s="4"/>
      <c r="V547" s="132"/>
      <c r="W547" s="133"/>
      <c r="X547" s="133"/>
      <c r="AC547" s="134"/>
    </row>
    <row r="548" customFormat="false" ht="15.75" hidden="false" customHeight="true" outlineLevel="0" collapsed="false">
      <c r="D548" s="4"/>
      <c r="E548" s="4"/>
      <c r="F548" s="130"/>
      <c r="G548" s="7"/>
      <c r="H548" s="4"/>
      <c r="I548" s="9"/>
      <c r="J548" s="9"/>
      <c r="K548" s="9"/>
      <c r="L548" s="9"/>
      <c r="M548" s="9"/>
      <c r="N548" s="4"/>
      <c r="O548" s="4"/>
      <c r="P548" s="4"/>
      <c r="Q548" s="4"/>
      <c r="R548" s="4"/>
      <c r="S548" s="4"/>
      <c r="T548" s="4"/>
      <c r="V548" s="132"/>
      <c r="W548" s="133"/>
      <c r="X548" s="133"/>
      <c r="AC548" s="134"/>
    </row>
    <row r="549" customFormat="false" ht="15.75" hidden="false" customHeight="true" outlineLevel="0" collapsed="false">
      <c r="D549" s="4"/>
      <c r="E549" s="4"/>
      <c r="F549" s="130"/>
      <c r="G549" s="7"/>
      <c r="H549" s="4"/>
      <c r="I549" s="9"/>
      <c r="J549" s="9"/>
      <c r="K549" s="9"/>
      <c r="L549" s="9"/>
      <c r="M549" s="9"/>
      <c r="N549" s="4"/>
      <c r="O549" s="4"/>
      <c r="P549" s="4"/>
      <c r="Q549" s="4"/>
      <c r="R549" s="4"/>
      <c r="S549" s="4"/>
      <c r="T549" s="4"/>
      <c r="V549" s="132"/>
      <c r="W549" s="133"/>
      <c r="X549" s="133"/>
      <c r="AC549" s="134"/>
    </row>
    <row r="550" customFormat="false" ht="15.75" hidden="false" customHeight="true" outlineLevel="0" collapsed="false">
      <c r="D550" s="4"/>
      <c r="E550" s="4"/>
      <c r="F550" s="130"/>
      <c r="G550" s="7"/>
      <c r="H550" s="4"/>
      <c r="I550" s="9"/>
      <c r="J550" s="9"/>
      <c r="K550" s="9"/>
      <c r="L550" s="9"/>
      <c r="M550" s="9"/>
      <c r="N550" s="4"/>
      <c r="O550" s="4"/>
      <c r="P550" s="4"/>
      <c r="Q550" s="4"/>
      <c r="R550" s="4"/>
      <c r="S550" s="4"/>
      <c r="T550" s="4"/>
      <c r="V550" s="132"/>
      <c r="W550" s="133"/>
      <c r="X550" s="133"/>
      <c r="AC550" s="134"/>
    </row>
    <row r="551" customFormat="false" ht="15.75" hidden="false" customHeight="true" outlineLevel="0" collapsed="false">
      <c r="D551" s="4"/>
      <c r="E551" s="4"/>
      <c r="F551" s="130"/>
      <c r="G551" s="7"/>
      <c r="H551" s="4"/>
      <c r="I551" s="9"/>
      <c r="J551" s="9"/>
      <c r="K551" s="9"/>
      <c r="L551" s="9"/>
      <c r="M551" s="9"/>
      <c r="N551" s="4"/>
      <c r="O551" s="4"/>
      <c r="P551" s="4"/>
      <c r="Q551" s="4"/>
      <c r="R551" s="4"/>
      <c r="S551" s="4"/>
      <c r="T551" s="4"/>
      <c r="V551" s="132"/>
      <c r="W551" s="133"/>
      <c r="X551" s="133"/>
      <c r="AC551" s="134"/>
    </row>
    <row r="552" customFormat="false" ht="15.75" hidden="false" customHeight="true" outlineLevel="0" collapsed="false">
      <c r="D552" s="4"/>
      <c r="E552" s="4"/>
      <c r="F552" s="130"/>
      <c r="G552" s="7"/>
      <c r="H552" s="4"/>
      <c r="I552" s="9"/>
      <c r="J552" s="9"/>
      <c r="K552" s="9"/>
      <c r="L552" s="9"/>
      <c r="M552" s="9"/>
      <c r="N552" s="4"/>
      <c r="O552" s="4"/>
      <c r="P552" s="4"/>
      <c r="Q552" s="4"/>
      <c r="R552" s="4"/>
      <c r="S552" s="4"/>
      <c r="T552" s="4"/>
      <c r="V552" s="132"/>
      <c r="W552" s="133"/>
      <c r="X552" s="133"/>
      <c r="AC552" s="134"/>
    </row>
    <row r="553" customFormat="false" ht="15.75" hidden="false" customHeight="true" outlineLevel="0" collapsed="false">
      <c r="D553" s="4"/>
      <c r="E553" s="4"/>
      <c r="F553" s="130"/>
      <c r="G553" s="7"/>
      <c r="H553" s="4"/>
      <c r="I553" s="9"/>
      <c r="J553" s="9"/>
      <c r="K553" s="9"/>
      <c r="L553" s="9"/>
      <c r="M553" s="9"/>
      <c r="N553" s="4"/>
      <c r="O553" s="4"/>
      <c r="P553" s="4"/>
      <c r="Q553" s="4"/>
      <c r="R553" s="4"/>
      <c r="S553" s="4"/>
      <c r="T553" s="4"/>
      <c r="V553" s="132"/>
      <c r="W553" s="133"/>
      <c r="X553" s="133"/>
      <c r="AC553" s="134"/>
    </row>
    <row r="554" customFormat="false" ht="15.75" hidden="false" customHeight="true" outlineLevel="0" collapsed="false">
      <c r="D554" s="4"/>
      <c r="E554" s="4"/>
      <c r="F554" s="130"/>
      <c r="G554" s="7"/>
      <c r="H554" s="4"/>
      <c r="I554" s="9"/>
      <c r="J554" s="9"/>
      <c r="K554" s="9"/>
      <c r="L554" s="9"/>
      <c r="M554" s="9"/>
      <c r="N554" s="4"/>
      <c r="O554" s="4"/>
      <c r="P554" s="4"/>
      <c r="Q554" s="4"/>
      <c r="R554" s="4"/>
      <c r="S554" s="4"/>
      <c r="T554" s="4"/>
      <c r="V554" s="132"/>
      <c r="W554" s="133"/>
      <c r="X554" s="133"/>
      <c r="AC554" s="134"/>
    </row>
    <row r="555" customFormat="false" ht="15.75" hidden="false" customHeight="true" outlineLevel="0" collapsed="false">
      <c r="D555" s="4"/>
      <c r="E555" s="4"/>
      <c r="F555" s="130"/>
      <c r="G555" s="7"/>
      <c r="H555" s="4"/>
      <c r="I555" s="9"/>
      <c r="J555" s="9"/>
      <c r="K555" s="9"/>
      <c r="L555" s="9"/>
      <c r="M555" s="9"/>
      <c r="N555" s="4"/>
      <c r="O555" s="4"/>
      <c r="P555" s="4"/>
      <c r="Q555" s="4"/>
      <c r="R555" s="4"/>
      <c r="S555" s="4"/>
      <c r="T555" s="4"/>
      <c r="V555" s="132"/>
      <c r="W555" s="133"/>
      <c r="X555" s="133"/>
      <c r="AC555" s="134"/>
    </row>
    <row r="556" customFormat="false" ht="15.75" hidden="false" customHeight="true" outlineLevel="0" collapsed="false">
      <c r="D556" s="4"/>
      <c r="E556" s="4"/>
      <c r="F556" s="130"/>
      <c r="G556" s="7"/>
      <c r="H556" s="4"/>
      <c r="I556" s="9"/>
      <c r="J556" s="9"/>
      <c r="K556" s="9"/>
      <c r="L556" s="9"/>
      <c r="M556" s="9"/>
      <c r="N556" s="4"/>
      <c r="O556" s="4"/>
      <c r="P556" s="4"/>
      <c r="Q556" s="4"/>
      <c r="R556" s="4"/>
      <c r="S556" s="4"/>
      <c r="T556" s="4"/>
      <c r="V556" s="132"/>
      <c r="W556" s="133"/>
      <c r="X556" s="133"/>
      <c r="AC556" s="134"/>
    </row>
    <row r="557" customFormat="false" ht="15.75" hidden="false" customHeight="true" outlineLevel="0" collapsed="false">
      <c r="D557" s="4"/>
      <c r="E557" s="4"/>
      <c r="F557" s="130"/>
      <c r="G557" s="7"/>
      <c r="H557" s="4"/>
      <c r="I557" s="9"/>
      <c r="J557" s="9"/>
      <c r="K557" s="9"/>
      <c r="L557" s="9"/>
      <c r="M557" s="9"/>
      <c r="N557" s="4"/>
      <c r="O557" s="4"/>
      <c r="P557" s="4"/>
      <c r="Q557" s="4"/>
      <c r="R557" s="4"/>
      <c r="S557" s="4"/>
      <c r="T557" s="4"/>
      <c r="V557" s="132"/>
      <c r="W557" s="133"/>
      <c r="X557" s="133"/>
      <c r="AC557" s="134"/>
    </row>
    <row r="558" customFormat="false" ht="15.75" hidden="false" customHeight="true" outlineLevel="0" collapsed="false">
      <c r="D558" s="4"/>
      <c r="E558" s="4"/>
      <c r="F558" s="130"/>
      <c r="G558" s="7"/>
      <c r="H558" s="4"/>
      <c r="I558" s="9"/>
      <c r="J558" s="9"/>
      <c r="K558" s="9"/>
      <c r="L558" s="9"/>
      <c r="M558" s="9"/>
      <c r="N558" s="4"/>
      <c r="O558" s="4"/>
      <c r="P558" s="4"/>
      <c r="Q558" s="4"/>
      <c r="R558" s="4"/>
      <c r="S558" s="4"/>
      <c r="T558" s="4"/>
      <c r="V558" s="132"/>
      <c r="W558" s="133"/>
      <c r="X558" s="133"/>
      <c r="AC558" s="134"/>
    </row>
    <row r="559" customFormat="false" ht="15.75" hidden="false" customHeight="true" outlineLevel="0" collapsed="false">
      <c r="D559" s="4"/>
      <c r="E559" s="4"/>
      <c r="F559" s="130"/>
      <c r="G559" s="7"/>
      <c r="H559" s="4"/>
      <c r="I559" s="9"/>
      <c r="J559" s="9"/>
      <c r="K559" s="9"/>
      <c r="L559" s="9"/>
      <c r="M559" s="9"/>
      <c r="N559" s="4"/>
      <c r="O559" s="4"/>
      <c r="P559" s="4"/>
      <c r="Q559" s="4"/>
      <c r="R559" s="4"/>
      <c r="S559" s="4"/>
      <c r="T559" s="4"/>
      <c r="V559" s="132"/>
      <c r="W559" s="133"/>
      <c r="X559" s="133"/>
      <c r="AC559" s="134"/>
    </row>
    <row r="560" customFormat="false" ht="15.75" hidden="false" customHeight="true" outlineLevel="0" collapsed="false">
      <c r="D560" s="4"/>
      <c r="E560" s="4"/>
      <c r="F560" s="130"/>
      <c r="G560" s="7"/>
      <c r="H560" s="4"/>
      <c r="I560" s="9"/>
      <c r="J560" s="9"/>
      <c r="K560" s="9"/>
      <c r="L560" s="9"/>
      <c r="M560" s="9"/>
      <c r="N560" s="4"/>
      <c r="O560" s="4"/>
      <c r="P560" s="4"/>
      <c r="Q560" s="4"/>
      <c r="R560" s="4"/>
      <c r="S560" s="4"/>
      <c r="T560" s="4"/>
      <c r="V560" s="132"/>
      <c r="W560" s="133"/>
      <c r="X560" s="133"/>
      <c r="AC560" s="134"/>
    </row>
    <row r="561" customFormat="false" ht="15.75" hidden="false" customHeight="true" outlineLevel="0" collapsed="false">
      <c r="D561" s="4"/>
      <c r="E561" s="4"/>
      <c r="F561" s="130"/>
      <c r="G561" s="7"/>
      <c r="H561" s="4"/>
      <c r="I561" s="9"/>
      <c r="J561" s="9"/>
      <c r="K561" s="9"/>
      <c r="L561" s="9"/>
      <c r="M561" s="9"/>
      <c r="N561" s="4"/>
      <c r="O561" s="4"/>
      <c r="P561" s="4"/>
      <c r="Q561" s="4"/>
      <c r="R561" s="4"/>
      <c r="S561" s="4"/>
      <c r="T561" s="4"/>
      <c r="V561" s="132"/>
      <c r="W561" s="133"/>
      <c r="X561" s="133"/>
      <c r="AC561" s="134"/>
    </row>
    <row r="562" customFormat="false" ht="15.75" hidden="false" customHeight="true" outlineLevel="0" collapsed="false">
      <c r="D562" s="4"/>
      <c r="E562" s="4"/>
      <c r="F562" s="130"/>
      <c r="G562" s="7"/>
      <c r="H562" s="4"/>
      <c r="I562" s="9"/>
      <c r="J562" s="9"/>
      <c r="K562" s="9"/>
      <c r="L562" s="9"/>
      <c r="M562" s="9"/>
      <c r="N562" s="4"/>
      <c r="O562" s="4"/>
      <c r="P562" s="4"/>
      <c r="Q562" s="4"/>
      <c r="R562" s="4"/>
      <c r="S562" s="4"/>
      <c r="T562" s="4"/>
      <c r="V562" s="132"/>
      <c r="W562" s="133"/>
      <c r="X562" s="133"/>
      <c r="AC562" s="134"/>
    </row>
    <row r="563" customFormat="false" ht="15.75" hidden="false" customHeight="true" outlineLevel="0" collapsed="false">
      <c r="D563" s="4"/>
      <c r="E563" s="4"/>
      <c r="F563" s="130"/>
      <c r="G563" s="7"/>
      <c r="H563" s="4"/>
      <c r="I563" s="9"/>
      <c r="J563" s="9"/>
      <c r="K563" s="9"/>
      <c r="L563" s="9"/>
      <c r="M563" s="9"/>
      <c r="N563" s="4"/>
      <c r="O563" s="4"/>
      <c r="P563" s="4"/>
      <c r="Q563" s="4"/>
      <c r="R563" s="4"/>
      <c r="S563" s="4"/>
      <c r="T563" s="4"/>
      <c r="V563" s="132"/>
      <c r="W563" s="133"/>
      <c r="X563" s="133"/>
      <c r="AC563" s="134"/>
    </row>
    <row r="564" customFormat="false" ht="15.75" hidden="false" customHeight="true" outlineLevel="0" collapsed="false">
      <c r="D564" s="4"/>
      <c r="E564" s="4"/>
      <c r="F564" s="130"/>
      <c r="G564" s="7"/>
      <c r="H564" s="4"/>
      <c r="I564" s="9"/>
      <c r="J564" s="9"/>
      <c r="K564" s="9"/>
      <c r="L564" s="9"/>
      <c r="M564" s="9"/>
      <c r="N564" s="4"/>
      <c r="O564" s="4"/>
      <c r="P564" s="4"/>
      <c r="Q564" s="4"/>
      <c r="R564" s="4"/>
      <c r="S564" s="4"/>
      <c r="T564" s="4"/>
      <c r="V564" s="132"/>
      <c r="W564" s="133"/>
      <c r="X564" s="133"/>
      <c r="AC564" s="134"/>
    </row>
    <row r="565" customFormat="false" ht="15.75" hidden="false" customHeight="true" outlineLevel="0" collapsed="false">
      <c r="D565" s="4"/>
      <c r="E565" s="4"/>
      <c r="F565" s="130"/>
      <c r="G565" s="7"/>
      <c r="H565" s="4"/>
      <c r="I565" s="9"/>
      <c r="J565" s="9"/>
      <c r="K565" s="9"/>
      <c r="L565" s="9"/>
      <c r="M565" s="9"/>
      <c r="N565" s="4"/>
      <c r="O565" s="4"/>
      <c r="P565" s="4"/>
      <c r="Q565" s="4"/>
      <c r="R565" s="4"/>
      <c r="S565" s="4"/>
      <c r="T565" s="4"/>
      <c r="V565" s="132"/>
      <c r="W565" s="133"/>
      <c r="X565" s="133"/>
      <c r="AC565" s="134"/>
    </row>
    <row r="566" customFormat="false" ht="15.75" hidden="false" customHeight="true" outlineLevel="0" collapsed="false">
      <c r="D566" s="4"/>
      <c r="E566" s="4"/>
      <c r="F566" s="130"/>
      <c r="G566" s="7"/>
      <c r="H566" s="4"/>
      <c r="I566" s="9"/>
      <c r="J566" s="9"/>
      <c r="K566" s="9"/>
      <c r="L566" s="9"/>
      <c r="M566" s="9"/>
      <c r="N566" s="4"/>
      <c r="O566" s="4"/>
      <c r="P566" s="4"/>
      <c r="Q566" s="4"/>
      <c r="R566" s="4"/>
      <c r="S566" s="4"/>
      <c r="T566" s="4"/>
      <c r="V566" s="132"/>
      <c r="W566" s="133"/>
      <c r="X566" s="133"/>
      <c r="AC566" s="134"/>
    </row>
    <row r="567" customFormat="false" ht="15.75" hidden="false" customHeight="true" outlineLevel="0" collapsed="false">
      <c r="D567" s="4"/>
      <c r="E567" s="4"/>
      <c r="F567" s="130"/>
      <c r="G567" s="7"/>
      <c r="H567" s="4"/>
      <c r="I567" s="9"/>
      <c r="J567" s="9"/>
      <c r="K567" s="9"/>
      <c r="L567" s="9"/>
      <c r="M567" s="9"/>
      <c r="N567" s="4"/>
      <c r="O567" s="4"/>
      <c r="P567" s="4"/>
      <c r="Q567" s="4"/>
      <c r="R567" s="4"/>
      <c r="S567" s="4"/>
      <c r="T567" s="4"/>
      <c r="V567" s="132"/>
      <c r="W567" s="133"/>
      <c r="X567" s="133"/>
      <c r="AC567" s="134"/>
    </row>
    <row r="568" customFormat="false" ht="15.75" hidden="false" customHeight="true" outlineLevel="0" collapsed="false">
      <c r="D568" s="4"/>
      <c r="E568" s="4"/>
      <c r="F568" s="130"/>
      <c r="G568" s="7"/>
      <c r="H568" s="4"/>
      <c r="I568" s="9"/>
      <c r="J568" s="9"/>
      <c r="K568" s="9"/>
      <c r="L568" s="9"/>
      <c r="M568" s="9"/>
      <c r="N568" s="4"/>
      <c r="O568" s="4"/>
      <c r="P568" s="4"/>
      <c r="Q568" s="4"/>
      <c r="R568" s="4"/>
      <c r="S568" s="4"/>
      <c r="T568" s="4"/>
      <c r="V568" s="132"/>
      <c r="W568" s="133"/>
      <c r="X568" s="133"/>
      <c r="AC568" s="134"/>
    </row>
    <row r="569" customFormat="false" ht="15.75" hidden="false" customHeight="true" outlineLevel="0" collapsed="false">
      <c r="D569" s="4"/>
      <c r="E569" s="4"/>
      <c r="F569" s="130"/>
      <c r="G569" s="7"/>
      <c r="H569" s="4"/>
      <c r="I569" s="9"/>
      <c r="J569" s="9"/>
      <c r="K569" s="9"/>
      <c r="L569" s="9"/>
      <c r="M569" s="9"/>
      <c r="N569" s="4"/>
      <c r="O569" s="4"/>
      <c r="P569" s="4"/>
      <c r="Q569" s="4"/>
      <c r="R569" s="4"/>
      <c r="S569" s="4"/>
      <c r="T569" s="4"/>
      <c r="V569" s="132"/>
      <c r="W569" s="133"/>
      <c r="X569" s="133"/>
      <c r="AC569" s="134"/>
    </row>
    <row r="570" customFormat="false" ht="15.75" hidden="false" customHeight="true" outlineLevel="0" collapsed="false">
      <c r="D570" s="4"/>
      <c r="E570" s="4"/>
      <c r="F570" s="130"/>
      <c r="G570" s="7"/>
      <c r="H570" s="4"/>
      <c r="I570" s="9"/>
      <c r="J570" s="9"/>
      <c r="K570" s="9"/>
      <c r="L570" s="9"/>
      <c r="M570" s="9"/>
      <c r="N570" s="4"/>
      <c r="O570" s="4"/>
      <c r="P570" s="4"/>
      <c r="Q570" s="4"/>
      <c r="R570" s="4"/>
      <c r="S570" s="4"/>
      <c r="T570" s="4"/>
      <c r="V570" s="132"/>
      <c r="W570" s="133"/>
      <c r="X570" s="133"/>
      <c r="AC570" s="134"/>
    </row>
    <row r="571" customFormat="false" ht="15.75" hidden="false" customHeight="true" outlineLevel="0" collapsed="false">
      <c r="D571" s="4"/>
      <c r="E571" s="4"/>
      <c r="F571" s="130"/>
      <c r="G571" s="7"/>
      <c r="H571" s="4"/>
      <c r="I571" s="9"/>
      <c r="J571" s="9"/>
      <c r="K571" s="9"/>
      <c r="L571" s="9"/>
      <c r="M571" s="9"/>
      <c r="N571" s="4"/>
      <c r="O571" s="4"/>
      <c r="P571" s="4"/>
      <c r="Q571" s="4"/>
      <c r="R571" s="4"/>
      <c r="S571" s="4"/>
      <c r="T571" s="4"/>
      <c r="V571" s="132"/>
      <c r="W571" s="133"/>
      <c r="X571" s="133"/>
      <c r="AC571" s="134"/>
    </row>
    <row r="572" customFormat="false" ht="15.75" hidden="false" customHeight="true" outlineLevel="0" collapsed="false">
      <c r="D572" s="4"/>
      <c r="E572" s="4"/>
      <c r="F572" s="130"/>
      <c r="G572" s="7"/>
      <c r="H572" s="4"/>
      <c r="I572" s="9"/>
      <c r="J572" s="9"/>
      <c r="K572" s="9"/>
      <c r="L572" s="9"/>
      <c r="M572" s="9"/>
      <c r="N572" s="4"/>
      <c r="O572" s="4"/>
      <c r="P572" s="4"/>
      <c r="Q572" s="4"/>
      <c r="R572" s="4"/>
      <c r="S572" s="4"/>
      <c r="T572" s="4"/>
      <c r="V572" s="132"/>
      <c r="W572" s="133"/>
      <c r="X572" s="133"/>
      <c r="AC572" s="134"/>
    </row>
    <row r="573" customFormat="false" ht="15.75" hidden="false" customHeight="true" outlineLevel="0" collapsed="false">
      <c r="D573" s="4"/>
      <c r="E573" s="4"/>
      <c r="F573" s="130"/>
      <c r="G573" s="7"/>
      <c r="H573" s="4"/>
      <c r="I573" s="9"/>
      <c r="J573" s="9"/>
      <c r="K573" s="9"/>
      <c r="L573" s="9"/>
      <c r="M573" s="9"/>
      <c r="N573" s="4"/>
      <c r="O573" s="4"/>
      <c r="P573" s="4"/>
      <c r="Q573" s="4"/>
      <c r="R573" s="4"/>
      <c r="S573" s="4"/>
      <c r="T573" s="4"/>
      <c r="V573" s="132"/>
      <c r="W573" s="133"/>
      <c r="X573" s="133"/>
      <c r="AC573" s="134"/>
    </row>
    <row r="574" customFormat="false" ht="15.75" hidden="false" customHeight="true" outlineLevel="0" collapsed="false">
      <c r="D574" s="4"/>
      <c r="E574" s="4"/>
      <c r="F574" s="130"/>
      <c r="G574" s="7"/>
      <c r="H574" s="4"/>
      <c r="I574" s="9"/>
      <c r="J574" s="9"/>
      <c r="K574" s="9"/>
      <c r="L574" s="9"/>
      <c r="M574" s="9"/>
      <c r="N574" s="4"/>
      <c r="O574" s="4"/>
      <c r="P574" s="4"/>
      <c r="Q574" s="4"/>
      <c r="R574" s="4"/>
      <c r="S574" s="4"/>
      <c r="T574" s="4"/>
      <c r="V574" s="132"/>
      <c r="W574" s="133"/>
      <c r="X574" s="133"/>
      <c r="AC574" s="134"/>
    </row>
    <row r="575" customFormat="false" ht="15.75" hidden="false" customHeight="true" outlineLevel="0" collapsed="false">
      <c r="D575" s="4"/>
      <c r="E575" s="4"/>
      <c r="F575" s="130"/>
      <c r="G575" s="7"/>
      <c r="H575" s="4"/>
      <c r="I575" s="9"/>
      <c r="J575" s="9"/>
      <c r="K575" s="9"/>
      <c r="L575" s="9"/>
      <c r="M575" s="9"/>
      <c r="N575" s="4"/>
      <c r="O575" s="4"/>
      <c r="P575" s="4"/>
      <c r="Q575" s="4"/>
      <c r="R575" s="4"/>
      <c r="S575" s="4"/>
      <c r="T575" s="4"/>
      <c r="V575" s="132"/>
      <c r="W575" s="133"/>
      <c r="X575" s="133"/>
      <c r="AC575" s="134"/>
    </row>
    <row r="576" customFormat="false" ht="15.75" hidden="false" customHeight="true" outlineLevel="0" collapsed="false">
      <c r="D576" s="4"/>
      <c r="E576" s="4"/>
      <c r="F576" s="130"/>
      <c r="G576" s="7"/>
      <c r="H576" s="4"/>
      <c r="I576" s="9"/>
      <c r="J576" s="9"/>
      <c r="K576" s="9"/>
      <c r="L576" s="9"/>
      <c r="M576" s="9"/>
      <c r="N576" s="4"/>
      <c r="O576" s="4"/>
      <c r="P576" s="4"/>
      <c r="Q576" s="4"/>
      <c r="R576" s="4"/>
      <c r="S576" s="4"/>
      <c r="T576" s="4"/>
      <c r="V576" s="132"/>
      <c r="W576" s="133"/>
      <c r="X576" s="133"/>
      <c r="AC576" s="134"/>
    </row>
    <row r="577" customFormat="false" ht="15.75" hidden="false" customHeight="true" outlineLevel="0" collapsed="false">
      <c r="D577" s="4"/>
      <c r="E577" s="4"/>
      <c r="F577" s="130"/>
      <c r="G577" s="7"/>
      <c r="H577" s="4"/>
      <c r="I577" s="9"/>
      <c r="J577" s="9"/>
      <c r="K577" s="9"/>
      <c r="L577" s="9"/>
      <c r="M577" s="9"/>
      <c r="N577" s="4"/>
      <c r="O577" s="4"/>
      <c r="P577" s="4"/>
      <c r="Q577" s="4"/>
      <c r="R577" s="4"/>
      <c r="S577" s="4"/>
      <c r="T577" s="4"/>
      <c r="V577" s="132"/>
      <c r="W577" s="133"/>
      <c r="X577" s="133"/>
      <c r="AC577" s="134"/>
    </row>
    <row r="578" customFormat="false" ht="15.75" hidden="false" customHeight="true" outlineLevel="0" collapsed="false">
      <c r="D578" s="4"/>
      <c r="E578" s="4"/>
      <c r="F578" s="130"/>
      <c r="G578" s="7"/>
      <c r="H578" s="4"/>
      <c r="I578" s="9"/>
      <c r="J578" s="9"/>
      <c r="K578" s="9"/>
      <c r="L578" s="9"/>
      <c r="M578" s="9"/>
      <c r="N578" s="4"/>
      <c r="O578" s="4"/>
      <c r="P578" s="4"/>
      <c r="Q578" s="4"/>
      <c r="R578" s="4"/>
      <c r="S578" s="4"/>
      <c r="T578" s="4"/>
      <c r="V578" s="132"/>
      <c r="W578" s="133"/>
      <c r="X578" s="133"/>
      <c r="AC578" s="134"/>
    </row>
    <row r="579" customFormat="false" ht="15.75" hidden="false" customHeight="true" outlineLevel="0" collapsed="false">
      <c r="D579" s="4"/>
      <c r="E579" s="4"/>
      <c r="F579" s="130"/>
      <c r="G579" s="7"/>
      <c r="H579" s="4"/>
      <c r="I579" s="9"/>
      <c r="J579" s="9"/>
      <c r="K579" s="9"/>
      <c r="L579" s="9"/>
      <c r="M579" s="9"/>
      <c r="N579" s="4"/>
      <c r="O579" s="4"/>
      <c r="P579" s="4"/>
      <c r="Q579" s="4"/>
      <c r="R579" s="4"/>
      <c r="S579" s="4"/>
      <c r="T579" s="4"/>
      <c r="V579" s="132"/>
      <c r="W579" s="133"/>
      <c r="X579" s="133"/>
      <c r="AC579" s="134"/>
    </row>
    <row r="580" customFormat="false" ht="15.75" hidden="false" customHeight="true" outlineLevel="0" collapsed="false">
      <c r="D580" s="4"/>
      <c r="E580" s="4"/>
      <c r="F580" s="130"/>
      <c r="G580" s="7"/>
      <c r="H580" s="4"/>
      <c r="I580" s="9"/>
      <c r="J580" s="9"/>
      <c r="K580" s="9"/>
      <c r="L580" s="9"/>
      <c r="M580" s="9"/>
      <c r="N580" s="4"/>
      <c r="O580" s="4"/>
      <c r="P580" s="4"/>
      <c r="Q580" s="4"/>
      <c r="R580" s="4"/>
      <c r="S580" s="4"/>
      <c r="T580" s="4"/>
      <c r="V580" s="132"/>
      <c r="W580" s="133"/>
      <c r="X580" s="133"/>
      <c r="AC580" s="134"/>
    </row>
    <row r="581" customFormat="false" ht="15.75" hidden="false" customHeight="true" outlineLevel="0" collapsed="false">
      <c r="D581" s="4"/>
      <c r="E581" s="4"/>
      <c r="F581" s="130"/>
      <c r="G581" s="7"/>
      <c r="H581" s="4"/>
      <c r="I581" s="9"/>
      <c r="J581" s="9"/>
      <c r="K581" s="9"/>
      <c r="L581" s="9"/>
      <c r="M581" s="9"/>
      <c r="N581" s="4"/>
      <c r="O581" s="4"/>
      <c r="P581" s="4"/>
      <c r="Q581" s="4"/>
      <c r="R581" s="4"/>
      <c r="S581" s="4"/>
      <c r="T581" s="4"/>
      <c r="V581" s="132"/>
      <c r="W581" s="133"/>
      <c r="X581" s="133"/>
      <c r="AC581" s="134"/>
    </row>
    <row r="582" customFormat="false" ht="15.75" hidden="false" customHeight="true" outlineLevel="0" collapsed="false">
      <c r="D582" s="4"/>
      <c r="E582" s="4"/>
      <c r="F582" s="130"/>
      <c r="G582" s="7"/>
      <c r="H582" s="4"/>
      <c r="I582" s="9"/>
      <c r="J582" s="9"/>
      <c r="K582" s="9"/>
      <c r="L582" s="9"/>
      <c r="M582" s="9"/>
      <c r="N582" s="4"/>
      <c r="O582" s="4"/>
      <c r="P582" s="4"/>
      <c r="Q582" s="4"/>
      <c r="R582" s="4"/>
      <c r="S582" s="4"/>
      <c r="T582" s="4"/>
      <c r="V582" s="132"/>
      <c r="W582" s="133"/>
      <c r="X582" s="133"/>
      <c r="AC582" s="134"/>
    </row>
    <row r="583" customFormat="false" ht="15.75" hidden="false" customHeight="true" outlineLevel="0" collapsed="false">
      <c r="D583" s="4"/>
      <c r="E583" s="4"/>
      <c r="F583" s="130"/>
      <c r="G583" s="7"/>
      <c r="H583" s="4"/>
      <c r="I583" s="9"/>
      <c r="J583" s="9"/>
      <c r="K583" s="9"/>
      <c r="L583" s="9"/>
      <c r="M583" s="9"/>
      <c r="N583" s="4"/>
      <c r="O583" s="4"/>
      <c r="P583" s="4"/>
      <c r="Q583" s="4"/>
      <c r="R583" s="4"/>
      <c r="S583" s="4"/>
      <c r="T583" s="4"/>
      <c r="V583" s="132"/>
      <c r="W583" s="133"/>
      <c r="X583" s="133"/>
      <c r="AC583" s="134"/>
    </row>
    <row r="584" customFormat="false" ht="15.75" hidden="false" customHeight="true" outlineLevel="0" collapsed="false">
      <c r="D584" s="4"/>
      <c r="E584" s="4"/>
      <c r="F584" s="130"/>
      <c r="G584" s="7"/>
      <c r="H584" s="4"/>
      <c r="I584" s="9"/>
      <c r="J584" s="9"/>
      <c r="K584" s="9"/>
      <c r="L584" s="9"/>
      <c r="M584" s="9"/>
      <c r="N584" s="4"/>
      <c r="O584" s="4"/>
      <c r="P584" s="4"/>
      <c r="Q584" s="4"/>
      <c r="R584" s="4"/>
      <c r="S584" s="4"/>
      <c r="T584" s="4"/>
      <c r="V584" s="132"/>
      <c r="W584" s="133"/>
      <c r="X584" s="133"/>
      <c r="AC584" s="134"/>
    </row>
    <row r="585" customFormat="false" ht="15.75" hidden="false" customHeight="true" outlineLevel="0" collapsed="false">
      <c r="D585" s="4"/>
      <c r="E585" s="4"/>
      <c r="F585" s="130"/>
      <c r="G585" s="7"/>
      <c r="H585" s="4"/>
      <c r="I585" s="9"/>
      <c r="J585" s="9"/>
      <c r="K585" s="9"/>
      <c r="L585" s="9"/>
      <c r="M585" s="9"/>
      <c r="N585" s="4"/>
      <c r="O585" s="4"/>
      <c r="P585" s="4"/>
      <c r="Q585" s="4"/>
      <c r="R585" s="4"/>
      <c r="S585" s="4"/>
      <c r="T585" s="4"/>
      <c r="V585" s="132"/>
      <c r="W585" s="133"/>
      <c r="X585" s="133"/>
      <c r="AC585" s="134"/>
    </row>
    <row r="586" customFormat="false" ht="15.75" hidden="false" customHeight="true" outlineLevel="0" collapsed="false">
      <c r="D586" s="4"/>
      <c r="E586" s="4"/>
      <c r="F586" s="130"/>
      <c r="G586" s="7"/>
      <c r="H586" s="4"/>
      <c r="I586" s="9"/>
      <c r="J586" s="9"/>
      <c r="K586" s="9"/>
      <c r="L586" s="9"/>
      <c r="M586" s="9"/>
      <c r="N586" s="4"/>
      <c r="O586" s="4"/>
      <c r="P586" s="4"/>
      <c r="Q586" s="4"/>
      <c r="R586" s="4"/>
      <c r="S586" s="4"/>
      <c r="T586" s="4"/>
      <c r="V586" s="132"/>
      <c r="W586" s="133"/>
      <c r="X586" s="133"/>
      <c r="AC586" s="134"/>
    </row>
    <row r="587" customFormat="false" ht="15.75" hidden="false" customHeight="true" outlineLevel="0" collapsed="false">
      <c r="D587" s="4"/>
      <c r="E587" s="4"/>
      <c r="F587" s="130"/>
      <c r="G587" s="7"/>
      <c r="H587" s="4"/>
      <c r="I587" s="9"/>
      <c r="J587" s="9"/>
      <c r="K587" s="9"/>
      <c r="L587" s="9"/>
      <c r="M587" s="9"/>
      <c r="N587" s="4"/>
      <c r="O587" s="4"/>
      <c r="P587" s="4"/>
      <c r="Q587" s="4"/>
      <c r="R587" s="4"/>
      <c r="S587" s="4"/>
      <c r="T587" s="4"/>
      <c r="V587" s="132"/>
      <c r="W587" s="133"/>
      <c r="X587" s="133"/>
      <c r="AC587" s="134"/>
    </row>
    <row r="588" customFormat="false" ht="15.75" hidden="false" customHeight="true" outlineLevel="0" collapsed="false">
      <c r="D588" s="4"/>
      <c r="E588" s="4"/>
      <c r="F588" s="130"/>
      <c r="G588" s="7"/>
      <c r="H588" s="4"/>
      <c r="I588" s="9"/>
      <c r="J588" s="9"/>
      <c r="K588" s="9"/>
      <c r="L588" s="9"/>
      <c r="M588" s="9"/>
      <c r="N588" s="4"/>
      <c r="O588" s="4"/>
      <c r="P588" s="4"/>
      <c r="Q588" s="4"/>
      <c r="R588" s="4"/>
      <c r="S588" s="4"/>
      <c r="T588" s="4"/>
      <c r="V588" s="132"/>
      <c r="W588" s="133"/>
      <c r="X588" s="133"/>
      <c r="AC588" s="134"/>
    </row>
    <row r="589" customFormat="false" ht="15.75" hidden="false" customHeight="true" outlineLevel="0" collapsed="false">
      <c r="D589" s="4"/>
      <c r="E589" s="4"/>
      <c r="F589" s="130"/>
      <c r="G589" s="7"/>
      <c r="H589" s="4"/>
      <c r="I589" s="9"/>
      <c r="J589" s="9"/>
      <c r="K589" s="9"/>
      <c r="L589" s="9"/>
      <c r="M589" s="9"/>
      <c r="N589" s="4"/>
      <c r="O589" s="4"/>
      <c r="P589" s="4"/>
      <c r="Q589" s="4"/>
      <c r="R589" s="4"/>
      <c r="S589" s="4"/>
      <c r="T589" s="4"/>
      <c r="V589" s="132"/>
      <c r="W589" s="133"/>
      <c r="X589" s="133"/>
      <c r="AC589" s="134"/>
    </row>
    <row r="590" customFormat="false" ht="15.75" hidden="false" customHeight="true" outlineLevel="0" collapsed="false">
      <c r="D590" s="4"/>
      <c r="E590" s="4"/>
      <c r="F590" s="130"/>
      <c r="G590" s="7"/>
      <c r="H590" s="4"/>
      <c r="I590" s="9"/>
      <c r="J590" s="9"/>
      <c r="K590" s="9"/>
      <c r="L590" s="9"/>
      <c r="M590" s="9"/>
      <c r="N590" s="4"/>
      <c r="O590" s="4"/>
      <c r="P590" s="4"/>
      <c r="Q590" s="4"/>
      <c r="R590" s="4"/>
      <c r="S590" s="4"/>
      <c r="T590" s="4"/>
      <c r="V590" s="132"/>
      <c r="W590" s="133"/>
      <c r="X590" s="133"/>
      <c r="AC590" s="134"/>
    </row>
    <row r="591" customFormat="false" ht="15.75" hidden="false" customHeight="true" outlineLevel="0" collapsed="false">
      <c r="D591" s="4"/>
      <c r="E591" s="4"/>
      <c r="F591" s="130"/>
      <c r="G591" s="7"/>
      <c r="H591" s="4"/>
      <c r="I591" s="9"/>
      <c r="J591" s="9"/>
      <c r="K591" s="9"/>
      <c r="L591" s="9"/>
      <c r="M591" s="9"/>
      <c r="N591" s="4"/>
      <c r="O591" s="4"/>
      <c r="P591" s="4"/>
      <c r="Q591" s="4"/>
      <c r="R591" s="4"/>
      <c r="S591" s="4"/>
      <c r="T591" s="4"/>
      <c r="V591" s="132"/>
      <c r="W591" s="133"/>
      <c r="X591" s="133"/>
      <c r="AC591" s="134"/>
    </row>
    <row r="592" customFormat="false" ht="15.75" hidden="false" customHeight="true" outlineLevel="0" collapsed="false">
      <c r="D592" s="4"/>
      <c r="E592" s="4"/>
      <c r="F592" s="130"/>
      <c r="G592" s="7"/>
      <c r="H592" s="4"/>
      <c r="I592" s="9"/>
      <c r="J592" s="9"/>
      <c r="K592" s="9"/>
      <c r="L592" s="9"/>
      <c r="M592" s="9"/>
      <c r="N592" s="4"/>
      <c r="O592" s="4"/>
      <c r="P592" s="4"/>
      <c r="Q592" s="4"/>
      <c r="R592" s="4"/>
      <c r="S592" s="4"/>
      <c r="T592" s="4"/>
      <c r="V592" s="132"/>
      <c r="W592" s="133"/>
      <c r="X592" s="133"/>
      <c r="AC592" s="134"/>
    </row>
    <row r="593" customFormat="false" ht="15.75" hidden="false" customHeight="true" outlineLevel="0" collapsed="false">
      <c r="D593" s="4"/>
      <c r="E593" s="4"/>
      <c r="F593" s="130"/>
      <c r="G593" s="7"/>
      <c r="H593" s="4"/>
      <c r="I593" s="9"/>
      <c r="J593" s="9"/>
      <c r="K593" s="9"/>
      <c r="L593" s="9"/>
      <c r="M593" s="9"/>
      <c r="N593" s="4"/>
      <c r="O593" s="4"/>
      <c r="P593" s="4"/>
      <c r="Q593" s="4"/>
      <c r="R593" s="4"/>
      <c r="S593" s="4"/>
      <c r="T593" s="4"/>
      <c r="V593" s="132"/>
      <c r="W593" s="133"/>
      <c r="X593" s="133"/>
      <c r="AC593" s="134"/>
    </row>
    <row r="594" customFormat="false" ht="15.75" hidden="false" customHeight="true" outlineLevel="0" collapsed="false">
      <c r="D594" s="4"/>
      <c r="E594" s="4"/>
      <c r="F594" s="130"/>
      <c r="G594" s="7"/>
      <c r="H594" s="4"/>
      <c r="I594" s="9"/>
      <c r="J594" s="9"/>
      <c r="K594" s="9"/>
      <c r="L594" s="9"/>
      <c r="M594" s="9"/>
      <c r="N594" s="4"/>
      <c r="O594" s="4"/>
      <c r="P594" s="4"/>
      <c r="Q594" s="4"/>
      <c r="R594" s="4"/>
      <c r="S594" s="4"/>
      <c r="T594" s="4"/>
      <c r="V594" s="132"/>
      <c r="W594" s="133"/>
      <c r="X594" s="133"/>
      <c r="AC594" s="134"/>
    </row>
    <row r="595" customFormat="false" ht="15.75" hidden="false" customHeight="true" outlineLevel="0" collapsed="false">
      <c r="D595" s="4"/>
      <c r="E595" s="4"/>
      <c r="F595" s="130"/>
      <c r="G595" s="7"/>
      <c r="H595" s="4"/>
      <c r="I595" s="9"/>
      <c r="J595" s="9"/>
      <c r="K595" s="9"/>
      <c r="L595" s="9"/>
      <c r="M595" s="9"/>
      <c r="N595" s="4"/>
      <c r="O595" s="4"/>
      <c r="P595" s="4"/>
      <c r="Q595" s="4"/>
      <c r="R595" s="4"/>
      <c r="S595" s="4"/>
      <c r="T595" s="4"/>
      <c r="V595" s="132"/>
      <c r="W595" s="133"/>
      <c r="X595" s="133"/>
      <c r="AC595" s="134"/>
    </row>
    <row r="596" customFormat="false" ht="15.75" hidden="false" customHeight="true" outlineLevel="0" collapsed="false">
      <c r="D596" s="4"/>
      <c r="E596" s="4"/>
      <c r="F596" s="130"/>
      <c r="G596" s="7"/>
      <c r="H596" s="4"/>
      <c r="I596" s="9"/>
      <c r="J596" s="9"/>
      <c r="K596" s="9"/>
      <c r="L596" s="9"/>
      <c r="M596" s="9"/>
      <c r="N596" s="4"/>
      <c r="O596" s="4"/>
      <c r="P596" s="4"/>
      <c r="Q596" s="4"/>
      <c r="R596" s="4"/>
      <c r="S596" s="4"/>
      <c r="T596" s="4"/>
      <c r="V596" s="132"/>
      <c r="W596" s="133"/>
      <c r="X596" s="133"/>
      <c r="AC596" s="134"/>
    </row>
    <row r="597" customFormat="false" ht="15.75" hidden="false" customHeight="true" outlineLevel="0" collapsed="false">
      <c r="D597" s="4"/>
      <c r="E597" s="4"/>
      <c r="F597" s="130"/>
      <c r="G597" s="7"/>
      <c r="H597" s="4"/>
      <c r="I597" s="9"/>
      <c r="J597" s="9"/>
      <c r="K597" s="9"/>
      <c r="L597" s="9"/>
      <c r="M597" s="9"/>
      <c r="N597" s="4"/>
      <c r="O597" s="4"/>
      <c r="P597" s="4"/>
      <c r="Q597" s="4"/>
      <c r="R597" s="4"/>
      <c r="S597" s="4"/>
      <c r="T597" s="4"/>
      <c r="V597" s="132"/>
      <c r="W597" s="133"/>
      <c r="X597" s="133"/>
      <c r="AC597" s="134"/>
    </row>
    <row r="598" customFormat="false" ht="15.75" hidden="false" customHeight="true" outlineLevel="0" collapsed="false">
      <c r="D598" s="4"/>
      <c r="E598" s="4"/>
      <c r="F598" s="130"/>
      <c r="G598" s="7"/>
      <c r="H598" s="4"/>
      <c r="I598" s="9"/>
      <c r="J598" s="9"/>
      <c r="K598" s="9"/>
      <c r="L598" s="9"/>
      <c r="M598" s="9"/>
      <c r="N598" s="4"/>
      <c r="O598" s="4"/>
      <c r="P598" s="4"/>
      <c r="Q598" s="4"/>
      <c r="R598" s="4"/>
      <c r="S598" s="4"/>
      <c r="T598" s="4"/>
      <c r="V598" s="132"/>
      <c r="W598" s="133"/>
      <c r="X598" s="133"/>
      <c r="AC598" s="134"/>
    </row>
    <row r="599" customFormat="false" ht="15.75" hidden="false" customHeight="true" outlineLevel="0" collapsed="false">
      <c r="D599" s="4"/>
      <c r="E599" s="4"/>
      <c r="F599" s="130"/>
      <c r="G599" s="7"/>
      <c r="H599" s="4"/>
      <c r="I599" s="9"/>
      <c r="J599" s="9"/>
      <c r="K599" s="9"/>
      <c r="L599" s="9"/>
      <c r="M599" s="9"/>
      <c r="N599" s="4"/>
      <c r="O599" s="4"/>
      <c r="P599" s="4"/>
      <c r="Q599" s="4"/>
      <c r="R599" s="4"/>
      <c r="S599" s="4"/>
      <c r="T599" s="4"/>
      <c r="V599" s="132"/>
      <c r="W599" s="133"/>
      <c r="X599" s="133"/>
      <c r="AC599" s="134"/>
    </row>
    <row r="600" customFormat="false" ht="15.75" hidden="false" customHeight="true" outlineLevel="0" collapsed="false">
      <c r="D600" s="4"/>
      <c r="E600" s="4"/>
      <c r="F600" s="130"/>
      <c r="G600" s="7"/>
      <c r="H600" s="4"/>
      <c r="I600" s="9"/>
      <c r="J600" s="9"/>
      <c r="K600" s="9"/>
      <c r="L600" s="9"/>
      <c r="M600" s="9"/>
      <c r="N600" s="4"/>
      <c r="O600" s="4"/>
      <c r="P600" s="4"/>
      <c r="Q600" s="4"/>
      <c r="R600" s="4"/>
      <c r="S600" s="4"/>
      <c r="T600" s="4"/>
      <c r="V600" s="132"/>
      <c r="W600" s="133"/>
      <c r="X600" s="133"/>
      <c r="AC600" s="134"/>
    </row>
    <row r="601" customFormat="false" ht="15.75" hidden="false" customHeight="true" outlineLevel="0" collapsed="false">
      <c r="D601" s="4"/>
      <c r="E601" s="4"/>
      <c r="F601" s="130"/>
      <c r="G601" s="7"/>
      <c r="H601" s="4"/>
      <c r="I601" s="9"/>
      <c r="J601" s="9"/>
      <c r="K601" s="9"/>
      <c r="L601" s="9"/>
      <c r="M601" s="9"/>
      <c r="N601" s="4"/>
      <c r="O601" s="4"/>
      <c r="P601" s="4"/>
      <c r="Q601" s="4"/>
      <c r="R601" s="4"/>
      <c r="S601" s="4"/>
      <c r="T601" s="4"/>
      <c r="V601" s="132"/>
      <c r="W601" s="133"/>
      <c r="X601" s="133"/>
      <c r="AC601" s="134"/>
    </row>
    <row r="602" customFormat="false" ht="15.75" hidden="false" customHeight="true" outlineLevel="0" collapsed="false">
      <c r="D602" s="4"/>
      <c r="E602" s="4"/>
      <c r="F602" s="130"/>
      <c r="G602" s="7"/>
      <c r="H602" s="4"/>
      <c r="I602" s="9"/>
      <c r="J602" s="9"/>
      <c r="K602" s="9"/>
      <c r="L602" s="9"/>
      <c r="M602" s="9"/>
      <c r="N602" s="4"/>
      <c r="O602" s="4"/>
      <c r="P602" s="4"/>
      <c r="Q602" s="4"/>
      <c r="R602" s="4"/>
      <c r="S602" s="4"/>
      <c r="T602" s="4"/>
      <c r="V602" s="132"/>
      <c r="W602" s="133"/>
      <c r="X602" s="133"/>
      <c r="AC602" s="134"/>
    </row>
    <row r="603" customFormat="false" ht="15.75" hidden="false" customHeight="true" outlineLevel="0" collapsed="false">
      <c r="D603" s="4"/>
      <c r="E603" s="4"/>
      <c r="F603" s="130"/>
      <c r="G603" s="7"/>
      <c r="H603" s="4"/>
      <c r="I603" s="9"/>
      <c r="J603" s="9"/>
      <c r="K603" s="9"/>
      <c r="L603" s="9"/>
      <c r="M603" s="9"/>
      <c r="N603" s="4"/>
      <c r="O603" s="4"/>
      <c r="P603" s="4"/>
      <c r="Q603" s="4"/>
      <c r="R603" s="4"/>
      <c r="S603" s="4"/>
      <c r="T603" s="4"/>
      <c r="V603" s="132"/>
      <c r="W603" s="133"/>
      <c r="X603" s="133"/>
      <c r="AC603" s="134"/>
    </row>
    <row r="604" customFormat="false" ht="15.75" hidden="false" customHeight="true" outlineLevel="0" collapsed="false">
      <c r="D604" s="4"/>
      <c r="E604" s="4"/>
      <c r="F604" s="130"/>
      <c r="G604" s="7"/>
      <c r="H604" s="4"/>
      <c r="I604" s="9"/>
      <c r="J604" s="9"/>
      <c r="K604" s="9"/>
      <c r="L604" s="9"/>
      <c r="M604" s="9"/>
      <c r="N604" s="4"/>
      <c r="O604" s="4"/>
      <c r="P604" s="4"/>
      <c r="Q604" s="4"/>
      <c r="R604" s="4"/>
      <c r="S604" s="4"/>
      <c r="T604" s="4"/>
      <c r="V604" s="132"/>
      <c r="W604" s="133"/>
      <c r="X604" s="133"/>
      <c r="AC604" s="134"/>
    </row>
    <row r="605" customFormat="false" ht="15.75" hidden="false" customHeight="true" outlineLevel="0" collapsed="false">
      <c r="D605" s="4"/>
      <c r="E605" s="4"/>
      <c r="F605" s="130"/>
      <c r="G605" s="7"/>
      <c r="H605" s="4"/>
      <c r="I605" s="9"/>
      <c r="J605" s="9"/>
      <c r="K605" s="9"/>
      <c r="L605" s="9"/>
      <c r="M605" s="9"/>
      <c r="N605" s="4"/>
      <c r="O605" s="4"/>
      <c r="P605" s="4"/>
      <c r="Q605" s="4"/>
      <c r="R605" s="4"/>
      <c r="S605" s="4"/>
      <c r="T605" s="4"/>
      <c r="V605" s="132"/>
      <c r="W605" s="133"/>
      <c r="X605" s="133"/>
      <c r="AC605" s="134"/>
    </row>
    <row r="606" customFormat="false" ht="15.75" hidden="false" customHeight="true" outlineLevel="0" collapsed="false">
      <c r="D606" s="4"/>
      <c r="E606" s="4"/>
      <c r="F606" s="130"/>
      <c r="G606" s="7"/>
      <c r="H606" s="4"/>
      <c r="I606" s="9"/>
      <c r="J606" s="9"/>
      <c r="K606" s="9"/>
      <c r="L606" s="9"/>
      <c r="M606" s="9"/>
      <c r="N606" s="4"/>
      <c r="O606" s="4"/>
      <c r="P606" s="4"/>
      <c r="Q606" s="4"/>
      <c r="R606" s="4"/>
      <c r="S606" s="4"/>
      <c r="T606" s="4"/>
      <c r="V606" s="132"/>
      <c r="W606" s="133"/>
      <c r="X606" s="133"/>
      <c r="AC606" s="134"/>
    </row>
    <row r="607" customFormat="false" ht="15.75" hidden="false" customHeight="true" outlineLevel="0" collapsed="false">
      <c r="D607" s="4"/>
      <c r="E607" s="4"/>
      <c r="F607" s="130"/>
      <c r="G607" s="7"/>
      <c r="H607" s="4"/>
      <c r="I607" s="9"/>
      <c r="J607" s="9"/>
      <c r="K607" s="9"/>
      <c r="L607" s="9"/>
      <c r="M607" s="9"/>
      <c r="N607" s="4"/>
      <c r="O607" s="4"/>
      <c r="P607" s="4"/>
      <c r="Q607" s="4"/>
      <c r="R607" s="4"/>
      <c r="S607" s="4"/>
      <c r="T607" s="4"/>
      <c r="V607" s="132"/>
      <c r="W607" s="133"/>
      <c r="X607" s="133"/>
      <c r="AC607" s="134"/>
    </row>
    <row r="608" customFormat="false" ht="15.75" hidden="false" customHeight="true" outlineLevel="0" collapsed="false">
      <c r="D608" s="4"/>
      <c r="E608" s="4"/>
      <c r="F608" s="130"/>
      <c r="G608" s="7"/>
      <c r="H608" s="4"/>
      <c r="I608" s="9"/>
      <c r="J608" s="9"/>
      <c r="K608" s="9"/>
      <c r="L608" s="9"/>
      <c r="M608" s="9"/>
      <c r="N608" s="4"/>
      <c r="O608" s="4"/>
      <c r="P608" s="4"/>
      <c r="Q608" s="4"/>
      <c r="R608" s="4"/>
      <c r="S608" s="4"/>
      <c r="T608" s="4"/>
      <c r="V608" s="132"/>
      <c r="W608" s="133"/>
      <c r="X608" s="133"/>
      <c r="AC608" s="134"/>
    </row>
    <row r="609" customFormat="false" ht="15.75" hidden="false" customHeight="true" outlineLevel="0" collapsed="false">
      <c r="D609" s="4"/>
      <c r="E609" s="4"/>
      <c r="F609" s="130"/>
      <c r="G609" s="7"/>
      <c r="H609" s="4"/>
      <c r="I609" s="9"/>
      <c r="J609" s="9"/>
      <c r="K609" s="9"/>
      <c r="L609" s="9"/>
      <c r="M609" s="9"/>
      <c r="N609" s="4"/>
      <c r="O609" s="4"/>
      <c r="P609" s="4"/>
      <c r="Q609" s="4"/>
      <c r="R609" s="4"/>
      <c r="S609" s="4"/>
      <c r="T609" s="4"/>
      <c r="V609" s="132"/>
      <c r="W609" s="133"/>
      <c r="X609" s="133"/>
      <c r="AC609" s="134"/>
    </row>
    <row r="610" customFormat="false" ht="15.75" hidden="false" customHeight="true" outlineLevel="0" collapsed="false">
      <c r="D610" s="4"/>
      <c r="E610" s="4"/>
      <c r="F610" s="130"/>
      <c r="G610" s="7"/>
      <c r="H610" s="4"/>
      <c r="I610" s="9"/>
      <c r="J610" s="9"/>
      <c r="K610" s="9"/>
      <c r="L610" s="9"/>
      <c r="M610" s="9"/>
      <c r="N610" s="4"/>
      <c r="O610" s="4"/>
      <c r="P610" s="4"/>
      <c r="Q610" s="4"/>
      <c r="R610" s="4"/>
      <c r="S610" s="4"/>
      <c r="T610" s="4"/>
      <c r="V610" s="132"/>
      <c r="W610" s="133"/>
      <c r="X610" s="133"/>
      <c r="AC610" s="134"/>
    </row>
    <row r="611" customFormat="false" ht="15.75" hidden="false" customHeight="true" outlineLevel="0" collapsed="false">
      <c r="D611" s="4"/>
      <c r="E611" s="4"/>
      <c r="F611" s="130"/>
      <c r="G611" s="7"/>
      <c r="H611" s="4"/>
      <c r="I611" s="9"/>
      <c r="J611" s="9"/>
      <c r="K611" s="9"/>
      <c r="L611" s="9"/>
      <c r="M611" s="9"/>
      <c r="N611" s="4"/>
      <c r="O611" s="4"/>
      <c r="P611" s="4"/>
      <c r="Q611" s="4"/>
      <c r="R611" s="4"/>
      <c r="S611" s="4"/>
      <c r="T611" s="4"/>
      <c r="V611" s="132"/>
      <c r="W611" s="133"/>
      <c r="X611" s="133"/>
      <c r="AC611" s="134"/>
    </row>
    <row r="612" customFormat="false" ht="15.75" hidden="false" customHeight="true" outlineLevel="0" collapsed="false">
      <c r="D612" s="4"/>
      <c r="E612" s="4"/>
      <c r="F612" s="130"/>
      <c r="G612" s="7"/>
      <c r="H612" s="4"/>
      <c r="I612" s="9"/>
      <c r="J612" s="9"/>
      <c r="K612" s="9"/>
      <c r="L612" s="9"/>
      <c r="M612" s="9"/>
      <c r="N612" s="4"/>
      <c r="O612" s="4"/>
      <c r="P612" s="4"/>
      <c r="Q612" s="4"/>
      <c r="R612" s="4"/>
      <c r="S612" s="4"/>
      <c r="T612" s="4"/>
      <c r="V612" s="132"/>
      <c r="W612" s="133"/>
      <c r="X612" s="133"/>
      <c r="AC612" s="134"/>
    </row>
    <row r="613" customFormat="false" ht="15.75" hidden="false" customHeight="true" outlineLevel="0" collapsed="false">
      <c r="D613" s="4"/>
      <c r="E613" s="4"/>
      <c r="F613" s="130"/>
      <c r="G613" s="7"/>
      <c r="H613" s="4"/>
      <c r="I613" s="9"/>
      <c r="J613" s="9"/>
      <c r="K613" s="9"/>
      <c r="L613" s="9"/>
      <c r="M613" s="9"/>
      <c r="N613" s="4"/>
      <c r="O613" s="4"/>
      <c r="P613" s="4"/>
      <c r="Q613" s="4"/>
      <c r="R613" s="4"/>
      <c r="S613" s="4"/>
      <c r="T613" s="4"/>
      <c r="V613" s="132"/>
      <c r="W613" s="133"/>
      <c r="X613" s="133"/>
      <c r="AC613" s="134"/>
    </row>
    <row r="614" customFormat="false" ht="15.75" hidden="false" customHeight="true" outlineLevel="0" collapsed="false">
      <c r="D614" s="4"/>
      <c r="E614" s="4"/>
      <c r="F614" s="130"/>
      <c r="G614" s="7"/>
      <c r="H614" s="4"/>
      <c r="I614" s="9"/>
      <c r="J614" s="9"/>
      <c r="K614" s="9"/>
      <c r="L614" s="9"/>
      <c r="M614" s="9"/>
      <c r="N614" s="4"/>
      <c r="O614" s="4"/>
      <c r="P614" s="4"/>
      <c r="Q614" s="4"/>
      <c r="R614" s="4"/>
      <c r="S614" s="4"/>
      <c r="T614" s="4"/>
      <c r="V614" s="132"/>
      <c r="W614" s="133"/>
      <c r="X614" s="133"/>
      <c r="AC614" s="134"/>
    </row>
    <row r="615" customFormat="false" ht="15.75" hidden="false" customHeight="true" outlineLevel="0" collapsed="false">
      <c r="D615" s="4"/>
      <c r="E615" s="4"/>
      <c r="F615" s="130"/>
      <c r="G615" s="7"/>
      <c r="H615" s="4"/>
      <c r="I615" s="9"/>
      <c r="J615" s="9"/>
      <c r="K615" s="9"/>
      <c r="L615" s="9"/>
      <c r="M615" s="9"/>
      <c r="N615" s="4"/>
      <c r="O615" s="4"/>
      <c r="P615" s="4"/>
      <c r="Q615" s="4"/>
      <c r="R615" s="4"/>
      <c r="S615" s="4"/>
      <c r="T615" s="4"/>
      <c r="V615" s="132"/>
      <c r="W615" s="133"/>
      <c r="X615" s="133"/>
      <c r="AC615" s="134"/>
    </row>
    <row r="616" customFormat="false" ht="15.75" hidden="false" customHeight="true" outlineLevel="0" collapsed="false">
      <c r="D616" s="4"/>
      <c r="E616" s="4"/>
      <c r="F616" s="130"/>
      <c r="G616" s="7"/>
      <c r="H616" s="4"/>
      <c r="I616" s="9"/>
      <c r="J616" s="9"/>
      <c r="K616" s="9"/>
      <c r="L616" s="9"/>
      <c r="M616" s="9"/>
      <c r="N616" s="4"/>
      <c r="O616" s="4"/>
      <c r="P616" s="4"/>
      <c r="Q616" s="4"/>
      <c r="R616" s="4"/>
      <c r="S616" s="4"/>
      <c r="T616" s="4"/>
      <c r="V616" s="132"/>
      <c r="W616" s="133"/>
      <c r="X616" s="133"/>
      <c r="AC616" s="134"/>
    </row>
    <row r="617" customFormat="false" ht="15.75" hidden="false" customHeight="true" outlineLevel="0" collapsed="false">
      <c r="D617" s="4"/>
      <c r="E617" s="4"/>
      <c r="F617" s="130"/>
      <c r="G617" s="7"/>
      <c r="H617" s="4"/>
      <c r="I617" s="9"/>
      <c r="J617" s="9"/>
      <c r="K617" s="9"/>
      <c r="L617" s="9"/>
      <c r="M617" s="9"/>
      <c r="N617" s="4"/>
      <c r="O617" s="4"/>
      <c r="P617" s="4"/>
      <c r="Q617" s="4"/>
      <c r="R617" s="4"/>
      <c r="S617" s="4"/>
      <c r="T617" s="4"/>
      <c r="V617" s="132"/>
      <c r="W617" s="133"/>
      <c r="X617" s="133"/>
      <c r="AC617" s="134"/>
    </row>
    <row r="618" customFormat="false" ht="15.75" hidden="false" customHeight="true" outlineLevel="0" collapsed="false">
      <c r="D618" s="4"/>
      <c r="E618" s="4"/>
      <c r="F618" s="130"/>
      <c r="G618" s="7"/>
      <c r="H618" s="4"/>
      <c r="I618" s="9"/>
      <c r="J618" s="9"/>
      <c r="K618" s="9"/>
      <c r="L618" s="9"/>
      <c r="M618" s="9"/>
      <c r="N618" s="4"/>
      <c r="O618" s="4"/>
      <c r="P618" s="4"/>
      <c r="Q618" s="4"/>
      <c r="R618" s="4"/>
      <c r="S618" s="4"/>
      <c r="T618" s="4"/>
      <c r="V618" s="132"/>
      <c r="W618" s="133"/>
      <c r="X618" s="133"/>
      <c r="AC618" s="134"/>
    </row>
    <row r="619" customFormat="false" ht="15.75" hidden="false" customHeight="true" outlineLevel="0" collapsed="false">
      <c r="D619" s="4"/>
      <c r="E619" s="4"/>
      <c r="F619" s="130"/>
      <c r="G619" s="7"/>
      <c r="H619" s="4"/>
      <c r="I619" s="9"/>
      <c r="J619" s="9"/>
      <c r="K619" s="9"/>
      <c r="L619" s="9"/>
      <c r="M619" s="9"/>
      <c r="N619" s="4"/>
      <c r="O619" s="4"/>
      <c r="P619" s="4"/>
      <c r="Q619" s="4"/>
      <c r="R619" s="4"/>
      <c r="S619" s="4"/>
      <c r="T619" s="4"/>
      <c r="V619" s="132"/>
      <c r="W619" s="133"/>
      <c r="X619" s="133"/>
      <c r="AC619" s="134"/>
    </row>
    <row r="620" customFormat="false" ht="15.75" hidden="false" customHeight="true" outlineLevel="0" collapsed="false">
      <c r="D620" s="4"/>
      <c r="E620" s="4"/>
      <c r="F620" s="130"/>
      <c r="G620" s="7"/>
      <c r="H620" s="4"/>
      <c r="I620" s="9"/>
      <c r="J620" s="9"/>
      <c r="K620" s="9"/>
      <c r="L620" s="9"/>
      <c r="M620" s="9"/>
      <c r="N620" s="4"/>
      <c r="O620" s="4"/>
      <c r="P620" s="4"/>
      <c r="Q620" s="4"/>
      <c r="R620" s="4"/>
      <c r="S620" s="4"/>
      <c r="T620" s="4"/>
      <c r="V620" s="132"/>
      <c r="W620" s="133"/>
      <c r="X620" s="133"/>
      <c r="AC620" s="134"/>
    </row>
    <row r="621" customFormat="false" ht="15.75" hidden="false" customHeight="true" outlineLevel="0" collapsed="false">
      <c r="D621" s="4"/>
      <c r="E621" s="4"/>
      <c r="F621" s="130"/>
      <c r="G621" s="7"/>
      <c r="H621" s="4"/>
      <c r="I621" s="9"/>
      <c r="J621" s="9"/>
      <c r="K621" s="9"/>
      <c r="L621" s="9"/>
      <c r="M621" s="9"/>
      <c r="N621" s="4"/>
      <c r="O621" s="4"/>
      <c r="P621" s="4"/>
      <c r="Q621" s="4"/>
      <c r="R621" s="4"/>
      <c r="S621" s="4"/>
      <c r="T621" s="4"/>
      <c r="V621" s="132"/>
      <c r="W621" s="133"/>
      <c r="X621" s="133"/>
      <c r="AC621" s="134"/>
    </row>
    <row r="622" customFormat="false" ht="15.75" hidden="false" customHeight="true" outlineLevel="0" collapsed="false">
      <c r="D622" s="4"/>
      <c r="E622" s="4"/>
      <c r="F622" s="130"/>
      <c r="G622" s="7"/>
      <c r="H622" s="4"/>
      <c r="I622" s="9"/>
      <c r="J622" s="9"/>
      <c r="K622" s="9"/>
      <c r="L622" s="9"/>
      <c r="M622" s="9"/>
      <c r="N622" s="4"/>
      <c r="O622" s="4"/>
      <c r="P622" s="4"/>
      <c r="Q622" s="4"/>
      <c r="R622" s="4"/>
      <c r="S622" s="4"/>
      <c r="T622" s="4"/>
      <c r="V622" s="132"/>
      <c r="W622" s="133"/>
      <c r="X622" s="133"/>
      <c r="AC622" s="134"/>
    </row>
    <row r="623" customFormat="false" ht="15.75" hidden="false" customHeight="true" outlineLevel="0" collapsed="false">
      <c r="D623" s="4"/>
      <c r="E623" s="4"/>
      <c r="F623" s="130"/>
      <c r="G623" s="7"/>
      <c r="H623" s="4"/>
      <c r="I623" s="9"/>
      <c r="J623" s="9"/>
      <c r="K623" s="9"/>
      <c r="L623" s="9"/>
      <c r="M623" s="9"/>
      <c r="N623" s="4"/>
      <c r="O623" s="4"/>
      <c r="P623" s="4"/>
      <c r="Q623" s="4"/>
      <c r="R623" s="4"/>
      <c r="S623" s="4"/>
      <c r="T623" s="4"/>
      <c r="V623" s="132"/>
      <c r="W623" s="133"/>
      <c r="X623" s="133"/>
      <c r="AC623" s="134"/>
    </row>
    <row r="624" customFormat="false" ht="15.75" hidden="false" customHeight="true" outlineLevel="0" collapsed="false">
      <c r="D624" s="4"/>
      <c r="E624" s="4"/>
      <c r="F624" s="130"/>
      <c r="G624" s="7"/>
      <c r="H624" s="4"/>
      <c r="I624" s="9"/>
      <c r="J624" s="9"/>
      <c r="K624" s="9"/>
      <c r="L624" s="9"/>
      <c r="M624" s="9"/>
      <c r="N624" s="4"/>
      <c r="O624" s="4"/>
      <c r="P624" s="4"/>
      <c r="Q624" s="4"/>
      <c r="R624" s="4"/>
      <c r="S624" s="4"/>
      <c r="T624" s="4"/>
      <c r="V624" s="132"/>
      <c r="W624" s="133"/>
      <c r="X624" s="133"/>
      <c r="AC624" s="134"/>
    </row>
    <row r="625" customFormat="false" ht="15.75" hidden="false" customHeight="true" outlineLevel="0" collapsed="false">
      <c r="D625" s="4"/>
      <c r="E625" s="4"/>
      <c r="F625" s="130"/>
      <c r="G625" s="7"/>
      <c r="H625" s="4"/>
      <c r="I625" s="9"/>
      <c r="J625" s="9"/>
      <c r="K625" s="9"/>
      <c r="L625" s="9"/>
      <c r="M625" s="9"/>
      <c r="N625" s="4"/>
      <c r="O625" s="4"/>
      <c r="P625" s="4"/>
      <c r="Q625" s="4"/>
      <c r="R625" s="4"/>
      <c r="S625" s="4"/>
      <c r="T625" s="4"/>
      <c r="V625" s="132"/>
      <c r="W625" s="133"/>
      <c r="X625" s="133"/>
      <c r="AC625" s="134"/>
    </row>
    <row r="626" customFormat="false" ht="15.75" hidden="false" customHeight="true" outlineLevel="0" collapsed="false">
      <c r="D626" s="4"/>
      <c r="E626" s="4"/>
      <c r="F626" s="130"/>
      <c r="G626" s="7"/>
      <c r="H626" s="4"/>
      <c r="I626" s="9"/>
      <c r="J626" s="9"/>
      <c r="K626" s="9"/>
      <c r="L626" s="9"/>
      <c r="M626" s="9"/>
      <c r="N626" s="4"/>
      <c r="O626" s="4"/>
      <c r="P626" s="4"/>
      <c r="Q626" s="4"/>
      <c r="R626" s="4"/>
      <c r="S626" s="4"/>
      <c r="T626" s="4"/>
      <c r="V626" s="132"/>
      <c r="W626" s="133"/>
      <c r="X626" s="133"/>
      <c r="AC626" s="134"/>
    </row>
    <row r="627" customFormat="false" ht="15.75" hidden="false" customHeight="true" outlineLevel="0" collapsed="false">
      <c r="D627" s="4"/>
      <c r="E627" s="4"/>
      <c r="F627" s="130"/>
      <c r="G627" s="7"/>
      <c r="H627" s="4"/>
      <c r="I627" s="9"/>
      <c r="J627" s="9"/>
      <c r="K627" s="9"/>
      <c r="L627" s="9"/>
      <c r="M627" s="9"/>
      <c r="N627" s="4"/>
      <c r="O627" s="4"/>
      <c r="P627" s="4"/>
      <c r="Q627" s="4"/>
      <c r="R627" s="4"/>
      <c r="S627" s="4"/>
      <c r="T627" s="4"/>
      <c r="V627" s="132"/>
      <c r="W627" s="133"/>
      <c r="X627" s="133"/>
      <c r="AC627" s="134"/>
    </row>
    <row r="628" customFormat="false" ht="15.75" hidden="false" customHeight="true" outlineLevel="0" collapsed="false">
      <c r="D628" s="4"/>
      <c r="E628" s="4"/>
      <c r="F628" s="130"/>
      <c r="G628" s="7"/>
      <c r="H628" s="4"/>
      <c r="I628" s="9"/>
      <c r="J628" s="9"/>
      <c r="K628" s="9"/>
      <c r="L628" s="9"/>
      <c r="M628" s="9"/>
      <c r="N628" s="4"/>
      <c r="O628" s="4"/>
      <c r="P628" s="4"/>
      <c r="Q628" s="4"/>
      <c r="R628" s="4"/>
      <c r="S628" s="4"/>
      <c r="T628" s="4"/>
      <c r="V628" s="132"/>
      <c r="W628" s="133"/>
      <c r="X628" s="133"/>
      <c r="AC628" s="134"/>
    </row>
    <row r="629" customFormat="false" ht="15.75" hidden="false" customHeight="true" outlineLevel="0" collapsed="false">
      <c r="D629" s="4"/>
      <c r="E629" s="4"/>
      <c r="F629" s="130"/>
      <c r="G629" s="7"/>
      <c r="H629" s="4"/>
      <c r="I629" s="9"/>
      <c r="J629" s="9"/>
      <c r="K629" s="9"/>
      <c r="L629" s="9"/>
      <c r="M629" s="9"/>
      <c r="N629" s="4"/>
      <c r="O629" s="4"/>
      <c r="P629" s="4"/>
      <c r="Q629" s="4"/>
      <c r="R629" s="4"/>
      <c r="S629" s="4"/>
      <c r="T629" s="4"/>
      <c r="V629" s="132"/>
      <c r="W629" s="133"/>
      <c r="X629" s="133"/>
      <c r="AC629" s="134"/>
    </row>
    <row r="630" customFormat="false" ht="15.75" hidden="false" customHeight="true" outlineLevel="0" collapsed="false">
      <c r="D630" s="4"/>
      <c r="E630" s="4"/>
      <c r="F630" s="130"/>
      <c r="G630" s="7"/>
      <c r="H630" s="4"/>
      <c r="I630" s="9"/>
      <c r="J630" s="9"/>
      <c r="K630" s="9"/>
      <c r="L630" s="9"/>
      <c r="M630" s="9"/>
      <c r="N630" s="4"/>
      <c r="O630" s="4"/>
      <c r="P630" s="4"/>
      <c r="Q630" s="4"/>
      <c r="R630" s="4"/>
      <c r="S630" s="4"/>
      <c r="T630" s="4"/>
      <c r="V630" s="132"/>
      <c r="W630" s="133"/>
      <c r="X630" s="133"/>
      <c r="AC630" s="134"/>
    </row>
    <row r="631" customFormat="false" ht="15.75" hidden="false" customHeight="true" outlineLevel="0" collapsed="false">
      <c r="D631" s="4"/>
      <c r="E631" s="4"/>
      <c r="F631" s="130"/>
      <c r="G631" s="7"/>
      <c r="H631" s="4"/>
      <c r="I631" s="9"/>
      <c r="J631" s="9"/>
      <c r="K631" s="9"/>
      <c r="L631" s="9"/>
      <c r="M631" s="9"/>
      <c r="N631" s="4"/>
      <c r="O631" s="4"/>
      <c r="P631" s="4"/>
      <c r="Q631" s="4"/>
      <c r="R631" s="4"/>
      <c r="S631" s="4"/>
      <c r="T631" s="4"/>
      <c r="V631" s="132"/>
      <c r="W631" s="133"/>
      <c r="X631" s="133"/>
      <c r="AC631" s="134"/>
    </row>
    <row r="632" customFormat="false" ht="15.75" hidden="false" customHeight="true" outlineLevel="0" collapsed="false">
      <c r="D632" s="4"/>
      <c r="E632" s="4"/>
      <c r="F632" s="130"/>
      <c r="G632" s="7"/>
      <c r="H632" s="4"/>
      <c r="I632" s="9"/>
      <c r="J632" s="9"/>
      <c r="K632" s="9"/>
      <c r="L632" s="9"/>
      <c r="M632" s="9"/>
      <c r="N632" s="4"/>
      <c r="O632" s="4"/>
      <c r="P632" s="4"/>
      <c r="Q632" s="4"/>
      <c r="R632" s="4"/>
      <c r="S632" s="4"/>
      <c r="T632" s="4"/>
      <c r="V632" s="132"/>
      <c r="W632" s="133"/>
      <c r="X632" s="133"/>
      <c r="AC632" s="134"/>
    </row>
    <row r="633" customFormat="false" ht="15.75" hidden="false" customHeight="true" outlineLevel="0" collapsed="false">
      <c r="D633" s="4"/>
      <c r="E633" s="4"/>
      <c r="F633" s="130"/>
      <c r="G633" s="7"/>
      <c r="H633" s="4"/>
      <c r="I633" s="9"/>
      <c r="J633" s="9"/>
      <c r="K633" s="9"/>
      <c r="L633" s="9"/>
      <c r="M633" s="9"/>
      <c r="N633" s="4"/>
      <c r="O633" s="4"/>
      <c r="P633" s="4"/>
      <c r="Q633" s="4"/>
      <c r="R633" s="4"/>
      <c r="S633" s="4"/>
      <c r="T633" s="4"/>
      <c r="V633" s="132"/>
      <c r="W633" s="133"/>
      <c r="X633" s="133"/>
      <c r="AC633" s="134"/>
    </row>
    <row r="634" customFormat="false" ht="15.75" hidden="false" customHeight="true" outlineLevel="0" collapsed="false">
      <c r="D634" s="4"/>
      <c r="E634" s="4"/>
      <c r="F634" s="130"/>
      <c r="G634" s="7"/>
      <c r="H634" s="4"/>
      <c r="I634" s="9"/>
      <c r="J634" s="9"/>
      <c r="K634" s="9"/>
      <c r="L634" s="9"/>
      <c r="M634" s="9"/>
      <c r="N634" s="4"/>
      <c r="O634" s="4"/>
      <c r="P634" s="4"/>
      <c r="Q634" s="4"/>
      <c r="R634" s="4"/>
      <c r="S634" s="4"/>
      <c r="T634" s="4"/>
      <c r="V634" s="132"/>
      <c r="W634" s="133"/>
      <c r="X634" s="133"/>
      <c r="AC634" s="134"/>
    </row>
    <row r="635" customFormat="false" ht="15.75" hidden="false" customHeight="true" outlineLevel="0" collapsed="false">
      <c r="D635" s="4"/>
      <c r="E635" s="4"/>
      <c r="F635" s="130"/>
      <c r="G635" s="7"/>
      <c r="H635" s="4"/>
      <c r="I635" s="9"/>
      <c r="J635" s="9"/>
      <c r="K635" s="9"/>
      <c r="L635" s="9"/>
      <c r="M635" s="9"/>
      <c r="N635" s="4"/>
      <c r="O635" s="4"/>
      <c r="P635" s="4"/>
      <c r="Q635" s="4"/>
      <c r="R635" s="4"/>
      <c r="S635" s="4"/>
      <c r="T635" s="4"/>
      <c r="V635" s="132"/>
      <c r="W635" s="133"/>
      <c r="X635" s="133"/>
      <c r="AC635" s="134"/>
    </row>
    <row r="636" customFormat="false" ht="15.75" hidden="false" customHeight="true" outlineLevel="0" collapsed="false">
      <c r="D636" s="4"/>
      <c r="E636" s="4"/>
      <c r="F636" s="130"/>
      <c r="G636" s="7"/>
      <c r="H636" s="4"/>
      <c r="I636" s="9"/>
      <c r="J636" s="9"/>
      <c r="K636" s="9"/>
      <c r="L636" s="9"/>
      <c r="M636" s="9"/>
      <c r="N636" s="4"/>
      <c r="O636" s="4"/>
      <c r="P636" s="4"/>
      <c r="Q636" s="4"/>
      <c r="R636" s="4"/>
      <c r="S636" s="4"/>
      <c r="T636" s="4"/>
      <c r="V636" s="132"/>
      <c r="W636" s="133"/>
      <c r="X636" s="133"/>
      <c r="AC636" s="134"/>
    </row>
    <row r="637" customFormat="false" ht="15.75" hidden="false" customHeight="true" outlineLevel="0" collapsed="false">
      <c r="D637" s="4"/>
      <c r="E637" s="4"/>
      <c r="F637" s="130"/>
      <c r="G637" s="7"/>
      <c r="H637" s="4"/>
      <c r="I637" s="9"/>
      <c r="J637" s="9"/>
      <c r="K637" s="9"/>
      <c r="L637" s="9"/>
      <c r="M637" s="9"/>
      <c r="N637" s="4"/>
      <c r="O637" s="4"/>
      <c r="P637" s="4"/>
      <c r="Q637" s="4"/>
      <c r="R637" s="4"/>
      <c r="S637" s="4"/>
      <c r="T637" s="4"/>
      <c r="V637" s="132"/>
      <c r="W637" s="133"/>
      <c r="X637" s="133"/>
      <c r="AC637" s="134"/>
    </row>
    <row r="638" customFormat="false" ht="15.75" hidden="false" customHeight="true" outlineLevel="0" collapsed="false">
      <c r="D638" s="4"/>
      <c r="E638" s="4"/>
      <c r="F638" s="130"/>
      <c r="G638" s="7"/>
      <c r="H638" s="4"/>
      <c r="I638" s="9"/>
      <c r="J638" s="9"/>
      <c r="K638" s="9"/>
      <c r="L638" s="9"/>
      <c r="M638" s="9"/>
      <c r="N638" s="4"/>
      <c r="O638" s="4"/>
      <c r="P638" s="4"/>
      <c r="Q638" s="4"/>
      <c r="R638" s="4"/>
      <c r="S638" s="4"/>
      <c r="T638" s="4"/>
      <c r="V638" s="132"/>
      <c r="W638" s="133"/>
      <c r="X638" s="133"/>
      <c r="AC638" s="134"/>
    </row>
    <row r="639" customFormat="false" ht="15.75" hidden="false" customHeight="true" outlineLevel="0" collapsed="false">
      <c r="D639" s="4"/>
      <c r="E639" s="4"/>
      <c r="F639" s="130"/>
      <c r="G639" s="7"/>
      <c r="H639" s="4"/>
      <c r="I639" s="9"/>
      <c r="J639" s="9"/>
      <c r="K639" s="9"/>
      <c r="L639" s="9"/>
      <c r="M639" s="9"/>
      <c r="N639" s="4"/>
      <c r="O639" s="4"/>
      <c r="P639" s="4"/>
      <c r="Q639" s="4"/>
      <c r="R639" s="4"/>
      <c r="S639" s="4"/>
      <c r="T639" s="4"/>
      <c r="V639" s="132"/>
      <c r="W639" s="133"/>
      <c r="X639" s="133"/>
      <c r="AC639" s="134"/>
    </row>
    <row r="640" customFormat="false" ht="15.75" hidden="false" customHeight="true" outlineLevel="0" collapsed="false">
      <c r="D640" s="4"/>
      <c r="E640" s="4"/>
      <c r="F640" s="130"/>
      <c r="G640" s="7"/>
      <c r="H640" s="4"/>
      <c r="I640" s="9"/>
      <c r="J640" s="9"/>
      <c r="K640" s="9"/>
      <c r="L640" s="9"/>
      <c r="M640" s="9"/>
      <c r="N640" s="4"/>
      <c r="O640" s="4"/>
      <c r="P640" s="4"/>
      <c r="Q640" s="4"/>
      <c r="R640" s="4"/>
      <c r="S640" s="4"/>
      <c r="T640" s="4"/>
      <c r="V640" s="132"/>
      <c r="W640" s="133"/>
      <c r="X640" s="133"/>
      <c r="AC640" s="134"/>
    </row>
    <row r="641" customFormat="false" ht="15.75" hidden="false" customHeight="true" outlineLevel="0" collapsed="false">
      <c r="D641" s="4"/>
      <c r="E641" s="4"/>
      <c r="F641" s="130"/>
      <c r="G641" s="7"/>
      <c r="H641" s="4"/>
      <c r="I641" s="9"/>
      <c r="J641" s="9"/>
      <c r="K641" s="9"/>
      <c r="L641" s="9"/>
      <c r="M641" s="9"/>
      <c r="N641" s="4"/>
      <c r="O641" s="4"/>
      <c r="P641" s="4"/>
      <c r="Q641" s="4"/>
      <c r="R641" s="4"/>
      <c r="S641" s="4"/>
      <c r="T641" s="4"/>
      <c r="V641" s="132"/>
      <c r="W641" s="133"/>
      <c r="X641" s="133"/>
      <c r="AC641" s="134"/>
    </row>
    <row r="642" customFormat="false" ht="15.75" hidden="false" customHeight="true" outlineLevel="0" collapsed="false">
      <c r="D642" s="4"/>
      <c r="E642" s="4"/>
      <c r="F642" s="130"/>
      <c r="G642" s="7"/>
      <c r="H642" s="4"/>
      <c r="I642" s="9"/>
      <c r="J642" s="9"/>
      <c r="K642" s="9"/>
      <c r="L642" s="9"/>
      <c r="M642" s="9"/>
      <c r="N642" s="4"/>
      <c r="O642" s="4"/>
      <c r="P642" s="4"/>
      <c r="Q642" s="4"/>
      <c r="R642" s="4"/>
      <c r="S642" s="4"/>
      <c r="T642" s="4"/>
      <c r="V642" s="132"/>
      <c r="W642" s="133"/>
      <c r="X642" s="133"/>
      <c r="AC642" s="134"/>
    </row>
    <row r="643" customFormat="false" ht="15.75" hidden="false" customHeight="true" outlineLevel="0" collapsed="false">
      <c r="D643" s="4"/>
      <c r="E643" s="4"/>
      <c r="F643" s="130"/>
      <c r="G643" s="7"/>
      <c r="H643" s="4"/>
      <c r="I643" s="9"/>
      <c r="J643" s="9"/>
      <c r="K643" s="9"/>
      <c r="L643" s="9"/>
      <c r="M643" s="9"/>
      <c r="N643" s="4"/>
      <c r="O643" s="4"/>
      <c r="P643" s="4"/>
      <c r="Q643" s="4"/>
      <c r="R643" s="4"/>
      <c r="S643" s="4"/>
      <c r="T643" s="4"/>
      <c r="V643" s="132"/>
      <c r="W643" s="133"/>
      <c r="X643" s="133"/>
      <c r="AC643" s="134"/>
    </row>
    <row r="644" customFormat="false" ht="15.75" hidden="false" customHeight="true" outlineLevel="0" collapsed="false">
      <c r="D644" s="4"/>
      <c r="E644" s="4"/>
      <c r="F644" s="130"/>
      <c r="G644" s="7"/>
      <c r="H644" s="4"/>
      <c r="I644" s="9"/>
      <c r="J644" s="9"/>
      <c r="K644" s="9"/>
      <c r="L644" s="9"/>
      <c r="M644" s="9"/>
      <c r="N644" s="4"/>
      <c r="O644" s="4"/>
      <c r="P644" s="4"/>
      <c r="Q644" s="4"/>
      <c r="R644" s="4"/>
      <c r="S644" s="4"/>
      <c r="T644" s="4"/>
      <c r="V644" s="132"/>
      <c r="W644" s="133"/>
      <c r="X644" s="133"/>
      <c r="AC644" s="134"/>
    </row>
    <row r="645" customFormat="false" ht="15.75" hidden="false" customHeight="true" outlineLevel="0" collapsed="false">
      <c r="D645" s="4"/>
      <c r="E645" s="4"/>
      <c r="F645" s="130"/>
      <c r="G645" s="7"/>
      <c r="H645" s="4"/>
      <c r="I645" s="9"/>
      <c r="J645" s="9"/>
      <c r="K645" s="9"/>
      <c r="L645" s="9"/>
      <c r="M645" s="9"/>
      <c r="N645" s="4"/>
      <c r="O645" s="4"/>
      <c r="P645" s="4"/>
      <c r="Q645" s="4"/>
      <c r="R645" s="4"/>
      <c r="S645" s="4"/>
      <c r="T645" s="4"/>
      <c r="V645" s="132"/>
      <c r="W645" s="133"/>
      <c r="X645" s="133"/>
      <c r="AC645" s="134"/>
    </row>
    <row r="646" customFormat="false" ht="15.75" hidden="false" customHeight="true" outlineLevel="0" collapsed="false">
      <c r="D646" s="4"/>
      <c r="E646" s="4"/>
      <c r="F646" s="130"/>
      <c r="G646" s="7"/>
      <c r="H646" s="4"/>
      <c r="I646" s="9"/>
      <c r="J646" s="9"/>
      <c r="K646" s="9"/>
      <c r="L646" s="9"/>
      <c r="M646" s="9"/>
      <c r="N646" s="4"/>
      <c r="O646" s="4"/>
      <c r="P646" s="4"/>
      <c r="Q646" s="4"/>
      <c r="R646" s="4"/>
      <c r="S646" s="4"/>
      <c r="T646" s="4"/>
      <c r="V646" s="132"/>
      <c r="W646" s="133"/>
      <c r="X646" s="133"/>
      <c r="AC646" s="134"/>
    </row>
    <row r="647" customFormat="false" ht="15.75" hidden="false" customHeight="true" outlineLevel="0" collapsed="false">
      <c r="D647" s="4"/>
      <c r="E647" s="4"/>
      <c r="F647" s="130"/>
      <c r="G647" s="7"/>
      <c r="H647" s="4"/>
      <c r="I647" s="9"/>
      <c r="J647" s="9"/>
      <c r="K647" s="9"/>
      <c r="L647" s="9"/>
      <c r="M647" s="9"/>
      <c r="N647" s="4"/>
      <c r="O647" s="4"/>
      <c r="P647" s="4"/>
      <c r="Q647" s="4"/>
      <c r="R647" s="4"/>
      <c r="S647" s="4"/>
      <c r="T647" s="4"/>
      <c r="V647" s="132"/>
      <c r="W647" s="133"/>
      <c r="X647" s="133"/>
      <c r="AC647" s="134"/>
    </row>
    <row r="648" customFormat="false" ht="15.75" hidden="false" customHeight="true" outlineLevel="0" collapsed="false">
      <c r="D648" s="4"/>
      <c r="E648" s="4"/>
      <c r="F648" s="130"/>
      <c r="G648" s="7"/>
      <c r="H648" s="4"/>
      <c r="I648" s="9"/>
      <c r="J648" s="9"/>
      <c r="K648" s="9"/>
      <c r="L648" s="9"/>
      <c r="M648" s="9"/>
      <c r="N648" s="4"/>
      <c r="O648" s="4"/>
      <c r="P648" s="4"/>
      <c r="Q648" s="4"/>
      <c r="R648" s="4"/>
      <c r="S648" s="4"/>
      <c r="T648" s="4"/>
      <c r="V648" s="132"/>
      <c r="W648" s="133"/>
      <c r="X648" s="133"/>
      <c r="AC648" s="134"/>
    </row>
    <row r="649" customFormat="false" ht="15.75" hidden="false" customHeight="true" outlineLevel="0" collapsed="false">
      <c r="D649" s="4"/>
      <c r="E649" s="4"/>
      <c r="F649" s="130"/>
      <c r="G649" s="7"/>
      <c r="H649" s="4"/>
      <c r="I649" s="9"/>
      <c r="J649" s="9"/>
      <c r="K649" s="9"/>
      <c r="L649" s="9"/>
      <c r="M649" s="9"/>
      <c r="N649" s="4"/>
      <c r="O649" s="4"/>
      <c r="P649" s="4"/>
      <c r="Q649" s="4"/>
      <c r="R649" s="4"/>
      <c r="S649" s="4"/>
      <c r="T649" s="4"/>
      <c r="V649" s="132"/>
      <c r="W649" s="133"/>
      <c r="X649" s="133"/>
      <c r="AC649" s="134"/>
    </row>
    <row r="650" customFormat="false" ht="15.75" hidden="false" customHeight="true" outlineLevel="0" collapsed="false">
      <c r="D650" s="4"/>
      <c r="E650" s="4"/>
      <c r="F650" s="130"/>
      <c r="G650" s="7"/>
      <c r="H650" s="4"/>
      <c r="I650" s="9"/>
      <c r="J650" s="9"/>
      <c r="K650" s="9"/>
      <c r="L650" s="9"/>
      <c r="M650" s="9"/>
      <c r="N650" s="4"/>
      <c r="O650" s="4"/>
      <c r="P650" s="4"/>
      <c r="Q650" s="4"/>
      <c r="R650" s="4"/>
      <c r="S650" s="4"/>
      <c r="T650" s="4"/>
      <c r="V650" s="132"/>
      <c r="W650" s="133"/>
      <c r="X650" s="133"/>
      <c r="AC650" s="134"/>
    </row>
    <row r="651" customFormat="false" ht="15.75" hidden="false" customHeight="true" outlineLevel="0" collapsed="false">
      <c r="D651" s="4"/>
      <c r="E651" s="4"/>
      <c r="F651" s="130"/>
      <c r="G651" s="7"/>
      <c r="H651" s="4"/>
      <c r="I651" s="9"/>
      <c r="J651" s="9"/>
      <c r="K651" s="9"/>
      <c r="L651" s="9"/>
      <c r="M651" s="9"/>
      <c r="N651" s="4"/>
      <c r="O651" s="4"/>
      <c r="P651" s="4"/>
      <c r="Q651" s="4"/>
      <c r="R651" s="4"/>
      <c r="S651" s="4"/>
      <c r="T651" s="4"/>
      <c r="V651" s="132"/>
      <c r="W651" s="133"/>
      <c r="X651" s="133"/>
      <c r="AC651" s="134"/>
    </row>
    <row r="652" customFormat="false" ht="15.75" hidden="false" customHeight="true" outlineLevel="0" collapsed="false">
      <c r="D652" s="4"/>
      <c r="E652" s="4"/>
      <c r="F652" s="130"/>
      <c r="G652" s="7"/>
      <c r="H652" s="4"/>
      <c r="I652" s="9"/>
      <c r="J652" s="9"/>
      <c r="K652" s="9"/>
      <c r="L652" s="9"/>
      <c r="M652" s="9"/>
      <c r="N652" s="4"/>
      <c r="O652" s="4"/>
      <c r="P652" s="4"/>
      <c r="Q652" s="4"/>
      <c r="R652" s="4"/>
      <c r="S652" s="4"/>
      <c r="T652" s="4"/>
      <c r="V652" s="132"/>
      <c r="W652" s="133"/>
      <c r="X652" s="133"/>
      <c r="AC652" s="134"/>
    </row>
    <row r="653" customFormat="false" ht="15.75" hidden="false" customHeight="true" outlineLevel="0" collapsed="false">
      <c r="D653" s="4"/>
      <c r="E653" s="4"/>
      <c r="F653" s="130"/>
      <c r="G653" s="7"/>
      <c r="H653" s="4"/>
      <c r="I653" s="9"/>
      <c r="J653" s="9"/>
      <c r="K653" s="9"/>
      <c r="L653" s="9"/>
      <c r="M653" s="9"/>
      <c r="N653" s="4"/>
      <c r="O653" s="4"/>
      <c r="P653" s="4"/>
      <c r="Q653" s="4"/>
      <c r="R653" s="4"/>
      <c r="S653" s="4"/>
      <c r="T653" s="4"/>
      <c r="V653" s="132"/>
      <c r="W653" s="133"/>
      <c r="X653" s="133"/>
      <c r="AC653" s="134"/>
    </row>
    <row r="654" customFormat="false" ht="15.75" hidden="false" customHeight="true" outlineLevel="0" collapsed="false">
      <c r="D654" s="4"/>
      <c r="E654" s="4"/>
      <c r="F654" s="130"/>
      <c r="G654" s="7"/>
      <c r="H654" s="4"/>
      <c r="I654" s="9"/>
      <c r="J654" s="9"/>
      <c r="K654" s="9"/>
      <c r="L654" s="9"/>
      <c r="M654" s="9"/>
      <c r="N654" s="4"/>
      <c r="O654" s="4"/>
      <c r="P654" s="4"/>
      <c r="Q654" s="4"/>
      <c r="R654" s="4"/>
      <c r="S654" s="4"/>
      <c r="T654" s="4"/>
      <c r="V654" s="132"/>
      <c r="W654" s="133"/>
      <c r="X654" s="133"/>
      <c r="AC654" s="134"/>
    </row>
    <row r="655" customFormat="false" ht="15.75" hidden="false" customHeight="true" outlineLevel="0" collapsed="false">
      <c r="D655" s="4"/>
      <c r="E655" s="4"/>
      <c r="F655" s="130"/>
      <c r="G655" s="7"/>
      <c r="H655" s="4"/>
      <c r="I655" s="9"/>
      <c r="J655" s="9"/>
      <c r="K655" s="9"/>
      <c r="L655" s="9"/>
      <c r="M655" s="9"/>
      <c r="N655" s="4"/>
      <c r="O655" s="4"/>
      <c r="P655" s="4"/>
      <c r="Q655" s="4"/>
      <c r="R655" s="4"/>
      <c r="S655" s="4"/>
      <c r="T655" s="4"/>
      <c r="V655" s="132"/>
      <c r="W655" s="133"/>
      <c r="X655" s="133"/>
      <c r="AC655" s="134"/>
    </row>
    <row r="656" customFormat="false" ht="15.75" hidden="false" customHeight="true" outlineLevel="0" collapsed="false">
      <c r="D656" s="4"/>
      <c r="E656" s="4"/>
      <c r="F656" s="130"/>
      <c r="G656" s="7"/>
      <c r="H656" s="4"/>
      <c r="I656" s="9"/>
      <c r="J656" s="9"/>
      <c r="K656" s="9"/>
      <c r="L656" s="9"/>
      <c r="M656" s="9"/>
      <c r="N656" s="4"/>
      <c r="O656" s="4"/>
      <c r="P656" s="4"/>
      <c r="Q656" s="4"/>
      <c r="R656" s="4"/>
      <c r="S656" s="4"/>
      <c r="T656" s="4"/>
      <c r="V656" s="132"/>
      <c r="W656" s="133"/>
      <c r="X656" s="133"/>
      <c r="AC656" s="134"/>
    </row>
    <row r="657" customFormat="false" ht="15.75" hidden="false" customHeight="true" outlineLevel="0" collapsed="false">
      <c r="D657" s="4"/>
      <c r="E657" s="4"/>
      <c r="F657" s="130"/>
      <c r="G657" s="7"/>
      <c r="H657" s="4"/>
      <c r="I657" s="9"/>
      <c r="J657" s="9"/>
      <c r="K657" s="9"/>
      <c r="L657" s="9"/>
      <c r="M657" s="9"/>
      <c r="N657" s="4"/>
      <c r="O657" s="4"/>
      <c r="P657" s="4"/>
      <c r="Q657" s="4"/>
      <c r="R657" s="4"/>
      <c r="S657" s="4"/>
      <c r="T657" s="4"/>
      <c r="V657" s="132"/>
      <c r="W657" s="133"/>
      <c r="X657" s="133"/>
      <c r="AC657" s="134"/>
    </row>
    <row r="658" customFormat="false" ht="15.75" hidden="false" customHeight="true" outlineLevel="0" collapsed="false">
      <c r="D658" s="4"/>
      <c r="E658" s="4"/>
      <c r="F658" s="130"/>
      <c r="G658" s="7"/>
      <c r="H658" s="4"/>
      <c r="I658" s="9"/>
      <c r="J658" s="9"/>
      <c r="K658" s="9"/>
      <c r="L658" s="9"/>
      <c r="M658" s="9"/>
      <c r="N658" s="4"/>
      <c r="O658" s="4"/>
      <c r="P658" s="4"/>
      <c r="Q658" s="4"/>
      <c r="R658" s="4"/>
      <c r="S658" s="4"/>
      <c r="T658" s="4"/>
      <c r="V658" s="132"/>
      <c r="W658" s="133"/>
      <c r="X658" s="133"/>
      <c r="AC658" s="134"/>
    </row>
    <row r="659" customFormat="false" ht="15.75" hidden="false" customHeight="true" outlineLevel="0" collapsed="false">
      <c r="D659" s="4"/>
      <c r="E659" s="4"/>
      <c r="F659" s="130"/>
      <c r="G659" s="7"/>
      <c r="H659" s="4"/>
      <c r="I659" s="9"/>
      <c r="J659" s="9"/>
      <c r="K659" s="9"/>
      <c r="L659" s="9"/>
      <c r="M659" s="9"/>
      <c r="N659" s="4"/>
      <c r="O659" s="4"/>
      <c r="P659" s="4"/>
      <c r="Q659" s="4"/>
      <c r="R659" s="4"/>
      <c r="S659" s="4"/>
      <c r="T659" s="4"/>
      <c r="V659" s="132"/>
      <c r="W659" s="133"/>
      <c r="X659" s="133"/>
      <c r="AC659" s="134"/>
    </row>
    <row r="660" customFormat="false" ht="15.75" hidden="false" customHeight="true" outlineLevel="0" collapsed="false">
      <c r="D660" s="4"/>
      <c r="E660" s="4"/>
      <c r="F660" s="130"/>
      <c r="G660" s="7"/>
      <c r="H660" s="4"/>
      <c r="I660" s="9"/>
      <c r="J660" s="9"/>
      <c r="K660" s="9"/>
      <c r="L660" s="9"/>
      <c r="M660" s="9"/>
      <c r="N660" s="4"/>
      <c r="O660" s="4"/>
      <c r="P660" s="4"/>
      <c r="Q660" s="4"/>
      <c r="R660" s="4"/>
      <c r="S660" s="4"/>
      <c r="T660" s="4"/>
      <c r="V660" s="132"/>
      <c r="W660" s="133"/>
      <c r="X660" s="133"/>
      <c r="AC660" s="134"/>
    </row>
    <row r="661" customFormat="false" ht="15.75" hidden="false" customHeight="true" outlineLevel="0" collapsed="false">
      <c r="D661" s="4"/>
      <c r="E661" s="4"/>
      <c r="F661" s="130"/>
      <c r="G661" s="7"/>
      <c r="H661" s="4"/>
      <c r="I661" s="9"/>
      <c r="J661" s="9"/>
      <c r="K661" s="9"/>
      <c r="L661" s="9"/>
      <c r="M661" s="9"/>
      <c r="N661" s="4"/>
      <c r="O661" s="4"/>
      <c r="P661" s="4"/>
      <c r="Q661" s="4"/>
      <c r="R661" s="4"/>
      <c r="S661" s="4"/>
      <c r="T661" s="4"/>
      <c r="V661" s="132"/>
      <c r="W661" s="133"/>
      <c r="X661" s="133"/>
      <c r="AC661" s="134"/>
    </row>
    <row r="662" customFormat="false" ht="15.75" hidden="false" customHeight="true" outlineLevel="0" collapsed="false">
      <c r="D662" s="4"/>
      <c r="E662" s="4"/>
      <c r="F662" s="130"/>
      <c r="G662" s="7"/>
      <c r="H662" s="4"/>
      <c r="I662" s="9"/>
      <c r="J662" s="9"/>
      <c r="K662" s="9"/>
      <c r="L662" s="9"/>
      <c r="M662" s="9"/>
      <c r="N662" s="4"/>
      <c r="O662" s="4"/>
      <c r="P662" s="4"/>
      <c r="Q662" s="4"/>
      <c r="R662" s="4"/>
      <c r="S662" s="4"/>
      <c r="T662" s="4"/>
      <c r="V662" s="132"/>
      <c r="W662" s="133"/>
      <c r="X662" s="133"/>
      <c r="AC662" s="134"/>
    </row>
    <row r="663" customFormat="false" ht="15.75" hidden="false" customHeight="true" outlineLevel="0" collapsed="false">
      <c r="D663" s="4"/>
      <c r="E663" s="4"/>
      <c r="F663" s="130"/>
      <c r="G663" s="7"/>
      <c r="H663" s="4"/>
      <c r="I663" s="9"/>
      <c r="J663" s="9"/>
      <c r="K663" s="9"/>
      <c r="L663" s="9"/>
      <c r="M663" s="9"/>
      <c r="N663" s="4"/>
      <c r="O663" s="4"/>
      <c r="P663" s="4"/>
      <c r="Q663" s="4"/>
      <c r="R663" s="4"/>
      <c r="S663" s="4"/>
      <c r="T663" s="4"/>
      <c r="V663" s="132"/>
      <c r="W663" s="133"/>
      <c r="X663" s="133"/>
      <c r="AC663" s="134"/>
    </row>
    <row r="664" customFormat="false" ht="15.75" hidden="false" customHeight="true" outlineLevel="0" collapsed="false">
      <c r="D664" s="4"/>
      <c r="E664" s="4"/>
      <c r="F664" s="130"/>
      <c r="G664" s="7"/>
      <c r="H664" s="4"/>
      <c r="I664" s="9"/>
      <c r="J664" s="9"/>
      <c r="K664" s="9"/>
      <c r="L664" s="9"/>
      <c r="M664" s="9"/>
      <c r="N664" s="4"/>
      <c r="O664" s="4"/>
      <c r="P664" s="4"/>
      <c r="Q664" s="4"/>
      <c r="R664" s="4"/>
      <c r="S664" s="4"/>
      <c r="T664" s="4"/>
      <c r="V664" s="132"/>
      <c r="W664" s="133"/>
      <c r="X664" s="133"/>
      <c r="AC664" s="134"/>
    </row>
    <row r="665" customFormat="false" ht="15.75" hidden="false" customHeight="true" outlineLevel="0" collapsed="false">
      <c r="D665" s="4"/>
      <c r="E665" s="4"/>
      <c r="F665" s="130"/>
      <c r="G665" s="7"/>
      <c r="H665" s="4"/>
      <c r="I665" s="9"/>
      <c r="J665" s="9"/>
      <c r="K665" s="9"/>
      <c r="L665" s="9"/>
      <c r="M665" s="9"/>
      <c r="N665" s="4"/>
      <c r="O665" s="4"/>
      <c r="P665" s="4"/>
      <c r="Q665" s="4"/>
      <c r="R665" s="4"/>
      <c r="S665" s="4"/>
      <c r="T665" s="4"/>
      <c r="V665" s="132"/>
      <c r="W665" s="133"/>
      <c r="X665" s="133"/>
      <c r="AC665" s="134"/>
    </row>
    <row r="666" customFormat="false" ht="15.75" hidden="false" customHeight="true" outlineLevel="0" collapsed="false">
      <c r="D666" s="4"/>
      <c r="E666" s="4"/>
      <c r="F666" s="130"/>
      <c r="G666" s="7"/>
      <c r="H666" s="4"/>
      <c r="I666" s="9"/>
      <c r="J666" s="9"/>
      <c r="K666" s="9"/>
      <c r="L666" s="9"/>
      <c r="M666" s="9"/>
      <c r="N666" s="4"/>
      <c r="O666" s="4"/>
      <c r="P666" s="4"/>
      <c r="Q666" s="4"/>
      <c r="R666" s="4"/>
      <c r="S666" s="4"/>
      <c r="T666" s="4"/>
      <c r="V666" s="132"/>
      <c r="W666" s="133"/>
      <c r="X666" s="133"/>
      <c r="AC666" s="134"/>
    </row>
    <row r="667" customFormat="false" ht="15.75" hidden="false" customHeight="true" outlineLevel="0" collapsed="false">
      <c r="D667" s="4"/>
      <c r="E667" s="4"/>
      <c r="F667" s="130"/>
      <c r="G667" s="7"/>
      <c r="H667" s="4"/>
      <c r="I667" s="9"/>
      <c r="J667" s="9"/>
      <c r="K667" s="9"/>
      <c r="L667" s="9"/>
      <c r="M667" s="9"/>
      <c r="N667" s="4"/>
      <c r="O667" s="4"/>
      <c r="P667" s="4"/>
      <c r="Q667" s="4"/>
      <c r="R667" s="4"/>
      <c r="S667" s="4"/>
      <c r="T667" s="4"/>
      <c r="V667" s="132"/>
      <c r="W667" s="133"/>
      <c r="X667" s="133"/>
      <c r="AC667" s="134"/>
    </row>
    <row r="668" customFormat="false" ht="15.75" hidden="false" customHeight="true" outlineLevel="0" collapsed="false">
      <c r="D668" s="4"/>
      <c r="E668" s="4"/>
      <c r="F668" s="130"/>
      <c r="G668" s="7"/>
      <c r="H668" s="4"/>
      <c r="I668" s="9"/>
      <c r="J668" s="9"/>
      <c r="K668" s="9"/>
      <c r="L668" s="9"/>
      <c r="M668" s="9"/>
      <c r="N668" s="4"/>
      <c r="O668" s="4"/>
      <c r="P668" s="4"/>
      <c r="Q668" s="4"/>
      <c r="R668" s="4"/>
      <c r="S668" s="4"/>
      <c r="T668" s="4"/>
      <c r="V668" s="132"/>
      <c r="W668" s="133"/>
      <c r="X668" s="133"/>
      <c r="AC668" s="134"/>
    </row>
    <row r="669" customFormat="false" ht="15.75" hidden="false" customHeight="true" outlineLevel="0" collapsed="false">
      <c r="D669" s="4"/>
      <c r="E669" s="4"/>
      <c r="F669" s="130"/>
      <c r="G669" s="7"/>
      <c r="H669" s="4"/>
      <c r="I669" s="9"/>
      <c r="J669" s="9"/>
      <c r="K669" s="9"/>
      <c r="L669" s="9"/>
      <c r="M669" s="9"/>
      <c r="N669" s="4"/>
      <c r="O669" s="4"/>
      <c r="P669" s="4"/>
      <c r="Q669" s="4"/>
      <c r="R669" s="4"/>
      <c r="S669" s="4"/>
      <c r="T669" s="4"/>
      <c r="V669" s="132"/>
      <c r="W669" s="133"/>
      <c r="X669" s="133"/>
      <c r="AC669" s="134"/>
    </row>
    <row r="670" customFormat="false" ht="15.75" hidden="false" customHeight="true" outlineLevel="0" collapsed="false">
      <c r="D670" s="4"/>
      <c r="E670" s="4"/>
      <c r="F670" s="130"/>
      <c r="G670" s="7"/>
      <c r="H670" s="4"/>
      <c r="I670" s="9"/>
      <c r="J670" s="9"/>
      <c r="K670" s="9"/>
      <c r="L670" s="9"/>
      <c r="M670" s="9"/>
      <c r="N670" s="4"/>
      <c r="O670" s="4"/>
      <c r="P670" s="4"/>
      <c r="Q670" s="4"/>
      <c r="R670" s="4"/>
      <c r="S670" s="4"/>
      <c r="T670" s="4"/>
      <c r="V670" s="132"/>
      <c r="W670" s="133"/>
      <c r="X670" s="133"/>
      <c r="AC670" s="134"/>
    </row>
    <row r="671" customFormat="false" ht="15.75" hidden="false" customHeight="true" outlineLevel="0" collapsed="false">
      <c r="D671" s="4"/>
      <c r="E671" s="4"/>
      <c r="F671" s="130"/>
      <c r="G671" s="7"/>
      <c r="H671" s="4"/>
      <c r="I671" s="9"/>
      <c r="J671" s="9"/>
      <c r="K671" s="9"/>
      <c r="L671" s="9"/>
      <c r="M671" s="9"/>
      <c r="N671" s="4"/>
      <c r="O671" s="4"/>
      <c r="P671" s="4"/>
      <c r="Q671" s="4"/>
      <c r="R671" s="4"/>
      <c r="S671" s="4"/>
      <c r="T671" s="4"/>
      <c r="V671" s="132"/>
      <c r="W671" s="133"/>
      <c r="X671" s="133"/>
      <c r="AC671" s="134"/>
    </row>
    <row r="672" customFormat="false" ht="15.75" hidden="false" customHeight="true" outlineLevel="0" collapsed="false">
      <c r="D672" s="4"/>
      <c r="E672" s="4"/>
      <c r="F672" s="130"/>
      <c r="G672" s="7"/>
      <c r="H672" s="4"/>
      <c r="I672" s="9"/>
      <c r="J672" s="9"/>
      <c r="K672" s="9"/>
      <c r="L672" s="9"/>
      <c r="M672" s="9"/>
      <c r="N672" s="4"/>
      <c r="O672" s="4"/>
      <c r="P672" s="4"/>
      <c r="Q672" s="4"/>
      <c r="R672" s="4"/>
      <c r="S672" s="4"/>
      <c r="T672" s="4"/>
      <c r="V672" s="132"/>
      <c r="W672" s="133"/>
      <c r="X672" s="133"/>
      <c r="AC672" s="134"/>
    </row>
    <row r="673" customFormat="false" ht="15.75" hidden="false" customHeight="true" outlineLevel="0" collapsed="false">
      <c r="D673" s="4"/>
      <c r="E673" s="4"/>
      <c r="F673" s="130"/>
      <c r="G673" s="7"/>
      <c r="H673" s="4"/>
      <c r="I673" s="9"/>
      <c r="J673" s="9"/>
      <c r="K673" s="9"/>
      <c r="L673" s="9"/>
      <c r="M673" s="9"/>
      <c r="N673" s="4"/>
      <c r="O673" s="4"/>
      <c r="P673" s="4"/>
      <c r="Q673" s="4"/>
      <c r="R673" s="4"/>
      <c r="S673" s="4"/>
      <c r="T673" s="4"/>
      <c r="V673" s="132"/>
      <c r="W673" s="133"/>
      <c r="X673" s="133"/>
      <c r="AC673" s="134"/>
    </row>
    <row r="674" customFormat="false" ht="15.75" hidden="false" customHeight="true" outlineLevel="0" collapsed="false">
      <c r="D674" s="4"/>
      <c r="E674" s="4"/>
      <c r="F674" s="130"/>
      <c r="G674" s="7"/>
      <c r="H674" s="4"/>
      <c r="I674" s="9"/>
      <c r="J674" s="9"/>
      <c r="K674" s="9"/>
      <c r="L674" s="9"/>
      <c r="M674" s="9"/>
      <c r="N674" s="4"/>
      <c r="O674" s="4"/>
      <c r="P674" s="4"/>
      <c r="Q674" s="4"/>
      <c r="R674" s="4"/>
      <c r="S674" s="4"/>
      <c r="T674" s="4"/>
      <c r="V674" s="132"/>
      <c r="W674" s="133"/>
      <c r="X674" s="133"/>
      <c r="AC674" s="134"/>
    </row>
    <row r="675" customFormat="false" ht="15.75" hidden="false" customHeight="true" outlineLevel="0" collapsed="false">
      <c r="D675" s="4"/>
      <c r="E675" s="4"/>
      <c r="F675" s="130"/>
      <c r="G675" s="7"/>
      <c r="H675" s="4"/>
      <c r="I675" s="9"/>
      <c r="J675" s="9"/>
      <c r="K675" s="9"/>
      <c r="L675" s="9"/>
      <c r="M675" s="9"/>
      <c r="N675" s="4"/>
      <c r="O675" s="4"/>
      <c r="P675" s="4"/>
      <c r="Q675" s="4"/>
      <c r="R675" s="4"/>
      <c r="S675" s="4"/>
      <c r="T675" s="4"/>
      <c r="V675" s="132"/>
      <c r="W675" s="133"/>
      <c r="X675" s="133"/>
      <c r="AC675" s="134"/>
    </row>
    <row r="676" customFormat="false" ht="15.75" hidden="false" customHeight="true" outlineLevel="0" collapsed="false">
      <c r="D676" s="4"/>
      <c r="E676" s="4"/>
      <c r="F676" s="130"/>
      <c r="G676" s="7"/>
      <c r="H676" s="4"/>
      <c r="I676" s="9"/>
      <c r="J676" s="9"/>
      <c r="K676" s="9"/>
      <c r="L676" s="9"/>
      <c r="M676" s="9"/>
      <c r="N676" s="4"/>
      <c r="O676" s="4"/>
      <c r="P676" s="4"/>
      <c r="Q676" s="4"/>
      <c r="R676" s="4"/>
      <c r="S676" s="4"/>
      <c r="T676" s="4"/>
      <c r="V676" s="132"/>
      <c r="W676" s="133"/>
      <c r="X676" s="133"/>
      <c r="AC676" s="134"/>
    </row>
    <row r="677" customFormat="false" ht="15.75" hidden="false" customHeight="true" outlineLevel="0" collapsed="false">
      <c r="D677" s="4"/>
      <c r="E677" s="4"/>
      <c r="F677" s="130"/>
      <c r="G677" s="7"/>
      <c r="H677" s="4"/>
      <c r="I677" s="9"/>
      <c r="J677" s="9"/>
      <c r="K677" s="9"/>
      <c r="L677" s="9"/>
      <c r="M677" s="9"/>
      <c r="N677" s="4"/>
      <c r="O677" s="4"/>
      <c r="P677" s="4"/>
      <c r="Q677" s="4"/>
      <c r="R677" s="4"/>
      <c r="S677" s="4"/>
      <c r="T677" s="4"/>
      <c r="V677" s="132"/>
      <c r="W677" s="133"/>
      <c r="X677" s="133"/>
      <c r="AC677" s="134"/>
    </row>
    <row r="678" customFormat="false" ht="15.75" hidden="false" customHeight="true" outlineLevel="0" collapsed="false">
      <c r="D678" s="4"/>
      <c r="E678" s="4"/>
      <c r="F678" s="130"/>
      <c r="G678" s="7"/>
      <c r="H678" s="4"/>
      <c r="I678" s="9"/>
      <c r="J678" s="9"/>
      <c r="K678" s="9"/>
      <c r="L678" s="9"/>
      <c r="M678" s="9"/>
      <c r="N678" s="4"/>
      <c r="O678" s="4"/>
      <c r="P678" s="4"/>
      <c r="Q678" s="4"/>
      <c r="R678" s="4"/>
      <c r="S678" s="4"/>
      <c r="T678" s="4"/>
      <c r="V678" s="132"/>
      <c r="W678" s="133"/>
      <c r="X678" s="133"/>
      <c r="AC678" s="134"/>
    </row>
    <row r="679" customFormat="false" ht="15.75" hidden="false" customHeight="true" outlineLevel="0" collapsed="false">
      <c r="D679" s="4"/>
      <c r="E679" s="4"/>
      <c r="F679" s="130"/>
      <c r="G679" s="7"/>
      <c r="H679" s="4"/>
      <c r="I679" s="9"/>
      <c r="J679" s="9"/>
      <c r="K679" s="9"/>
      <c r="L679" s="9"/>
      <c r="M679" s="9"/>
      <c r="N679" s="4"/>
      <c r="O679" s="4"/>
      <c r="P679" s="4"/>
      <c r="Q679" s="4"/>
      <c r="R679" s="4"/>
      <c r="S679" s="4"/>
      <c r="T679" s="4"/>
      <c r="V679" s="132"/>
      <c r="W679" s="133"/>
      <c r="X679" s="133"/>
      <c r="AC679" s="134"/>
    </row>
    <row r="680" customFormat="false" ht="15.75" hidden="false" customHeight="true" outlineLevel="0" collapsed="false">
      <c r="D680" s="4"/>
      <c r="E680" s="4"/>
      <c r="F680" s="130"/>
      <c r="G680" s="7"/>
      <c r="H680" s="4"/>
      <c r="I680" s="9"/>
      <c r="J680" s="9"/>
      <c r="K680" s="9"/>
      <c r="L680" s="9"/>
      <c r="M680" s="9"/>
      <c r="N680" s="4"/>
      <c r="O680" s="4"/>
      <c r="P680" s="4"/>
      <c r="Q680" s="4"/>
      <c r="R680" s="4"/>
      <c r="S680" s="4"/>
      <c r="T680" s="4"/>
      <c r="V680" s="132"/>
      <c r="W680" s="133"/>
      <c r="X680" s="133"/>
      <c r="AC680" s="134"/>
    </row>
    <row r="681" customFormat="false" ht="15.75" hidden="false" customHeight="true" outlineLevel="0" collapsed="false">
      <c r="D681" s="4"/>
      <c r="E681" s="4"/>
      <c r="F681" s="130"/>
      <c r="G681" s="7"/>
      <c r="H681" s="4"/>
      <c r="I681" s="9"/>
      <c r="J681" s="9"/>
      <c r="K681" s="9"/>
      <c r="L681" s="9"/>
      <c r="M681" s="9"/>
      <c r="N681" s="4"/>
      <c r="O681" s="4"/>
      <c r="P681" s="4"/>
      <c r="Q681" s="4"/>
      <c r="R681" s="4"/>
      <c r="S681" s="4"/>
      <c r="T681" s="4"/>
      <c r="V681" s="132"/>
      <c r="W681" s="133"/>
      <c r="X681" s="133"/>
      <c r="AC681" s="134"/>
    </row>
    <row r="682" customFormat="false" ht="15.75" hidden="false" customHeight="true" outlineLevel="0" collapsed="false">
      <c r="D682" s="4"/>
      <c r="E682" s="4"/>
      <c r="F682" s="130"/>
      <c r="G682" s="7"/>
      <c r="H682" s="4"/>
      <c r="I682" s="9"/>
      <c r="J682" s="9"/>
      <c r="K682" s="9"/>
      <c r="L682" s="9"/>
      <c r="M682" s="9"/>
      <c r="N682" s="4"/>
      <c r="O682" s="4"/>
      <c r="P682" s="4"/>
      <c r="Q682" s="4"/>
      <c r="R682" s="4"/>
      <c r="S682" s="4"/>
      <c r="T682" s="4"/>
      <c r="V682" s="132"/>
      <c r="W682" s="133"/>
      <c r="X682" s="133"/>
      <c r="AC682" s="134"/>
    </row>
    <row r="683" customFormat="false" ht="15.75" hidden="false" customHeight="true" outlineLevel="0" collapsed="false">
      <c r="D683" s="4"/>
      <c r="E683" s="4"/>
      <c r="F683" s="130"/>
      <c r="G683" s="7"/>
      <c r="H683" s="4"/>
      <c r="I683" s="9"/>
      <c r="J683" s="9"/>
      <c r="K683" s="9"/>
      <c r="L683" s="9"/>
      <c r="M683" s="9"/>
      <c r="N683" s="4"/>
      <c r="O683" s="4"/>
      <c r="P683" s="4"/>
      <c r="Q683" s="4"/>
      <c r="R683" s="4"/>
      <c r="S683" s="4"/>
      <c r="T683" s="4"/>
      <c r="V683" s="132"/>
      <c r="W683" s="133"/>
      <c r="X683" s="133"/>
      <c r="AC683" s="134"/>
    </row>
    <row r="684" customFormat="false" ht="15.75" hidden="false" customHeight="true" outlineLevel="0" collapsed="false">
      <c r="D684" s="4"/>
      <c r="E684" s="4"/>
      <c r="F684" s="130"/>
      <c r="G684" s="7"/>
      <c r="H684" s="4"/>
      <c r="I684" s="9"/>
      <c r="J684" s="9"/>
      <c r="K684" s="9"/>
      <c r="L684" s="9"/>
      <c r="M684" s="9"/>
      <c r="N684" s="4"/>
      <c r="O684" s="4"/>
      <c r="P684" s="4"/>
      <c r="Q684" s="4"/>
      <c r="R684" s="4"/>
      <c r="S684" s="4"/>
      <c r="T684" s="4"/>
      <c r="V684" s="132"/>
      <c r="W684" s="133"/>
      <c r="X684" s="133"/>
      <c r="AC684" s="134"/>
    </row>
    <row r="685" customFormat="false" ht="15.75" hidden="false" customHeight="true" outlineLevel="0" collapsed="false">
      <c r="D685" s="4"/>
      <c r="E685" s="4"/>
      <c r="F685" s="130"/>
      <c r="G685" s="7"/>
      <c r="H685" s="4"/>
      <c r="I685" s="9"/>
      <c r="J685" s="9"/>
      <c r="K685" s="9"/>
      <c r="L685" s="9"/>
      <c r="M685" s="9"/>
      <c r="N685" s="4"/>
      <c r="O685" s="4"/>
      <c r="P685" s="4"/>
      <c r="Q685" s="4"/>
      <c r="R685" s="4"/>
      <c r="S685" s="4"/>
      <c r="T685" s="4"/>
      <c r="V685" s="132"/>
      <c r="W685" s="133"/>
      <c r="X685" s="133"/>
      <c r="AC685" s="134"/>
    </row>
    <row r="686" customFormat="false" ht="15.75" hidden="false" customHeight="true" outlineLevel="0" collapsed="false">
      <c r="D686" s="4"/>
      <c r="E686" s="4"/>
      <c r="F686" s="130"/>
      <c r="G686" s="7"/>
      <c r="H686" s="4"/>
      <c r="I686" s="9"/>
      <c r="J686" s="9"/>
      <c r="K686" s="9"/>
      <c r="L686" s="9"/>
      <c r="M686" s="9"/>
      <c r="N686" s="4"/>
      <c r="O686" s="4"/>
      <c r="P686" s="4"/>
      <c r="Q686" s="4"/>
      <c r="R686" s="4"/>
      <c r="S686" s="4"/>
      <c r="T686" s="4"/>
      <c r="V686" s="132"/>
      <c r="W686" s="133"/>
      <c r="X686" s="133"/>
      <c r="AC686" s="134"/>
    </row>
    <row r="687" customFormat="false" ht="15.75" hidden="false" customHeight="true" outlineLevel="0" collapsed="false">
      <c r="D687" s="4"/>
      <c r="E687" s="4"/>
      <c r="F687" s="130"/>
      <c r="G687" s="7"/>
      <c r="H687" s="4"/>
      <c r="I687" s="9"/>
      <c r="J687" s="9"/>
      <c r="K687" s="9"/>
      <c r="L687" s="9"/>
      <c r="M687" s="9"/>
      <c r="N687" s="4"/>
      <c r="O687" s="4"/>
      <c r="P687" s="4"/>
      <c r="Q687" s="4"/>
      <c r="R687" s="4"/>
      <c r="S687" s="4"/>
      <c r="T687" s="4"/>
      <c r="V687" s="132"/>
      <c r="W687" s="133"/>
      <c r="X687" s="133"/>
      <c r="AC687" s="134"/>
    </row>
    <row r="688" customFormat="false" ht="15.75" hidden="false" customHeight="true" outlineLevel="0" collapsed="false">
      <c r="D688" s="4"/>
      <c r="E688" s="4"/>
      <c r="F688" s="130"/>
      <c r="G688" s="7"/>
      <c r="H688" s="4"/>
      <c r="I688" s="9"/>
      <c r="J688" s="9"/>
      <c r="K688" s="9"/>
      <c r="L688" s="9"/>
      <c r="M688" s="9"/>
      <c r="N688" s="4"/>
      <c r="O688" s="4"/>
      <c r="P688" s="4"/>
      <c r="Q688" s="4"/>
      <c r="R688" s="4"/>
      <c r="S688" s="4"/>
      <c r="T688" s="4"/>
      <c r="V688" s="132"/>
      <c r="W688" s="133"/>
      <c r="X688" s="133"/>
      <c r="AC688" s="134"/>
    </row>
    <row r="689" customFormat="false" ht="15.75" hidden="false" customHeight="true" outlineLevel="0" collapsed="false">
      <c r="D689" s="4"/>
      <c r="E689" s="4"/>
      <c r="F689" s="130"/>
      <c r="G689" s="7"/>
      <c r="H689" s="4"/>
      <c r="I689" s="9"/>
      <c r="J689" s="9"/>
      <c r="K689" s="9"/>
      <c r="L689" s="9"/>
      <c r="M689" s="9"/>
      <c r="N689" s="4"/>
      <c r="O689" s="4"/>
      <c r="P689" s="4"/>
      <c r="Q689" s="4"/>
      <c r="R689" s="4"/>
      <c r="S689" s="4"/>
      <c r="T689" s="4"/>
      <c r="V689" s="132"/>
      <c r="W689" s="133"/>
      <c r="X689" s="133"/>
      <c r="AC689" s="134"/>
    </row>
    <row r="690" customFormat="false" ht="15.75" hidden="false" customHeight="true" outlineLevel="0" collapsed="false">
      <c r="D690" s="4"/>
      <c r="E690" s="4"/>
      <c r="F690" s="130"/>
      <c r="G690" s="7"/>
      <c r="H690" s="4"/>
      <c r="I690" s="9"/>
      <c r="J690" s="9"/>
      <c r="K690" s="9"/>
      <c r="L690" s="9"/>
      <c r="M690" s="9"/>
      <c r="N690" s="4"/>
      <c r="O690" s="4"/>
      <c r="P690" s="4"/>
      <c r="Q690" s="4"/>
      <c r="R690" s="4"/>
      <c r="S690" s="4"/>
      <c r="T690" s="4"/>
      <c r="V690" s="132"/>
      <c r="W690" s="133"/>
      <c r="X690" s="133"/>
      <c r="AC690" s="134"/>
    </row>
    <row r="691" customFormat="false" ht="15.75" hidden="false" customHeight="true" outlineLevel="0" collapsed="false">
      <c r="D691" s="4"/>
      <c r="E691" s="4"/>
      <c r="F691" s="130"/>
      <c r="G691" s="7"/>
      <c r="H691" s="4"/>
      <c r="I691" s="9"/>
      <c r="J691" s="9"/>
      <c r="K691" s="9"/>
      <c r="L691" s="9"/>
      <c r="M691" s="9"/>
      <c r="N691" s="4"/>
      <c r="O691" s="4"/>
      <c r="P691" s="4"/>
      <c r="Q691" s="4"/>
      <c r="R691" s="4"/>
      <c r="S691" s="4"/>
      <c r="T691" s="4"/>
      <c r="V691" s="132"/>
      <c r="W691" s="133"/>
      <c r="X691" s="133"/>
      <c r="AC691" s="134"/>
    </row>
    <row r="692" customFormat="false" ht="15.75" hidden="false" customHeight="true" outlineLevel="0" collapsed="false">
      <c r="D692" s="4"/>
      <c r="E692" s="4"/>
      <c r="F692" s="130"/>
      <c r="G692" s="7"/>
      <c r="H692" s="4"/>
      <c r="I692" s="9"/>
      <c r="J692" s="9"/>
      <c r="K692" s="9"/>
      <c r="L692" s="9"/>
      <c r="M692" s="9"/>
      <c r="N692" s="4"/>
      <c r="O692" s="4"/>
      <c r="P692" s="4"/>
      <c r="Q692" s="4"/>
      <c r="R692" s="4"/>
      <c r="S692" s="4"/>
      <c r="T692" s="4"/>
      <c r="V692" s="132"/>
      <c r="W692" s="133"/>
      <c r="X692" s="133"/>
      <c r="AC692" s="134"/>
    </row>
    <row r="693" customFormat="false" ht="15.75" hidden="false" customHeight="true" outlineLevel="0" collapsed="false">
      <c r="D693" s="4"/>
      <c r="E693" s="4"/>
      <c r="F693" s="130"/>
      <c r="G693" s="7"/>
      <c r="H693" s="4"/>
      <c r="I693" s="9"/>
      <c r="J693" s="9"/>
      <c r="K693" s="9"/>
      <c r="L693" s="9"/>
      <c r="M693" s="9"/>
      <c r="N693" s="4"/>
      <c r="O693" s="4"/>
      <c r="P693" s="4"/>
      <c r="Q693" s="4"/>
      <c r="R693" s="4"/>
      <c r="S693" s="4"/>
      <c r="T693" s="4"/>
      <c r="V693" s="132"/>
      <c r="W693" s="133"/>
      <c r="X693" s="133"/>
      <c r="AC693" s="134"/>
    </row>
    <row r="694" customFormat="false" ht="15.75" hidden="false" customHeight="true" outlineLevel="0" collapsed="false">
      <c r="D694" s="4"/>
      <c r="E694" s="4"/>
      <c r="F694" s="130"/>
      <c r="G694" s="7"/>
      <c r="H694" s="4"/>
      <c r="I694" s="9"/>
      <c r="J694" s="9"/>
      <c r="K694" s="9"/>
      <c r="L694" s="9"/>
      <c r="M694" s="9"/>
      <c r="N694" s="4"/>
      <c r="O694" s="4"/>
      <c r="P694" s="4"/>
      <c r="Q694" s="4"/>
      <c r="R694" s="4"/>
      <c r="S694" s="4"/>
      <c r="T694" s="4"/>
      <c r="V694" s="132"/>
      <c r="W694" s="133"/>
      <c r="X694" s="133"/>
      <c r="AC694" s="134"/>
    </row>
    <row r="695" customFormat="false" ht="15.75" hidden="false" customHeight="true" outlineLevel="0" collapsed="false">
      <c r="D695" s="4"/>
      <c r="E695" s="4"/>
      <c r="F695" s="130"/>
      <c r="G695" s="7"/>
      <c r="H695" s="4"/>
      <c r="I695" s="9"/>
      <c r="J695" s="9"/>
      <c r="K695" s="9"/>
      <c r="L695" s="9"/>
      <c r="M695" s="9"/>
      <c r="N695" s="4"/>
      <c r="O695" s="4"/>
      <c r="P695" s="4"/>
      <c r="Q695" s="4"/>
      <c r="R695" s="4"/>
      <c r="S695" s="4"/>
      <c r="T695" s="4"/>
      <c r="V695" s="132"/>
      <c r="W695" s="133"/>
      <c r="X695" s="133"/>
      <c r="AC695" s="134"/>
    </row>
    <row r="696" customFormat="false" ht="15.75" hidden="false" customHeight="true" outlineLevel="0" collapsed="false">
      <c r="D696" s="4"/>
      <c r="E696" s="4"/>
      <c r="F696" s="130"/>
      <c r="G696" s="7"/>
      <c r="H696" s="4"/>
      <c r="I696" s="9"/>
      <c r="J696" s="9"/>
      <c r="K696" s="9"/>
      <c r="L696" s="9"/>
      <c r="M696" s="9"/>
      <c r="N696" s="4"/>
      <c r="O696" s="4"/>
      <c r="P696" s="4"/>
      <c r="Q696" s="4"/>
      <c r="R696" s="4"/>
      <c r="S696" s="4"/>
      <c r="T696" s="4"/>
      <c r="V696" s="132"/>
      <c r="W696" s="133"/>
      <c r="X696" s="133"/>
      <c r="AC696" s="134"/>
    </row>
    <row r="697" customFormat="false" ht="15.75" hidden="false" customHeight="true" outlineLevel="0" collapsed="false">
      <c r="D697" s="4"/>
      <c r="E697" s="4"/>
      <c r="F697" s="130"/>
      <c r="G697" s="7"/>
      <c r="H697" s="4"/>
      <c r="I697" s="9"/>
      <c r="J697" s="9"/>
      <c r="K697" s="9"/>
      <c r="L697" s="9"/>
      <c r="M697" s="9"/>
      <c r="N697" s="4"/>
      <c r="O697" s="4"/>
      <c r="P697" s="4"/>
      <c r="Q697" s="4"/>
      <c r="R697" s="4"/>
      <c r="S697" s="4"/>
      <c r="T697" s="4"/>
      <c r="V697" s="132"/>
      <c r="W697" s="133"/>
      <c r="X697" s="133"/>
      <c r="AC697" s="134"/>
    </row>
    <row r="698" customFormat="false" ht="15.75" hidden="false" customHeight="true" outlineLevel="0" collapsed="false">
      <c r="D698" s="4"/>
      <c r="E698" s="4"/>
      <c r="F698" s="130"/>
      <c r="G698" s="7"/>
      <c r="H698" s="4"/>
      <c r="I698" s="9"/>
      <c r="J698" s="9"/>
      <c r="K698" s="9"/>
      <c r="L698" s="9"/>
      <c r="M698" s="9"/>
      <c r="N698" s="4"/>
      <c r="O698" s="4"/>
      <c r="P698" s="4"/>
      <c r="Q698" s="4"/>
      <c r="R698" s="4"/>
      <c r="S698" s="4"/>
      <c r="T698" s="4"/>
      <c r="V698" s="132"/>
      <c r="W698" s="133"/>
      <c r="X698" s="133"/>
      <c r="AC698" s="134"/>
    </row>
    <row r="699" customFormat="false" ht="15.75" hidden="false" customHeight="true" outlineLevel="0" collapsed="false">
      <c r="D699" s="4"/>
      <c r="E699" s="4"/>
      <c r="F699" s="130"/>
      <c r="G699" s="7"/>
      <c r="H699" s="4"/>
      <c r="I699" s="9"/>
      <c r="J699" s="9"/>
      <c r="K699" s="9"/>
      <c r="L699" s="9"/>
      <c r="M699" s="9"/>
      <c r="N699" s="4"/>
      <c r="O699" s="4"/>
      <c r="P699" s="4"/>
      <c r="Q699" s="4"/>
      <c r="R699" s="4"/>
      <c r="S699" s="4"/>
      <c r="T699" s="4"/>
      <c r="V699" s="132"/>
      <c r="W699" s="133"/>
      <c r="X699" s="133"/>
      <c r="AC699" s="134"/>
    </row>
    <row r="700" customFormat="false" ht="15.75" hidden="false" customHeight="true" outlineLevel="0" collapsed="false">
      <c r="D700" s="4"/>
      <c r="E700" s="4"/>
      <c r="F700" s="130"/>
      <c r="G700" s="7"/>
      <c r="H700" s="4"/>
      <c r="I700" s="9"/>
      <c r="J700" s="9"/>
      <c r="K700" s="9"/>
      <c r="L700" s="9"/>
      <c r="M700" s="9"/>
      <c r="N700" s="4"/>
      <c r="O700" s="4"/>
      <c r="P700" s="4"/>
      <c r="Q700" s="4"/>
      <c r="R700" s="4"/>
      <c r="S700" s="4"/>
      <c r="T700" s="4"/>
      <c r="V700" s="132"/>
      <c r="W700" s="133"/>
      <c r="X700" s="133"/>
      <c r="AC700" s="134"/>
    </row>
    <row r="701" customFormat="false" ht="15.75" hidden="false" customHeight="true" outlineLevel="0" collapsed="false">
      <c r="D701" s="4"/>
      <c r="E701" s="4"/>
      <c r="F701" s="130"/>
      <c r="G701" s="7"/>
      <c r="H701" s="4"/>
      <c r="I701" s="9"/>
      <c r="J701" s="9"/>
      <c r="K701" s="9"/>
      <c r="L701" s="9"/>
      <c r="M701" s="9"/>
      <c r="N701" s="4"/>
      <c r="O701" s="4"/>
      <c r="P701" s="4"/>
      <c r="Q701" s="4"/>
      <c r="R701" s="4"/>
      <c r="S701" s="4"/>
      <c r="T701" s="4"/>
      <c r="V701" s="132"/>
      <c r="W701" s="133"/>
      <c r="X701" s="133"/>
      <c r="AC701" s="134"/>
    </row>
    <row r="702" customFormat="false" ht="15.75" hidden="false" customHeight="true" outlineLevel="0" collapsed="false">
      <c r="D702" s="4"/>
      <c r="E702" s="4"/>
      <c r="F702" s="130"/>
      <c r="G702" s="7"/>
      <c r="H702" s="4"/>
      <c r="I702" s="9"/>
      <c r="J702" s="9"/>
      <c r="K702" s="9"/>
      <c r="L702" s="9"/>
      <c r="M702" s="9"/>
      <c r="N702" s="4"/>
      <c r="O702" s="4"/>
      <c r="P702" s="4"/>
      <c r="Q702" s="4"/>
      <c r="R702" s="4"/>
      <c r="S702" s="4"/>
      <c r="T702" s="4"/>
      <c r="V702" s="132"/>
      <c r="W702" s="133"/>
      <c r="X702" s="133"/>
      <c r="AC702" s="134"/>
    </row>
    <row r="703" customFormat="false" ht="15.75" hidden="false" customHeight="true" outlineLevel="0" collapsed="false">
      <c r="D703" s="4"/>
      <c r="E703" s="4"/>
      <c r="F703" s="130"/>
      <c r="G703" s="7"/>
      <c r="H703" s="4"/>
      <c r="I703" s="9"/>
      <c r="J703" s="9"/>
      <c r="K703" s="9"/>
      <c r="L703" s="9"/>
      <c r="M703" s="9"/>
      <c r="N703" s="4"/>
      <c r="O703" s="4"/>
      <c r="P703" s="4"/>
      <c r="Q703" s="4"/>
      <c r="R703" s="4"/>
      <c r="S703" s="4"/>
      <c r="T703" s="4"/>
      <c r="V703" s="132"/>
      <c r="W703" s="133"/>
      <c r="X703" s="133"/>
      <c r="AC703" s="134"/>
    </row>
    <row r="704" customFormat="false" ht="15.75" hidden="false" customHeight="true" outlineLevel="0" collapsed="false">
      <c r="D704" s="4"/>
      <c r="E704" s="4"/>
      <c r="F704" s="130"/>
      <c r="G704" s="7"/>
      <c r="H704" s="4"/>
      <c r="I704" s="9"/>
      <c r="J704" s="9"/>
      <c r="K704" s="9"/>
      <c r="L704" s="9"/>
      <c r="M704" s="9"/>
      <c r="N704" s="4"/>
      <c r="O704" s="4"/>
      <c r="P704" s="4"/>
      <c r="Q704" s="4"/>
      <c r="R704" s="4"/>
      <c r="S704" s="4"/>
      <c r="T704" s="4"/>
      <c r="V704" s="132"/>
      <c r="W704" s="133"/>
      <c r="X704" s="133"/>
      <c r="AC704" s="134"/>
    </row>
    <row r="705" customFormat="false" ht="15.75" hidden="false" customHeight="true" outlineLevel="0" collapsed="false">
      <c r="D705" s="4"/>
      <c r="E705" s="4"/>
      <c r="F705" s="130"/>
      <c r="G705" s="7"/>
      <c r="H705" s="4"/>
      <c r="I705" s="9"/>
      <c r="J705" s="9"/>
      <c r="K705" s="9"/>
      <c r="L705" s="9"/>
      <c r="M705" s="9"/>
      <c r="N705" s="4"/>
      <c r="O705" s="4"/>
      <c r="P705" s="4"/>
      <c r="Q705" s="4"/>
      <c r="R705" s="4"/>
      <c r="S705" s="4"/>
      <c r="T705" s="4"/>
      <c r="V705" s="132"/>
      <c r="W705" s="133"/>
      <c r="X705" s="133"/>
      <c r="AC705" s="134"/>
    </row>
    <row r="706" customFormat="false" ht="15.75" hidden="false" customHeight="true" outlineLevel="0" collapsed="false">
      <c r="D706" s="4"/>
      <c r="E706" s="4"/>
      <c r="F706" s="130"/>
      <c r="G706" s="7"/>
      <c r="H706" s="4"/>
      <c r="I706" s="9"/>
      <c r="J706" s="9"/>
      <c r="K706" s="9"/>
      <c r="L706" s="9"/>
      <c r="M706" s="9"/>
      <c r="N706" s="4"/>
      <c r="O706" s="4"/>
      <c r="P706" s="4"/>
      <c r="Q706" s="4"/>
      <c r="R706" s="4"/>
      <c r="S706" s="4"/>
      <c r="T706" s="4"/>
      <c r="V706" s="132"/>
      <c r="W706" s="133"/>
      <c r="X706" s="133"/>
      <c r="AC706" s="134"/>
    </row>
    <row r="707" customFormat="false" ht="15.75" hidden="false" customHeight="true" outlineLevel="0" collapsed="false">
      <c r="D707" s="4"/>
      <c r="E707" s="4"/>
      <c r="F707" s="130"/>
      <c r="G707" s="7"/>
      <c r="H707" s="4"/>
      <c r="I707" s="9"/>
      <c r="J707" s="9"/>
      <c r="K707" s="9"/>
      <c r="L707" s="9"/>
      <c r="M707" s="9"/>
      <c r="N707" s="4"/>
      <c r="O707" s="4"/>
      <c r="P707" s="4"/>
      <c r="Q707" s="4"/>
      <c r="R707" s="4"/>
      <c r="S707" s="4"/>
      <c r="T707" s="4"/>
      <c r="V707" s="132"/>
      <c r="W707" s="133"/>
      <c r="X707" s="133"/>
      <c r="AC707" s="134"/>
    </row>
    <row r="708" customFormat="false" ht="15.75" hidden="false" customHeight="true" outlineLevel="0" collapsed="false">
      <c r="D708" s="4"/>
      <c r="E708" s="4"/>
      <c r="F708" s="130"/>
      <c r="G708" s="7"/>
      <c r="H708" s="4"/>
      <c r="I708" s="9"/>
      <c r="J708" s="9"/>
      <c r="K708" s="9"/>
      <c r="L708" s="9"/>
      <c r="M708" s="9"/>
      <c r="N708" s="4"/>
      <c r="O708" s="4"/>
      <c r="P708" s="4"/>
      <c r="Q708" s="4"/>
      <c r="R708" s="4"/>
      <c r="S708" s="4"/>
      <c r="T708" s="4"/>
      <c r="V708" s="132"/>
      <c r="W708" s="133"/>
      <c r="X708" s="133"/>
      <c r="AC708" s="134"/>
    </row>
    <row r="709" customFormat="false" ht="15.75" hidden="false" customHeight="true" outlineLevel="0" collapsed="false">
      <c r="D709" s="4"/>
      <c r="E709" s="4"/>
      <c r="F709" s="130"/>
      <c r="G709" s="7"/>
      <c r="H709" s="4"/>
      <c r="I709" s="9"/>
      <c r="J709" s="9"/>
      <c r="K709" s="9"/>
      <c r="L709" s="9"/>
      <c r="M709" s="9"/>
      <c r="N709" s="4"/>
      <c r="O709" s="4"/>
      <c r="P709" s="4"/>
      <c r="Q709" s="4"/>
      <c r="R709" s="4"/>
      <c r="S709" s="4"/>
      <c r="T709" s="4"/>
      <c r="V709" s="132"/>
      <c r="W709" s="133"/>
      <c r="X709" s="133"/>
      <c r="AC709" s="134"/>
    </row>
    <row r="710" customFormat="false" ht="15.75" hidden="false" customHeight="true" outlineLevel="0" collapsed="false">
      <c r="D710" s="4"/>
      <c r="E710" s="4"/>
      <c r="F710" s="130"/>
      <c r="G710" s="7"/>
      <c r="H710" s="4"/>
      <c r="I710" s="9"/>
      <c r="J710" s="9"/>
      <c r="K710" s="9"/>
      <c r="L710" s="9"/>
      <c r="M710" s="9"/>
      <c r="N710" s="4"/>
      <c r="O710" s="4"/>
      <c r="P710" s="4"/>
      <c r="Q710" s="4"/>
      <c r="R710" s="4"/>
      <c r="S710" s="4"/>
      <c r="T710" s="4"/>
      <c r="V710" s="132"/>
      <c r="W710" s="133"/>
      <c r="X710" s="133"/>
      <c r="AC710" s="134"/>
    </row>
    <row r="711" customFormat="false" ht="15.75" hidden="false" customHeight="true" outlineLevel="0" collapsed="false">
      <c r="D711" s="4"/>
      <c r="E711" s="4"/>
      <c r="F711" s="130"/>
      <c r="G711" s="7"/>
      <c r="H711" s="4"/>
      <c r="I711" s="9"/>
      <c r="J711" s="9"/>
      <c r="K711" s="9"/>
      <c r="L711" s="9"/>
      <c r="M711" s="9"/>
      <c r="N711" s="4"/>
      <c r="O711" s="4"/>
      <c r="P711" s="4"/>
      <c r="Q711" s="4"/>
      <c r="R711" s="4"/>
      <c r="S711" s="4"/>
      <c r="T711" s="4"/>
      <c r="V711" s="132"/>
      <c r="W711" s="133"/>
      <c r="X711" s="133"/>
      <c r="AC711" s="134"/>
    </row>
    <row r="712" customFormat="false" ht="15.75" hidden="false" customHeight="true" outlineLevel="0" collapsed="false">
      <c r="D712" s="4"/>
      <c r="E712" s="4"/>
      <c r="F712" s="130"/>
      <c r="G712" s="7"/>
      <c r="H712" s="4"/>
      <c r="I712" s="9"/>
      <c r="J712" s="9"/>
      <c r="K712" s="9"/>
      <c r="L712" s="9"/>
      <c r="M712" s="9"/>
      <c r="N712" s="4"/>
      <c r="O712" s="4"/>
      <c r="P712" s="4"/>
      <c r="Q712" s="4"/>
      <c r="R712" s="4"/>
      <c r="S712" s="4"/>
      <c r="T712" s="4"/>
      <c r="V712" s="132"/>
      <c r="W712" s="133"/>
      <c r="X712" s="133"/>
      <c r="AC712" s="134"/>
    </row>
    <row r="713" customFormat="false" ht="15.75" hidden="false" customHeight="true" outlineLevel="0" collapsed="false">
      <c r="D713" s="4"/>
      <c r="E713" s="4"/>
      <c r="F713" s="130"/>
      <c r="G713" s="7"/>
      <c r="H713" s="4"/>
      <c r="I713" s="9"/>
      <c r="J713" s="9"/>
      <c r="K713" s="9"/>
      <c r="L713" s="9"/>
      <c r="M713" s="9"/>
      <c r="N713" s="4"/>
      <c r="O713" s="4"/>
      <c r="P713" s="4"/>
      <c r="Q713" s="4"/>
      <c r="R713" s="4"/>
      <c r="S713" s="4"/>
      <c r="T713" s="4"/>
      <c r="V713" s="132"/>
      <c r="W713" s="133"/>
      <c r="X713" s="133"/>
      <c r="AC713" s="134"/>
    </row>
    <row r="714" customFormat="false" ht="15.75" hidden="false" customHeight="true" outlineLevel="0" collapsed="false">
      <c r="D714" s="4"/>
      <c r="E714" s="4"/>
      <c r="F714" s="130"/>
      <c r="G714" s="7"/>
      <c r="H714" s="4"/>
      <c r="I714" s="9"/>
      <c r="J714" s="9"/>
      <c r="K714" s="9"/>
      <c r="L714" s="9"/>
      <c r="M714" s="9"/>
      <c r="N714" s="4"/>
      <c r="O714" s="4"/>
      <c r="P714" s="4"/>
      <c r="Q714" s="4"/>
      <c r="R714" s="4"/>
      <c r="S714" s="4"/>
      <c r="T714" s="4"/>
      <c r="V714" s="132"/>
      <c r="W714" s="133"/>
      <c r="X714" s="133"/>
      <c r="AC714" s="134"/>
    </row>
    <row r="715" customFormat="false" ht="15.75" hidden="false" customHeight="true" outlineLevel="0" collapsed="false">
      <c r="D715" s="4"/>
      <c r="E715" s="4"/>
      <c r="F715" s="130"/>
      <c r="G715" s="7"/>
      <c r="H715" s="4"/>
      <c r="I715" s="9"/>
      <c r="J715" s="9"/>
      <c r="K715" s="9"/>
      <c r="L715" s="9"/>
      <c r="M715" s="9"/>
      <c r="N715" s="4"/>
      <c r="O715" s="4"/>
      <c r="P715" s="4"/>
      <c r="Q715" s="4"/>
      <c r="R715" s="4"/>
      <c r="S715" s="4"/>
      <c r="T715" s="4"/>
      <c r="V715" s="132"/>
      <c r="W715" s="133"/>
      <c r="X715" s="133"/>
      <c r="AC715" s="134"/>
    </row>
    <row r="716" customFormat="false" ht="15.75" hidden="false" customHeight="true" outlineLevel="0" collapsed="false">
      <c r="D716" s="4"/>
      <c r="E716" s="4"/>
      <c r="F716" s="130"/>
      <c r="G716" s="7"/>
      <c r="H716" s="4"/>
      <c r="I716" s="9"/>
      <c r="J716" s="9"/>
      <c r="K716" s="9"/>
      <c r="L716" s="9"/>
      <c r="M716" s="9"/>
      <c r="N716" s="4"/>
      <c r="O716" s="4"/>
      <c r="P716" s="4"/>
      <c r="Q716" s="4"/>
      <c r="R716" s="4"/>
      <c r="S716" s="4"/>
      <c r="T716" s="4"/>
      <c r="V716" s="132"/>
      <c r="W716" s="133"/>
      <c r="X716" s="133"/>
      <c r="AC716" s="134"/>
    </row>
    <row r="717" customFormat="false" ht="15.75" hidden="false" customHeight="true" outlineLevel="0" collapsed="false">
      <c r="D717" s="4"/>
      <c r="E717" s="4"/>
      <c r="F717" s="130"/>
      <c r="G717" s="7"/>
      <c r="H717" s="4"/>
      <c r="I717" s="9"/>
      <c r="J717" s="9"/>
      <c r="K717" s="9"/>
      <c r="L717" s="9"/>
      <c r="M717" s="9"/>
      <c r="N717" s="4"/>
      <c r="O717" s="4"/>
      <c r="P717" s="4"/>
      <c r="Q717" s="4"/>
      <c r="R717" s="4"/>
      <c r="S717" s="4"/>
      <c r="T717" s="4"/>
      <c r="V717" s="132"/>
      <c r="W717" s="133"/>
      <c r="X717" s="133"/>
      <c r="AC717" s="134"/>
    </row>
    <row r="718" customFormat="false" ht="15.75" hidden="false" customHeight="true" outlineLevel="0" collapsed="false">
      <c r="D718" s="4"/>
      <c r="E718" s="4"/>
      <c r="F718" s="130"/>
      <c r="G718" s="7"/>
      <c r="H718" s="4"/>
      <c r="I718" s="9"/>
      <c r="J718" s="9"/>
      <c r="K718" s="9"/>
      <c r="L718" s="9"/>
      <c r="M718" s="9"/>
      <c r="N718" s="4"/>
      <c r="O718" s="4"/>
      <c r="P718" s="4"/>
      <c r="Q718" s="4"/>
      <c r="R718" s="4"/>
      <c r="S718" s="4"/>
      <c r="T718" s="4"/>
      <c r="V718" s="132"/>
      <c r="W718" s="133"/>
      <c r="X718" s="133"/>
      <c r="AC718" s="134"/>
    </row>
    <row r="719" customFormat="false" ht="15.75" hidden="false" customHeight="true" outlineLevel="0" collapsed="false">
      <c r="D719" s="4"/>
      <c r="E719" s="4"/>
      <c r="F719" s="130"/>
      <c r="G719" s="7"/>
      <c r="H719" s="4"/>
      <c r="I719" s="9"/>
      <c r="J719" s="9"/>
      <c r="K719" s="9"/>
      <c r="L719" s="9"/>
      <c r="M719" s="9"/>
      <c r="N719" s="4"/>
      <c r="O719" s="4"/>
      <c r="P719" s="4"/>
      <c r="Q719" s="4"/>
      <c r="R719" s="4"/>
      <c r="S719" s="4"/>
      <c r="T719" s="4"/>
      <c r="V719" s="132"/>
      <c r="W719" s="133"/>
      <c r="X719" s="133"/>
      <c r="AC719" s="134"/>
    </row>
    <row r="720" customFormat="false" ht="15.75" hidden="false" customHeight="true" outlineLevel="0" collapsed="false">
      <c r="D720" s="4"/>
      <c r="E720" s="4"/>
      <c r="F720" s="130"/>
      <c r="G720" s="7"/>
      <c r="H720" s="4"/>
      <c r="I720" s="9"/>
      <c r="J720" s="9"/>
      <c r="K720" s="9"/>
      <c r="L720" s="9"/>
      <c r="M720" s="9"/>
      <c r="N720" s="4"/>
      <c r="O720" s="4"/>
      <c r="P720" s="4"/>
      <c r="Q720" s="4"/>
      <c r="R720" s="4"/>
      <c r="S720" s="4"/>
      <c r="T720" s="4"/>
      <c r="V720" s="132"/>
      <c r="W720" s="133"/>
      <c r="X720" s="133"/>
      <c r="AC720" s="134"/>
    </row>
    <row r="721" customFormat="false" ht="15.75" hidden="false" customHeight="true" outlineLevel="0" collapsed="false">
      <c r="D721" s="4"/>
      <c r="E721" s="4"/>
      <c r="F721" s="130"/>
      <c r="G721" s="7"/>
      <c r="H721" s="4"/>
      <c r="I721" s="9"/>
      <c r="J721" s="9"/>
      <c r="K721" s="9"/>
      <c r="L721" s="9"/>
      <c r="M721" s="9"/>
      <c r="N721" s="4"/>
      <c r="O721" s="4"/>
      <c r="P721" s="4"/>
      <c r="Q721" s="4"/>
      <c r="R721" s="4"/>
      <c r="S721" s="4"/>
      <c r="T721" s="4"/>
      <c r="V721" s="132"/>
      <c r="W721" s="133"/>
      <c r="X721" s="133"/>
      <c r="AC721" s="134"/>
    </row>
    <row r="722" customFormat="false" ht="15.75" hidden="false" customHeight="true" outlineLevel="0" collapsed="false">
      <c r="D722" s="4"/>
      <c r="E722" s="4"/>
      <c r="F722" s="130"/>
      <c r="G722" s="7"/>
      <c r="H722" s="4"/>
      <c r="I722" s="9"/>
      <c r="J722" s="9"/>
      <c r="K722" s="9"/>
      <c r="L722" s="9"/>
      <c r="M722" s="9"/>
      <c r="N722" s="4"/>
      <c r="O722" s="4"/>
      <c r="P722" s="4"/>
      <c r="Q722" s="4"/>
      <c r="R722" s="4"/>
      <c r="S722" s="4"/>
      <c r="T722" s="4"/>
      <c r="V722" s="132"/>
      <c r="W722" s="133"/>
      <c r="X722" s="133"/>
      <c r="AC722" s="134"/>
    </row>
    <row r="723" customFormat="false" ht="15.75" hidden="false" customHeight="true" outlineLevel="0" collapsed="false">
      <c r="D723" s="4"/>
      <c r="E723" s="4"/>
      <c r="F723" s="130"/>
      <c r="G723" s="7"/>
      <c r="H723" s="4"/>
      <c r="I723" s="9"/>
      <c r="J723" s="9"/>
      <c r="K723" s="9"/>
      <c r="L723" s="9"/>
      <c r="M723" s="9"/>
      <c r="N723" s="4"/>
      <c r="O723" s="4"/>
      <c r="P723" s="4"/>
      <c r="Q723" s="4"/>
      <c r="R723" s="4"/>
      <c r="S723" s="4"/>
      <c r="T723" s="4"/>
      <c r="V723" s="132"/>
      <c r="W723" s="133"/>
      <c r="X723" s="133"/>
      <c r="AC723" s="134"/>
    </row>
    <row r="724" customFormat="false" ht="15.75" hidden="false" customHeight="true" outlineLevel="0" collapsed="false">
      <c r="D724" s="4"/>
      <c r="E724" s="4"/>
      <c r="F724" s="130"/>
      <c r="G724" s="7"/>
      <c r="H724" s="4"/>
      <c r="I724" s="9"/>
      <c r="J724" s="9"/>
      <c r="K724" s="9"/>
      <c r="L724" s="9"/>
      <c r="M724" s="9"/>
      <c r="N724" s="4"/>
      <c r="O724" s="4"/>
      <c r="P724" s="4"/>
      <c r="Q724" s="4"/>
      <c r="R724" s="4"/>
      <c r="S724" s="4"/>
      <c r="T724" s="4"/>
      <c r="V724" s="132"/>
      <c r="W724" s="133"/>
      <c r="X724" s="133"/>
      <c r="AC724" s="134"/>
    </row>
    <row r="725" customFormat="false" ht="15.75" hidden="false" customHeight="true" outlineLevel="0" collapsed="false">
      <c r="D725" s="4"/>
      <c r="E725" s="4"/>
      <c r="F725" s="130"/>
      <c r="G725" s="7"/>
      <c r="H725" s="4"/>
      <c r="I725" s="9"/>
      <c r="J725" s="9"/>
      <c r="K725" s="9"/>
      <c r="L725" s="9"/>
      <c r="M725" s="9"/>
      <c r="N725" s="4"/>
      <c r="O725" s="4"/>
      <c r="P725" s="4"/>
      <c r="Q725" s="4"/>
      <c r="R725" s="4"/>
      <c r="S725" s="4"/>
      <c r="T725" s="4"/>
      <c r="V725" s="132"/>
      <c r="W725" s="133"/>
      <c r="X725" s="133"/>
      <c r="AC725" s="134"/>
    </row>
    <row r="726" customFormat="false" ht="15.75" hidden="false" customHeight="true" outlineLevel="0" collapsed="false">
      <c r="D726" s="4"/>
      <c r="E726" s="4"/>
      <c r="F726" s="130"/>
      <c r="G726" s="7"/>
      <c r="H726" s="4"/>
      <c r="I726" s="9"/>
      <c r="J726" s="9"/>
      <c r="K726" s="9"/>
      <c r="L726" s="9"/>
      <c r="M726" s="9"/>
      <c r="N726" s="4"/>
      <c r="O726" s="4"/>
      <c r="P726" s="4"/>
      <c r="Q726" s="4"/>
      <c r="R726" s="4"/>
      <c r="S726" s="4"/>
      <c r="T726" s="4"/>
      <c r="V726" s="132"/>
      <c r="W726" s="133"/>
      <c r="X726" s="133"/>
      <c r="AC726" s="134"/>
    </row>
    <row r="727" customFormat="false" ht="15.75" hidden="false" customHeight="true" outlineLevel="0" collapsed="false">
      <c r="D727" s="4"/>
      <c r="E727" s="4"/>
      <c r="F727" s="130"/>
      <c r="G727" s="7"/>
      <c r="H727" s="4"/>
      <c r="I727" s="9"/>
      <c r="J727" s="9"/>
      <c r="K727" s="9"/>
      <c r="L727" s="9"/>
      <c r="M727" s="9"/>
      <c r="N727" s="4"/>
      <c r="O727" s="4"/>
      <c r="P727" s="4"/>
      <c r="Q727" s="4"/>
      <c r="R727" s="4"/>
      <c r="S727" s="4"/>
      <c r="T727" s="4"/>
      <c r="V727" s="132"/>
      <c r="W727" s="133"/>
      <c r="X727" s="133"/>
      <c r="AC727" s="134"/>
    </row>
    <row r="728" customFormat="false" ht="15.75" hidden="false" customHeight="true" outlineLevel="0" collapsed="false">
      <c r="D728" s="4"/>
      <c r="E728" s="4"/>
      <c r="F728" s="130"/>
      <c r="G728" s="7"/>
      <c r="H728" s="4"/>
      <c r="I728" s="9"/>
      <c r="J728" s="9"/>
      <c r="K728" s="9"/>
      <c r="L728" s="9"/>
      <c r="M728" s="9"/>
      <c r="N728" s="4"/>
      <c r="O728" s="4"/>
      <c r="P728" s="4"/>
      <c r="Q728" s="4"/>
      <c r="R728" s="4"/>
      <c r="S728" s="4"/>
      <c r="T728" s="4"/>
      <c r="V728" s="132"/>
      <c r="W728" s="133"/>
      <c r="X728" s="133"/>
      <c r="AC728" s="134"/>
    </row>
    <row r="729" customFormat="false" ht="15.75" hidden="false" customHeight="true" outlineLevel="0" collapsed="false">
      <c r="D729" s="4"/>
      <c r="E729" s="4"/>
      <c r="F729" s="130"/>
      <c r="G729" s="7"/>
      <c r="H729" s="4"/>
      <c r="I729" s="9"/>
      <c r="J729" s="9"/>
      <c r="K729" s="9"/>
      <c r="L729" s="9"/>
      <c r="M729" s="9"/>
      <c r="N729" s="4"/>
      <c r="O729" s="4"/>
      <c r="P729" s="4"/>
      <c r="Q729" s="4"/>
      <c r="R729" s="4"/>
      <c r="S729" s="4"/>
      <c r="T729" s="4"/>
      <c r="V729" s="132"/>
      <c r="W729" s="133"/>
      <c r="X729" s="133"/>
      <c r="AC729" s="134"/>
    </row>
    <row r="730" customFormat="false" ht="15.75" hidden="false" customHeight="true" outlineLevel="0" collapsed="false">
      <c r="D730" s="4"/>
      <c r="E730" s="4"/>
      <c r="F730" s="130"/>
      <c r="G730" s="7"/>
      <c r="H730" s="4"/>
      <c r="I730" s="9"/>
      <c r="J730" s="9"/>
      <c r="K730" s="9"/>
      <c r="L730" s="9"/>
      <c r="M730" s="9"/>
      <c r="N730" s="4"/>
      <c r="O730" s="4"/>
      <c r="P730" s="4"/>
      <c r="Q730" s="4"/>
      <c r="R730" s="4"/>
      <c r="S730" s="4"/>
      <c r="T730" s="4"/>
      <c r="V730" s="132"/>
      <c r="W730" s="133"/>
      <c r="X730" s="133"/>
      <c r="AC730" s="134"/>
    </row>
    <row r="731" customFormat="false" ht="15.75" hidden="false" customHeight="true" outlineLevel="0" collapsed="false">
      <c r="D731" s="4"/>
      <c r="E731" s="4"/>
      <c r="F731" s="130"/>
      <c r="G731" s="7"/>
      <c r="H731" s="4"/>
      <c r="I731" s="9"/>
      <c r="J731" s="9"/>
      <c r="K731" s="9"/>
      <c r="L731" s="9"/>
      <c r="M731" s="9"/>
      <c r="N731" s="4"/>
      <c r="O731" s="4"/>
      <c r="P731" s="4"/>
      <c r="Q731" s="4"/>
      <c r="R731" s="4"/>
      <c r="S731" s="4"/>
      <c r="T731" s="4"/>
      <c r="V731" s="132"/>
      <c r="W731" s="133"/>
      <c r="X731" s="133"/>
      <c r="AC731" s="134"/>
    </row>
    <row r="732" customFormat="false" ht="15.75" hidden="false" customHeight="true" outlineLevel="0" collapsed="false">
      <c r="D732" s="4"/>
      <c r="E732" s="4"/>
      <c r="F732" s="130"/>
      <c r="G732" s="7"/>
      <c r="H732" s="4"/>
      <c r="I732" s="9"/>
      <c r="J732" s="9"/>
      <c r="K732" s="9"/>
      <c r="L732" s="9"/>
      <c r="M732" s="9"/>
      <c r="N732" s="4"/>
      <c r="O732" s="4"/>
      <c r="P732" s="4"/>
      <c r="Q732" s="4"/>
      <c r="R732" s="4"/>
      <c r="S732" s="4"/>
      <c r="T732" s="4"/>
      <c r="V732" s="132"/>
      <c r="W732" s="133"/>
      <c r="X732" s="133"/>
      <c r="AC732" s="134"/>
    </row>
    <row r="733" customFormat="false" ht="15.75" hidden="false" customHeight="true" outlineLevel="0" collapsed="false">
      <c r="D733" s="4"/>
      <c r="E733" s="4"/>
      <c r="F733" s="130"/>
      <c r="G733" s="7"/>
      <c r="H733" s="4"/>
      <c r="I733" s="9"/>
      <c r="J733" s="9"/>
      <c r="K733" s="9"/>
      <c r="L733" s="9"/>
      <c r="M733" s="9"/>
      <c r="N733" s="4"/>
      <c r="O733" s="4"/>
      <c r="P733" s="4"/>
      <c r="Q733" s="4"/>
      <c r="R733" s="4"/>
      <c r="S733" s="4"/>
      <c r="T733" s="4"/>
      <c r="V733" s="132"/>
      <c r="W733" s="133"/>
      <c r="X733" s="133"/>
      <c r="AC733" s="134"/>
    </row>
    <row r="734" customFormat="false" ht="15.75" hidden="false" customHeight="true" outlineLevel="0" collapsed="false">
      <c r="D734" s="4"/>
      <c r="E734" s="4"/>
      <c r="F734" s="130"/>
      <c r="G734" s="7"/>
      <c r="H734" s="4"/>
      <c r="I734" s="9"/>
      <c r="J734" s="9"/>
      <c r="K734" s="9"/>
      <c r="L734" s="9"/>
      <c r="M734" s="9"/>
      <c r="N734" s="4"/>
      <c r="O734" s="4"/>
      <c r="P734" s="4"/>
      <c r="Q734" s="4"/>
      <c r="R734" s="4"/>
      <c r="S734" s="4"/>
      <c r="T734" s="4"/>
      <c r="V734" s="132"/>
      <c r="W734" s="133"/>
      <c r="X734" s="133"/>
      <c r="AC734" s="134"/>
    </row>
    <row r="735" customFormat="false" ht="15.75" hidden="false" customHeight="true" outlineLevel="0" collapsed="false">
      <c r="D735" s="4"/>
      <c r="E735" s="4"/>
      <c r="F735" s="130"/>
      <c r="G735" s="7"/>
      <c r="H735" s="4"/>
      <c r="I735" s="9"/>
      <c r="J735" s="9"/>
      <c r="K735" s="9"/>
      <c r="L735" s="9"/>
      <c r="M735" s="9"/>
      <c r="N735" s="4"/>
      <c r="O735" s="4"/>
      <c r="P735" s="4"/>
      <c r="Q735" s="4"/>
      <c r="R735" s="4"/>
      <c r="S735" s="4"/>
      <c r="T735" s="4"/>
      <c r="V735" s="132"/>
      <c r="W735" s="133"/>
      <c r="X735" s="133"/>
      <c r="AC735" s="134"/>
    </row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3:AJ14"/>
  <mergeCells count="3">
    <mergeCell ref="N3:O3"/>
    <mergeCell ref="P3:Q3"/>
    <mergeCell ref="R3:S3"/>
  </mergeCells>
  <dataValidations count="1">
    <dataValidation allowBlank="true" errorStyle="stop" operator="between" showDropDown="false" showErrorMessage="false" showInputMessage="false" sqref="C4:C13 H4:H13 J4:J13 L4:L13" type="list">
      <formula1>$AG$51:$AG$71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E4" activeCellId="0" sqref="E4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3"/>
    <col collapsed="false" customWidth="true" hidden="false" outlineLevel="0" max="3" min="3" style="1" width="1.25"/>
    <col collapsed="false" customWidth="true" hidden="false" outlineLevel="0" max="4" min="4" style="1" width="1.88"/>
    <col collapsed="false" customWidth="true" hidden="false" outlineLevel="0" max="5" min="5" style="1" width="0.88"/>
    <col collapsed="false" customWidth="true" hidden="false" outlineLevel="0" max="6" min="6" style="1" width="2.12"/>
    <col collapsed="false" customWidth="true" hidden="false" outlineLevel="0" max="7" min="7" style="1" width="2.88"/>
    <col collapsed="false" customWidth="true" hidden="false" outlineLevel="0" max="8" min="8" style="1" width="1.88"/>
    <col collapsed="false" customWidth="true" hidden="false" outlineLevel="0" max="9" min="9" style="1" width="2.12"/>
    <col collapsed="false" customWidth="true" hidden="false" outlineLevel="0" max="10" min="10" style="1" width="1.25"/>
    <col collapsed="false" customWidth="true" hidden="false" outlineLevel="0" max="11" min="11" style="1" width="3.25"/>
    <col collapsed="false" customWidth="true" hidden="false" outlineLevel="0" max="13" min="12" style="1" width="0.38"/>
    <col collapsed="false" customWidth="true" hidden="false" outlineLevel="0" max="15" min="14" style="1" width="1.38"/>
    <col collapsed="false" customWidth="true" hidden="false" outlineLevel="0" max="19" min="16" style="1" width="1"/>
    <col collapsed="false" customWidth="true" hidden="false" outlineLevel="0" max="20" min="20" style="1" width="3.25"/>
    <col collapsed="false" customWidth="true" hidden="false" outlineLevel="0" max="21" min="21" style="1" width="1.88"/>
    <col collapsed="false" customWidth="true" hidden="false" outlineLevel="0" max="23" min="22" style="1" width="1.63"/>
    <col collapsed="false" customWidth="true" hidden="false" outlineLevel="0" max="24" min="24" style="1" width="1.51"/>
    <col collapsed="false" customWidth="true" hidden="false" outlineLevel="0" max="25" min="25" style="1" width="2.12"/>
    <col collapsed="false" customWidth="true" hidden="false" outlineLevel="0" max="26" min="26" style="1" width="2.88"/>
    <col collapsed="false" customWidth="true" hidden="false" outlineLevel="0" max="27" min="27" style="1" width="1.63"/>
    <col collapsed="false" customWidth="true" hidden="false" outlineLevel="0" max="28" min="28" style="1" width="1.75"/>
    <col collapsed="false" customWidth="true" hidden="false" outlineLevel="0" max="30" min="29" style="1" width="1.63"/>
    <col collapsed="false" customWidth="true" hidden="false" outlineLevel="0" max="31" min="31" style="1" width="1.75"/>
    <col collapsed="false" customWidth="true" hidden="false" outlineLevel="0" max="32" min="32" style="1" width="1.63"/>
    <col collapsed="false" customWidth="true" hidden="false" outlineLevel="0" max="34" min="33" style="1" width="1.75"/>
    <col collapsed="false" customWidth="true" hidden="false" outlineLevel="0" max="35" min="35" style="1" width="1.63"/>
  </cols>
  <sheetData>
    <row r="1" customFormat="false" ht="12.75" hidden="false" customHeight="true" outlineLevel="0" collapsed="false">
      <c r="A1" s="135"/>
      <c r="B1" s="20"/>
      <c r="C1" s="20"/>
      <c r="D1" s="20"/>
      <c r="E1" s="20"/>
      <c r="F1" s="136" t="s">
        <v>88</v>
      </c>
      <c r="G1" s="20"/>
      <c r="H1" s="20"/>
      <c r="I1" s="20"/>
      <c r="J1" s="20"/>
      <c r="K1" s="137" t="s">
        <v>1</v>
      </c>
      <c r="L1" s="138"/>
      <c r="M1" s="138"/>
      <c r="N1" s="138"/>
      <c r="O1" s="139" t="s">
        <v>2</v>
      </c>
      <c r="P1" s="139"/>
      <c r="Q1" s="140"/>
      <c r="R1" s="140"/>
      <c r="S1" s="140"/>
      <c r="T1" s="20"/>
      <c r="U1" s="141"/>
      <c r="V1" s="141"/>
      <c r="W1" s="20"/>
      <c r="X1" s="20"/>
      <c r="Y1" s="135"/>
      <c r="Z1" s="140"/>
      <c r="AA1" s="142"/>
      <c r="AB1" s="142"/>
      <c r="AC1" s="142"/>
      <c r="AD1" s="142"/>
      <c r="AE1" s="142"/>
      <c r="AF1" s="142"/>
      <c r="AG1" s="142"/>
      <c r="AH1" s="142"/>
      <c r="AI1" s="142"/>
    </row>
    <row r="2" customFormat="false" ht="13.5" hidden="false" customHeight="true" outlineLevel="0" collapsed="false">
      <c r="A2" s="136"/>
      <c r="B2" s="20"/>
      <c r="C2" s="20"/>
      <c r="D2" s="20"/>
      <c r="E2" s="20"/>
      <c r="F2" s="136"/>
      <c r="G2" s="20"/>
      <c r="H2" s="20"/>
      <c r="I2" s="20"/>
      <c r="J2" s="20"/>
      <c r="K2" s="140"/>
      <c r="L2" s="140"/>
      <c r="M2" s="140"/>
      <c r="N2" s="140"/>
      <c r="O2" s="140"/>
      <c r="P2" s="140"/>
      <c r="Q2" s="140"/>
      <c r="R2" s="140"/>
      <c r="S2" s="140"/>
      <c r="T2" s="143" t="s">
        <v>89</v>
      </c>
      <c r="U2" s="141"/>
      <c r="V2" s="141"/>
      <c r="W2" s="20"/>
      <c r="X2" s="20"/>
      <c r="Y2" s="136"/>
      <c r="Z2" s="140"/>
      <c r="AA2" s="20"/>
      <c r="AB2" s="20"/>
      <c r="AC2" s="20"/>
      <c r="AD2" s="20"/>
      <c r="AE2" s="20"/>
      <c r="AF2" s="20"/>
      <c r="AG2" s="20"/>
      <c r="AH2" s="20"/>
      <c r="AI2" s="20"/>
    </row>
    <row r="3" customFormat="false" ht="28.5" hidden="false" customHeight="true" outlineLevel="0" collapsed="false">
      <c r="A3" s="144" t="s">
        <v>5</v>
      </c>
      <c r="B3" s="145" t="s">
        <v>6</v>
      </c>
      <c r="C3" s="144" t="s">
        <v>7</v>
      </c>
      <c r="D3" s="144" t="s">
        <v>8</v>
      </c>
      <c r="E3" s="144" t="s">
        <v>9</v>
      </c>
      <c r="F3" s="146" t="s">
        <v>90</v>
      </c>
      <c r="G3" s="144" t="s">
        <v>11</v>
      </c>
      <c r="H3" s="144" t="s">
        <v>12</v>
      </c>
      <c r="I3" s="144" t="s">
        <v>13</v>
      </c>
      <c r="J3" s="144" t="s">
        <v>14</v>
      </c>
      <c r="K3" s="144" t="s">
        <v>13</v>
      </c>
      <c r="L3" s="144" t="s">
        <v>91</v>
      </c>
      <c r="M3" s="144" t="s">
        <v>13</v>
      </c>
      <c r="N3" s="144" t="s">
        <v>16</v>
      </c>
      <c r="O3" s="144"/>
      <c r="P3" s="144" t="s">
        <v>17</v>
      </c>
      <c r="Q3" s="144"/>
      <c r="R3" s="144" t="s">
        <v>18</v>
      </c>
      <c r="S3" s="144"/>
      <c r="T3" s="144" t="s">
        <v>19</v>
      </c>
      <c r="U3" s="147" t="s">
        <v>20</v>
      </c>
      <c r="V3" s="147" t="s">
        <v>21</v>
      </c>
      <c r="W3" s="144" t="s">
        <v>22</v>
      </c>
      <c r="X3" s="144" t="s">
        <v>92</v>
      </c>
      <c r="Y3" s="144" t="s">
        <v>5</v>
      </c>
      <c r="Z3" s="148" t="s">
        <v>93</v>
      </c>
      <c r="AA3" s="149" t="s">
        <v>94</v>
      </c>
      <c r="AB3" s="149" t="s">
        <v>94</v>
      </c>
      <c r="AC3" s="149" t="s">
        <v>94</v>
      </c>
      <c r="AD3" s="149" t="s">
        <v>94</v>
      </c>
      <c r="AE3" s="149" t="s">
        <v>94</v>
      </c>
      <c r="AF3" s="149" t="s">
        <v>94</v>
      </c>
      <c r="AG3" s="149" t="s">
        <v>94</v>
      </c>
      <c r="AH3" s="144" t="s">
        <v>95</v>
      </c>
      <c r="AI3" s="150" t="s">
        <v>96</v>
      </c>
    </row>
    <row r="4" customFormat="false" ht="12.75" hidden="false" customHeight="true" outlineLevel="0" collapsed="false">
      <c r="A4" s="151" t="s">
        <v>97</v>
      </c>
      <c r="B4" s="151" t="n">
        <v>1</v>
      </c>
      <c r="C4" s="152" t="s">
        <v>27</v>
      </c>
      <c r="D4" s="152" t="s">
        <v>98</v>
      </c>
      <c r="E4" s="152" t="s">
        <v>99</v>
      </c>
      <c r="F4" s="151" t="s">
        <v>97</v>
      </c>
      <c r="G4" s="153" t="s">
        <v>100</v>
      </c>
      <c r="H4" s="152" t="s">
        <v>101</v>
      </c>
      <c r="I4" s="152" t="s">
        <v>102</v>
      </c>
      <c r="J4" s="153"/>
      <c r="K4" s="153"/>
      <c r="L4" s="153"/>
      <c r="M4" s="153"/>
      <c r="N4" s="154" t="n">
        <v>45045</v>
      </c>
      <c r="O4" s="151" t="s">
        <v>32</v>
      </c>
      <c r="P4" s="155"/>
      <c r="Q4" s="155"/>
      <c r="R4" s="154"/>
      <c r="S4" s="154"/>
      <c r="T4" s="156"/>
      <c r="U4" s="157"/>
      <c r="V4" s="157"/>
      <c r="W4" s="158" t="s">
        <v>103</v>
      </c>
      <c r="X4" s="153"/>
      <c r="Y4" s="151" t="s">
        <v>97</v>
      </c>
      <c r="Z4" s="159" t="s">
        <v>104</v>
      </c>
      <c r="AA4" s="160" t="str">
        <f aca="false">VLOOKUP(Y4,20230302Data!A:K,2,FALSE())</f>
        <v>幼 ゆり</v>
      </c>
      <c r="AB4" s="160" t="str">
        <f aca="false">VLOOKUP(Y4,20230302Data!A:K,3,FALSE())</f>
        <v>高瀬 瑛太</v>
      </c>
      <c r="AC4" s="161" t="str">
        <f aca="false">VLOOKUP(Y4,20230302Data!A:K,4,FALSE())</f>
        <v>良平</v>
      </c>
      <c r="AD4" s="161" t="str">
        <f aca="false">VLOOKUP(Y4,20230302Data!A:K,6,FALSE())</f>
        <v>小3－1</v>
      </c>
      <c r="AE4" s="161" t="str">
        <f aca="false">VLOOKUP(Y4,20230302Data!A:K,7,FALSE())</f>
        <v>高瀬 翔太</v>
      </c>
      <c r="AF4" s="161" t="n">
        <f aca="false">VLOOKUP(Y4,20230302Data!A:K,8,FALSE())</f>
        <v>0</v>
      </c>
      <c r="AG4" s="161" t="n">
        <f aca="false">VLOOKUP(Y4,20230302Data!A:K,9,FALSE())</f>
        <v>0</v>
      </c>
      <c r="AH4" s="161" t="str">
        <f aca="false">SUBSTITUTE(SUBSTITUTE(SUBSTITUTE(Y4,"-",""),"(",""),")","")</f>
        <v>4782289270</v>
      </c>
      <c r="AI4" s="161" t="str">
        <f aca="false">IFERROR(VLOOKUP(AH4,#REF!,3,FALSE()),"")</f>
        <v/>
      </c>
    </row>
    <row r="5" customFormat="false" ht="12.75" hidden="false" customHeight="true" outlineLevel="0" collapsed="false">
      <c r="A5" s="162" t="s">
        <v>105</v>
      </c>
      <c r="B5" s="162" t="n">
        <v>2</v>
      </c>
      <c r="C5" s="163" t="s">
        <v>27</v>
      </c>
      <c r="D5" s="163" t="s">
        <v>106</v>
      </c>
      <c r="E5" s="163" t="s">
        <v>107</v>
      </c>
      <c r="F5" s="162" t="s">
        <v>105</v>
      </c>
      <c r="G5" s="116" t="s">
        <v>108</v>
      </c>
      <c r="H5" s="116"/>
      <c r="I5" s="116"/>
      <c r="J5" s="116"/>
      <c r="K5" s="116"/>
      <c r="L5" s="116"/>
      <c r="M5" s="116"/>
      <c r="N5" s="164"/>
      <c r="O5" s="164"/>
      <c r="P5" s="164"/>
      <c r="Q5" s="164"/>
      <c r="R5" s="164" t="n">
        <v>45038</v>
      </c>
      <c r="S5" s="162" t="s">
        <v>67</v>
      </c>
      <c r="T5" s="165"/>
      <c r="U5" s="166"/>
      <c r="V5" s="166" t="n">
        <v>45094</v>
      </c>
      <c r="W5" s="116"/>
      <c r="X5" s="116"/>
      <c r="Y5" s="162" t="s">
        <v>105</v>
      </c>
      <c r="Z5" s="167" t="s">
        <v>109</v>
      </c>
      <c r="AA5" s="168" t="str">
        <f aca="false">VLOOKUP(Y5,20230302Data!A:K,2,FALSE())</f>
        <v>幼 ゆり</v>
      </c>
      <c r="AB5" s="168" t="str">
        <f aca="false">VLOOKUP(Y5,20230302Data!A:K,3,FALSE())</f>
        <v>清水 悠羽</v>
      </c>
      <c r="AC5" s="169" t="str">
        <f aca="false">VLOOKUP(Y5,20230302Data!A:K,4,FALSE())</f>
        <v>純雄</v>
      </c>
      <c r="AD5" s="169" t="n">
        <f aca="false">VLOOKUP(Y5,20230302Data!A:K,6,FALSE())</f>
        <v>0</v>
      </c>
      <c r="AE5" s="169" t="n">
        <f aca="false">VLOOKUP(Y5,20230302Data!A:K,7,FALSE())</f>
        <v>0</v>
      </c>
      <c r="AF5" s="169" t="n">
        <f aca="false">VLOOKUP(Y5,20230302Data!A:K,8,FALSE())</f>
        <v>0</v>
      </c>
      <c r="AG5" s="169" t="n">
        <f aca="false">VLOOKUP(Y5,20230302Data!A:K,9,FALSE())</f>
        <v>0</v>
      </c>
      <c r="AH5" s="169" t="str">
        <f aca="false">SUBSTITUTE(SUBSTITUTE(SUBSTITUTE(Y5,"-",""),"(",""),")","")</f>
        <v>4242019432</v>
      </c>
      <c r="AI5" s="169" t="str">
        <f aca="false">IFERROR(VLOOKUP(AH5,#REF!,3,FALSE()),"")</f>
        <v/>
      </c>
    </row>
    <row r="6" customFormat="false" ht="12.75" hidden="false" customHeight="true" outlineLevel="0" collapsed="false">
      <c r="A6" s="170" t="s">
        <v>110</v>
      </c>
      <c r="B6" s="171" t="n">
        <v>3</v>
      </c>
      <c r="C6" s="171" t="s">
        <v>27</v>
      </c>
      <c r="D6" s="171" t="s">
        <v>111</v>
      </c>
      <c r="E6" s="171" t="s">
        <v>112</v>
      </c>
      <c r="F6" s="170" t="s">
        <v>110</v>
      </c>
      <c r="G6" s="111" t="s">
        <v>113</v>
      </c>
      <c r="H6" s="171" t="s">
        <v>114</v>
      </c>
      <c r="I6" s="171" t="s">
        <v>115</v>
      </c>
      <c r="J6" s="111"/>
      <c r="K6" s="111"/>
      <c r="L6" s="111"/>
      <c r="M6" s="111"/>
      <c r="N6" s="172"/>
      <c r="O6" s="171"/>
      <c r="P6" s="172"/>
      <c r="Q6" s="172"/>
      <c r="R6" s="172"/>
      <c r="S6" s="171"/>
      <c r="T6" s="173"/>
      <c r="U6" s="174"/>
      <c r="V6" s="174"/>
      <c r="W6" s="171" t="s">
        <v>33</v>
      </c>
      <c r="X6" s="111"/>
      <c r="Y6" s="170" t="s">
        <v>110</v>
      </c>
      <c r="Z6" s="175" t="s">
        <v>113</v>
      </c>
      <c r="AA6" s="175" t="str">
        <f aca="false">VLOOKUP(Y6,20230302Data!A:K,2,FALSE())</f>
        <v>幼 ゆり</v>
      </c>
      <c r="AB6" s="175" t="str">
        <f aca="false">VLOOKUP(Y6,20230302Data!A:K,3,FALSE())</f>
        <v>津田 悠真</v>
      </c>
      <c r="AC6" s="176" t="str">
        <f aca="false">VLOOKUP(Y6,20230302Data!A:K,4,FALSE())</f>
        <v>真矢</v>
      </c>
      <c r="AD6" s="176" t="str">
        <f aca="false">VLOOKUP(Y6,20230302Data!A:K,6,FALSE())</f>
        <v>小2－2</v>
      </c>
      <c r="AE6" s="176" t="str">
        <f aca="false">VLOOKUP(Y6,20230302Data!A:K,7,FALSE())</f>
        <v>津田 真咲</v>
      </c>
      <c r="AF6" s="176" t="n">
        <f aca="false">VLOOKUP(Y6,20230302Data!A:K,8,FALSE())</f>
        <v>0</v>
      </c>
      <c r="AG6" s="176" t="n">
        <f aca="false">VLOOKUP(Y6,20230302Data!A:K,9,FALSE())</f>
        <v>0</v>
      </c>
      <c r="AH6" s="176" t="str">
        <f aca="false">SUBSTITUTE(SUBSTITUTE(SUBSTITUTE(Y6,"-",""),"(",""),")","")</f>
        <v>6783081514</v>
      </c>
      <c r="AI6" s="176" t="str">
        <f aca="false">IFERROR(VLOOKUP(AH6,#REF!,3,FALSE()),"")</f>
        <v/>
      </c>
    </row>
    <row r="7" customFormat="false" ht="12.75" hidden="false" customHeight="true" outlineLevel="0" collapsed="false">
      <c r="A7" s="162" t="s">
        <v>116</v>
      </c>
      <c r="B7" s="163" t="n">
        <v>4</v>
      </c>
      <c r="C7" s="163" t="s">
        <v>27</v>
      </c>
      <c r="D7" s="163" t="s">
        <v>117</v>
      </c>
      <c r="E7" s="163" t="s">
        <v>118</v>
      </c>
      <c r="F7" s="162" t="s">
        <v>116</v>
      </c>
      <c r="G7" s="116" t="s">
        <v>119</v>
      </c>
      <c r="H7" s="163" t="s">
        <v>120</v>
      </c>
      <c r="I7" s="163" t="s">
        <v>121</v>
      </c>
      <c r="J7" s="116"/>
      <c r="K7" s="116"/>
      <c r="L7" s="116"/>
      <c r="M7" s="116"/>
      <c r="N7" s="164" t="n">
        <v>45066</v>
      </c>
      <c r="O7" s="162" t="s">
        <v>49</v>
      </c>
      <c r="P7" s="164"/>
      <c r="Q7" s="164"/>
      <c r="R7" s="164"/>
      <c r="S7" s="163"/>
      <c r="T7" s="165"/>
      <c r="U7" s="166"/>
      <c r="V7" s="166"/>
      <c r="W7" s="116"/>
      <c r="X7" s="116"/>
      <c r="Y7" s="162" t="s">
        <v>116</v>
      </c>
      <c r="Z7" s="167" t="s">
        <v>119</v>
      </c>
      <c r="AA7" s="168" t="str">
        <f aca="false">VLOOKUP(Y7,20230302Data!A:K,2,FALSE())</f>
        <v>幼 ゆり</v>
      </c>
      <c r="AB7" s="168" t="str">
        <f aca="false">VLOOKUP(Y7,20230302Data!A:K,3,FALSE())</f>
        <v>田代 匠</v>
      </c>
      <c r="AC7" s="169" t="str">
        <f aca="false">VLOOKUP(Y7,20230302Data!A:K,4,FALSE())</f>
        <v>悠一郎</v>
      </c>
      <c r="AD7" s="169" t="str">
        <f aca="false">VLOOKUP(Y7,20230302Data!A:K,6,FALSE())</f>
        <v>小4－1</v>
      </c>
      <c r="AE7" s="169" t="str">
        <f aca="false">VLOOKUP(Y7,20230302Data!A:K,7,FALSE())</f>
        <v>田代 実</v>
      </c>
      <c r="AF7" s="169" t="n">
        <f aca="false">VLOOKUP(Y7,20230302Data!A:K,8,FALSE())</f>
        <v>0</v>
      </c>
      <c r="AG7" s="169" t="n">
        <f aca="false">VLOOKUP(Y7,20230302Data!A:K,9,FALSE())</f>
        <v>0</v>
      </c>
      <c r="AH7" s="169" t="str">
        <f aca="false">SUBSTITUTE(SUBSTITUTE(SUBSTITUTE(Y7,"-",""),"(",""),")","")</f>
        <v>6787276990</v>
      </c>
      <c r="AI7" s="169" t="str">
        <f aca="false">IFERROR(VLOOKUP(AH7,#REF!,3,FALSE()),"")</f>
        <v/>
      </c>
    </row>
    <row r="8" customFormat="false" ht="12.75" hidden="false" customHeight="true" outlineLevel="0" collapsed="false">
      <c r="A8" s="162" t="s">
        <v>122</v>
      </c>
      <c r="B8" s="163" t="n">
        <v>5</v>
      </c>
      <c r="C8" s="163" t="s">
        <v>27</v>
      </c>
      <c r="D8" s="163" t="s">
        <v>123</v>
      </c>
      <c r="E8" s="163" t="s">
        <v>124</v>
      </c>
      <c r="F8" s="162" t="s">
        <v>122</v>
      </c>
      <c r="G8" s="116" t="s">
        <v>125</v>
      </c>
      <c r="H8" s="116"/>
      <c r="I8" s="116"/>
      <c r="J8" s="116"/>
      <c r="K8" s="116"/>
      <c r="L8" s="116"/>
      <c r="M8" s="116"/>
      <c r="N8" s="164"/>
      <c r="O8" s="164"/>
      <c r="P8" s="164"/>
      <c r="Q8" s="163"/>
      <c r="R8" s="164" t="n">
        <v>45052</v>
      </c>
      <c r="S8" s="162" t="s">
        <v>126</v>
      </c>
      <c r="T8" s="165"/>
      <c r="U8" s="166"/>
      <c r="V8" s="166"/>
      <c r="W8" s="116"/>
      <c r="X8" s="116"/>
      <c r="Y8" s="162" t="s">
        <v>122</v>
      </c>
      <c r="Z8" s="167" t="s">
        <v>125</v>
      </c>
      <c r="AA8" s="168" t="str">
        <f aca="false">VLOOKUP(Y8,20230302Data!A:K,2,FALSE())</f>
        <v>幼 ゆり</v>
      </c>
      <c r="AB8" s="168" t="str">
        <f aca="false">VLOOKUP(Y8,20230302Data!A:K,3,FALSE())</f>
        <v>船戸 建志</v>
      </c>
      <c r="AC8" s="169" t="str">
        <f aca="false">VLOOKUP(Y8,20230302Data!A:K,4,FALSE())</f>
        <v>洸佑</v>
      </c>
      <c r="AD8" s="169" t="n">
        <f aca="false">VLOOKUP(Y8,20230302Data!A:K,6,FALSE())</f>
        <v>0</v>
      </c>
      <c r="AE8" s="169" t="n">
        <f aca="false">VLOOKUP(Y8,20230302Data!A:K,7,FALSE())</f>
        <v>0</v>
      </c>
      <c r="AF8" s="169" t="n">
        <f aca="false">VLOOKUP(Y8,20230302Data!A:K,8,FALSE())</f>
        <v>0</v>
      </c>
      <c r="AG8" s="169" t="n">
        <f aca="false">VLOOKUP(Y8,20230302Data!A:K,9,FALSE())</f>
        <v>0</v>
      </c>
      <c r="AH8" s="169" t="str">
        <f aca="false">SUBSTITUTE(SUBSTITUTE(SUBSTITUTE(Y8,"-",""),"(",""),")","")</f>
        <v>6463459335</v>
      </c>
      <c r="AI8" s="169" t="str">
        <f aca="false">IFERROR(VLOOKUP(AH8,#REF!,3,FALSE()),"")</f>
        <v/>
      </c>
    </row>
    <row r="9" customFormat="false" ht="12.75" hidden="false" customHeight="true" outlineLevel="0" collapsed="false">
      <c r="A9" s="177" t="s">
        <v>127</v>
      </c>
      <c r="B9" s="177" t="n">
        <v>6</v>
      </c>
      <c r="C9" s="178" t="s">
        <v>27</v>
      </c>
      <c r="D9" s="178" t="s">
        <v>128</v>
      </c>
      <c r="E9" s="178" t="s">
        <v>129</v>
      </c>
      <c r="F9" s="177" t="s">
        <v>127</v>
      </c>
      <c r="G9" s="179" t="s">
        <v>130</v>
      </c>
      <c r="H9" s="178" t="s">
        <v>131</v>
      </c>
      <c r="I9" s="178" t="s">
        <v>132</v>
      </c>
      <c r="J9" s="178"/>
      <c r="K9" s="178"/>
      <c r="L9" s="178"/>
      <c r="M9" s="178"/>
      <c r="N9" s="180"/>
      <c r="O9" s="180"/>
      <c r="P9" s="180"/>
      <c r="Q9" s="180"/>
      <c r="R9" s="155"/>
      <c r="S9" s="155"/>
      <c r="T9" s="181"/>
      <c r="U9" s="182"/>
      <c r="V9" s="182"/>
      <c r="W9" s="178" t="s">
        <v>60</v>
      </c>
      <c r="X9" s="178" t="s">
        <v>133</v>
      </c>
      <c r="Y9" s="177" t="s">
        <v>127</v>
      </c>
      <c r="Z9" s="183" t="s">
        <v>134</v>
      </c>
      <c r="AA9" s="183" t="str">
        <f aca="false">VLOOKUP(Y9,20230302Data!A:K,2,FALSE())</f>
        <v>幼 ゆり</v>
      </c>
      <c r="AB9" s="183" t="str">
        <f aca="false">VLOOKUP(Y9,20230302Data!A:K,3,FALSE())</f>
        <v>渡部 浩市</v>
      </c>
      <c r="AC9" s="184" t="str">
        <f aca="false">VLOOKUP(Y9,20230302Data!A:K,4,FALSE())</f>
        <v>浩</v>
      </c>
      <c r="AD9" s="184" t="str">
        <f aca="false">VLOOKUP(Y9,20230302Data!A:K,6,FALSE())</f>
        <v>小2－1</v>
      </c>
      <c r="AE9" s="184" t="str">
        <f aca="false">VLOOKUP(Y9,20230302Data!A:K,7,FALSE())</f>
        <v>渡部 公太</v>
      </c>
      <c r="AF9" s="184" t="n">
        <f aca="false">VLOOKUP(Y9,20230302Data!A:K,8,FALSE())</f>
        <v>0</v>
      </c>
      <c r="AG9" s="184" t="n">
        <f aca="false">VLOOKUP(Y9,20230302Data!A:K,9,FALSE())</f>
        <v>0</v>
      </c>
      <c r="AH9" s="184" t="str">
        <f aca="false">SUBSTITUTE(SUBSTITUTE(SUBSTITUTE(Y9,"-",""),"(",""),")","")</f>
        <v>2406024877</v>
      </c>
      <c r="AI9" s="184" t="str">
        <f aca="false">IFERROR(VLOOKUP(AH9,#REF!,3,FALSE()),"")</f>
        <v/>
      </c>
    </row>
    <row r="10" customFormat="false" ht="12.75" hidden="false" customHeight="true" outlineLevel="0" collapsed="false">
      <c r="A10" s="185" t="s">
        <v>135</v>
      </c>
      <c r="B10" s="185" t="n">
        <v>7</v>
      </c>
      <c r="C10" s="186" t="s">
        <v>27</v>
      </c>
      <c r="D10" s="186" t="s">
        <v>136</v>
      </c>
      <c r="E10" s="186" t="s">
        <v>137</v>
      </c>
      <c r="F10" s="185" t="s">
        <v>135</v>
      </c>
      <c r="G10" s="187" t="s">
        <v>138</v>
      </c>
      <c r="H10" s="186" t="s">
        <v>131</v>
      </c>
      <c r="I10" s="186" t="s">
        <v>139</v>
      </c>
      <c r="J10" s="186"/>
      <c r="K10" s="186"/>
      <c r="L10" s="186"/>
      <c r="M10" s="186"/>
      <c r="N10" s="155"/>
      <c r="O10" s="155"/>
      <c r="P10" s="155"/>
      <c r="Q10" s="155"/>
      <c r="R10" s="155"/>
      <c r="S10" s="155"/>
      <c r="T10" s="188"/>
      <c r="U10" s="189"/>
      <c r="V10" s="189"/>
      <c r="W10" s="186" t="s">
        <v>55</v>
      </c>
      <c r="X10" s="186" t="s">
        <v>140</v>
      </c>
      <c r="Y10" s="185" t="s">
        <v>135</v>
      </c>
      <c r="Z10" s="190" t="s">
        <v>138</v>
      </c>
      <c r="AA10" s="190" t="str">
        <f aca="false">VLOOKUP(Y10,20230302Data!A:K,2,FALSE())</f>
        <v>幼 ゆり</v>
      </c>
      <c r="AB10" s="190" t="str">
        <f aca="false">VLOOKUP(Y10,20230302Data!A:K,3,FALSE())</f>
        <v>冨永 奈央</v>
      </c>
      <c r="AC10" s="191" t="str">
        <f aca="false">VLOOKUP(Y10,20230302Data!A:K,4,FALSE())</f>
        <v>浩平</v>
      </c>
      <c r="AD10" s="191" t="str">
        <f aca="false">VLOOKUP(Y10,20230302Data!A:K,6,FALSE())</f>
        <v>小2－1</v>
      </c>
      <c r="AE10" s="191" t="str">
        <f aca="false">VLOOKUP(Y10,20230302Data!A:K,7,FALSE())</f>
        <v>冨永 純平</v>
      </c>
      <c r="AF10" s="191" t="n">
        <f aca="false">VLOOKUP(Y10,20230302Data!A:K,8,FALSE())</f>
        <v>0</v>
      </c>
      <c r="AG10" s="191" t="n">
        <f aca="false">VLOOKUP(Y10,20230302Data!A:K,9,FALSE())</f>
        <v>0</v>
      </c>
      <c r="AH10" s="191" t="str">
        <f aca="false">SUBSTITUTE(SUBSTITUTE(SUBSTITUTE(Y10,"-",""),"(",""),")","")</f>
        <v>4704889747</v>
      </c>
      <c r="AI10" s="191" t="str">
        <f aca="false">IFERROR(VLOOKUP(AH10,#REF!,3,FALSE()),"")</f>
        <v/>
      </c>
    </row>
    <row r="11" customFormat="false" ht="12.75" hidden="false" customHeight="true" outlineLevel="0" collapsed="false">
      <c r="A11" s="192" t="s">
        <v>141</v>
      </c>
      <c r="B11" s="171" t="n">
        <v>8</v>
      </c>
      <c r="C11" s="171" t="s">
        <v>27</v>
      </c>
      <c r="D11" s="171" t="s">
        <v>142</v>
      </c>
      <c r="E11" s="171" t="s">
        <v>143</v>
      </c>
      <c r="F11" s="192" t="s">
        <v>141</v>
      </c>
      <c r="G11" s="111" t="s">
        <v>144</v>
      </c>
      <c r="H11" s="111"/>
      <c r="I11" s="111"/>
      <c r="J11" s="111"/>
      <c r="K11" s="111"/>
      <c r="L11" s="111"/>
      <c r="M11" s="111"/>
      <c r="N11" s="172"/>
      <c r="O11" s="171"/>
      <c r="P11" s="172"/>
      <c r="Q11" s="172"/>
      <c r="R11" s="155"/>
      <c r="S11" s="186"/>
      <c r="T11" s="173"/>
      <c r="U11" s="174"/>
      <c r="V11" s="174"/>
      <c r="W11" s="193" t="s">
        <v>33</v>
      </c>
      <c r="X11" s="111"/>
      <c r="Y11" s="192" t="s">
        <v>141</v>
      </c>
      <c r="Z11" s="175" t="s">
        <v>144</v>
      </c>
      <c r="AA11" s="175" t="str">
        <f aca="false">VLOOKUP(Y11,20230302Data!A:K,2,FALSE())</f>
        <v>幼 ゆり</v>
      </c>
      <c r="AB11" s="175" t="str">
        <f aca="false">VLOOKUP(Y11,20230302Data!A:K,3,FALSE())</f>
        <v>岩戸 友莉菜</v>
      </c>
      <c r="AC11" s="176" t="str">
        <f aca="false">VLOOKUP(Y11,20230302Data!A:K,4,FALSE())</f>
        <v>友宏</v>
      </c>
      <c r="AD11" s="176" t="n">
        <f aca="false">VLOOKUP(Y11,20230302Data!A:K,6,FALSE())</f>
        <v>0</v>
      </c>
      <c r="AE11" s="176" t="n">
        <f aca="false">VLOOKUP(Y11,20230302Data!A:K,7,FALSE())</f>
        <v>0</v>
      </c>
      <c r="AF11" s="176" t="n">
        <f aca="false">VLOOKUP(Y11,20230302Data!A:K,8,FALSE())</f>
        <v>0</v>
      </c>
      <c r="AG11" s="176" t="n">
        <f aca="false">VLOOKUP(Y11,20230302Data!A:K,9,FALSE())</f>
        <v>0</v>
      </c>
      <c r="AH11" s="176" t="str">
        <f aca="false">SUBSTITUTE(SUBSTITUTE(SUBSTITUTE(Y11,"-",""),"(",""),")","")</f>
        <v>7702358197</v>
      </c>
      <c r="AI11" s="176" t="str">
        <f aca="false">IFERROR(VLOOKUP(AH11,#REF!,3,FALSE()),"")</f>
        <v/>
      </c>
    </row>
    <row r="12" customFormat="false" ht="15" hidden="false" customHeight="true" outlineLevel="0" collapsed="false">
      <c r="A12" s="170" t="s">
        <v>145</v>
      </c>
      <c r="B12" s="171" t="n">
        <v>9</v>
      </c>
      <c r="C12" s="171" t="s">
        <v>27</v>
      </c>
      <c r="D12" s="171" t="s">
        <v>146</v>
      </c>
      <c r="E12" s="171" t="s">
        <v>147</v>
      </c>
      <c r="F12" s="170" t="s">
        <v>148</v>
      </c>
      <c r="G12" s="111" t="s">
        <v>149</v>
      </c>
      <c r="H12" s="171" t="s">
        <v>150</v>
      </c>
      <c r="I12" s="171" t="s">
        <v>151</v>
      </c>
      <c r="J12" s="171"/>
      <c r="K12" s="171"/>
      <c r="L12" s="171"/>
      <c r="M12" s="171"/>
      <c r="N12" s="171"/>
      <c r="O12" s="171"/>
      <c r="P12" s="172"/>
      <c r="Q12" s="172"/>
      <c r="R12" s="155"/>
      <c r="S12" s="155"/>
      <c r="T12" s="194"/>
      <c r="U12" s="195"/>
      <c r="V12" s="195"/>
      <c r="W12" s="171" t="s">
        <v>152</v>
      </c>
      <c r="X12" s="171" t="s">
        <v>133</v>
      </c>
      <c r="Y12" s="170" t="s">
        <v>145</v>
      </c>
      <c r="Z12" s="196" t="s">
        <v>149</v>
      </c>
      <c r="AA12" s="175" t="str">
        <f aca="false">VLOOKUP(Y12,20230302Data!A:K,2,FALSE())</f>
        <v>幼 ゆり</v>
      </c>
      <c r="AB12" s="175" t="str">
        <f aca="false">VLOOKUP(Y12,20230302Data!A:K,3,FALSE())</f>
        <v>江川 椎香</v>
      </c>
      <c r="AC12" s="176" t="str">
        <f aca="false">VLOOKUP(Y12,20230302Data!A:K,4,FALSE())</f>
        <v>良</v>
      </c>
      <c r="AD12" s="176" t="str">
        <f aca="false">VLOOKUP(Y12,20230302Data!A:K,6,FALSE())</f>
        <v>小2－3</v>
      </c>
      <c r="AE12" s="176" t="str">
        <f aca="false">VLOOKUP(Y12,20230302Data!A:K,7,FALSE())</f>
        <v>江川 紗彩</v>
      </c>
      <c r="AF12" s="176" t="n">
        <f aca="false">VLOOKUP(Y12,20230302Data!A:K,8,FALSE())</f>
        <v>0</v>
      </c>
      <c r="AG12" s="176" t="n">
        <f aca="false">VLOOKUP(Y12,20230302Data!A:K,9,FALSE())</f>
        <v>0</v>
      </c>
      <c r="AH12" s="176" t="str">
        <f aca="false">SUBSTITUTE(SUBSTITUTE(SUBSTITUTE(Y12,"-",""),"(",""),")","")</f>
        <v>6785758187</v>
      </c>
      <c r="AI12" s="176" t="str">
        <f aca="false">IFERROR(VLOOKUP(AH12,#REF!,3,FALSE()),"")</f>
        <v/>
      </c>
    </row>
    <row r="13" customFormat="false" ht="12.75" hidden="false" customHeight="true" outlineLevel="0" collapsed="false">
      <c r="A13" s="185" t="s">
        <v>153</v>
      </c>
      <c r="B13" s="186" t="n">
        <v>10</v>
      </c>
      <c r="C13" s="186" t="s">
        <v>27</v>
      </c>
      <c r="D13" s="186" t="s">
        <v>154</v>
      </c>
      <c r="E13" s="186" t="s">
        <v>155</v>
      </c>
      <c r="F13" s="185" t="s">
        <v>153</v>
      </c>
      <c r="G13" s="187" t="s">
        <v>156</v>
      </c>
      <c r="H13" s="186" t="s">
        <v>131</v>
      </c>
      <c r="I13" s="186" t="s">
        <v>157</v>
      </c>
      <c r="J13" s="186" t="s">
        <v>120</v>
      </c>
      <c r="K13" s="186" t="s">
        <v>158</v>
      </c>
      <c r="L13" s="186"/>
      <c r="M13" s="186"/>
      <c r="N13" s="155"/>
      <c r="O13" s="155"/>
      <c r="P13" s="155"/>
      <c r="Q13" s="155"/>
      <c r="R13" s="155"/>
      <c r="S13" s="155"/>
      <c r="T13" s="188"/>
      <c r="U13" s="189"/>
      <c r="V13" s="189"/>
      <c r="W13" s="186" t="s">
        <v>55</v>
      </c>
      <c r="X13" s="186" t="s">
        <v>159</v>
      </c>
      <c r="Y13" s="185" t="s">
        <v>153</v>
      </c>
      <c r="Z13" s="190" t="s">
        <v>156</v>
      </c>
      <c r="AA13" s="190" t="str">
        <f aca="false">VLOOKUP(Y13,20230302Data!A:K,2,FALSE())</f>
        <v>幼 ゆり</v>
      </c>
      <c r="AB13" s="190" t="str">
        <f aca="false">VLOOKUP(Y13,20230302Data!A:K,3,FALSE())</f>
        <v>佐藤 友紀美</v>
      </c>
      <c r="AC13" s="191" t="str">
        <f aca="false">VLOOKUP(Y13,20230302Data!A:K,4,FALSE())</f>
        <v>清隆</v>
      </c>
      <c r="AD13" s="191" t="str">
        <f aca="false">VLOOKUP(Y13,20230302Data!A:K,6,FALSE())</f>
        <v>小2－1</v>
      </c>
      <c r="AE13" s="191" t="str">
        <f aca="false">VLOOKUP(Y13,20230302Data!A:K,7,FALSE())</f>
        <v>佐藤 清花</v>
      </c>
      <c r="AF13" s="191" t="str">
        <f aca="false">VLOOKUP(Y13,20230302Data!A:K,8,FALSE())</f>
        <v>小4－1</v>
      </c>
      <c r="AG13" s="191" t="str">
        <f aca="false">VLOOKUP(Y13,20230302Data!A:K,9,FALSE())</f>
        <v>佐藤 ほのか</v>
      </c>
      <c r="AH13" s="191" t="str">
        <f aca="false">SUBSTITUTE(SUBSTITUTE(SUBSTITUTE(Y13,"-",""),"(",""),")","")</f>
        <v>4705760018</v>
      </c>
      <c r="AI13" s="191" t="str">
        <f aca="false">IFERROR(VLOOKUP(AH13,#REF!,3,FALSE()),"")</f>
        <v/>
      </c>
    </row>
    <row r="14" customFormat="false" ht="12.75" hidden="false" customHeight="true" outlineLevel="0" collapsed="false">
      <c r="A14" s="162" t="s">
        <v>160</v>
      </c>
      <c r="B14" s="163" t="n">
        <v>11</v>
      </c>
      <c r="C14" s="163" t="s">
        <v>27</v>
      </c>
      <c r="D14" s="163" t="s">
        <v>161</v>
      </c>
      <c r="E14" s="163" t="s">
        <v>162</v>
      </c>
      <c r="F14" s="162" t="s">
        <v>160</v>
      </c>
      <c r="G14" s="116" t="s">
        <v>163</v>
      </c>
      <c r="H14" s="163" t="s">
        <v>131</v>
      </c>
      <c r="I14" s="163" t="s">
        <v>164</v>
      </c>
      <c r="J14" s="116"/>
      <c r="K14" s="116"/>
      <c r="L14" s="116"/>
      <c r="M14" s="116"/>
      <c r="N14" s="164" t="n">
        <v>45038</v>
      </c>
      <c r="O14" s="162" t="s">
        <v>49</v>
      </c>
      <c r="P14" s="164"/>
      <c r="Q14" s="164"/>
      <c r="R14" s="164"/>
      <c r="S14" s="163"/>
      <c r="T14" s="197"/>
      <c r="U14" s="166"/>
      <c r="V14" s="166"/>
      <c r="W14" s="116"/>
      <c r="X14" s="116"/>
      <c r="Y14" s="162" t="s">
        <v>160</v>
      </c>
      <c r="Z14" s="167" t="s">
        <v>165</v>
      </c>
      <c r="AA14" s="168" t="str">
        <f aca="false">VLOOKUP(Y14,20230302Data!A:K,2,FALSE())</f>
        <v>幼 ゆり</v>
      </c>
      <c r="AB14" s="168" t="str">
        <f aca="false">VLOOKUP(Y14,20230302Data!A:K,3,FALSE())</f>
        <v>川部 和紗</v>
      </c>
      <c r="AC14" s="169" t="str">
        <f aca="false">VLOOKUP(Y14,20230302Data!A:K,4,FALSE())</f>
        <v>亘</v>
      </c>
      <c r="AD14" s="169" t="str">
        <f aca="false">VLOOKUP(Y14,20230302Data!A:K,6,FALSE())</f>
        <v>小2－1</v>
      </c>
      <c r="AE14" s="169" t="str">
        <f aca="false">VLOOKUP(Y14,20230302Data!A:K,7,FALSE())</f>
        <v>川部 楓太</v>
      </c>
      <c r="AF14" s="169" t="n">
        <f aca="false">VLOOKUP(Y14,20230302Data!A:K,8,FALSE())</f>
        <v>0</v>
      </c>
      <c r="AG14" s="169" t="n">
        <f aca="false">VLOOKUP(Y14,20230302Data!A:K,9,FALSE())</f>
        <v>0</v>
      </c>
      <c r="AH14" s="169" t="str">
        <f aca="false">SUBSTITUTE(SUBSTITUTE(SUBSTITUTE(Y14,"-",""),"(",""),")","")</f>
        <v>6784647084</v>
      </c>
      <c r="AI14" s="169" t="str">
        <f aca="false">IFERROR(VLOOKUP(AH14,#REF!,3,FALSE()),"")</f>
        <v/>
      </c>
    </row>
    <row r="15" customFormat="false" ht="12.75" hidden="false" customHeight="true" outlineLevel="0" collapsed="false">
      <c r="A15" s="151" t="s">
        <v>166</v>
      </c>
      <c r="B15" s="152" t="n">
        <v>12</v>
      </c>
      <c r="C15" s="152" t="s">
        <v>27</v>
      </c>
      <c r="D15" s="152" t="s">
        <v>167</v>
      </c>
      <c r="E15" s="152" t="s">
        <v>168</v>
      </c>
      <c r="F15" s="151" t="s">
        <v>166</v>
      </c>
      <c r="G15" s="153" t="s">
        <v>169</v>
      </c>
      <c r="H15" s="152" t="s">
        <v>131</v>
      </c>
      <c r="I15" s="152" t="s">
        <v>170</v>
      </c>
      <c r="J15" s="152"/>
      <c r="K15" s="152"/>
      <c r="L15" s="152"/>
      <c r="M15" s="152"/>
      <c r="N15" s="154" t="n">
        <v>45052</v>
      </c>
      <c r="O15" s="151" t="s">
        <v>126</v>
      </c>
      <c r="P15" s="155"/>
      <c r="Q15" s="155"/>
      <c r="R15" s="152"/>
      <c r="S15" s="154"/>
      <c r="T15" s="156"/>
      <c r="U15" s="198"/>
      <c r="V15" s="198"/>
      <c r="W15" s="152" t="s">
        <v>103</v>
      </c>
      <c r="X15" s="152" t="s">
        <v>171</v>
      </c>
      <c r="Y15" s="151" t="s">
        <v>166</v>
      </c>
      <c r="Z15" s="159" t="s">
        <v>172</v>
      </c>
      <c r="AA15" s="160" t="str">
        <f aca="false">VLOOKUP(Y15,20230302Data!A:K,2,FALSE())</f>
        <v>幼 ゆり</v>
      </c>
      <c r="AB15" s="160" t="str">
        <f aca="false">VLOOKUP(Y15,20230302Data!A:K,3,FALSE())</f>
        <v>西島 江真</v>
      </c>
      <c r="AC15" s="161" t="str">
        <f aca="false">VLOOKUP(Y15,20230302Data!A:K,4,FALSE())</f>
        <v>裕介</v>
      </c>
      <c r="AD15" s="161" t="str">
        <f aca="false">VLOOKUP(Y15,20230302Data!A:K,6,FALSE())</f>
        <v>小2－1</v>
      </c>
      <c r="AE15" s="161" t="str">
        <f aca="false">VLOOKUP(Y15,20230302Data!A:K,7,FALSE())</f>
        <v>西島 浩貴</v>
      </c>
      <c r="AF15" s="161" t="n">
        <f aca="false">VLOOKUP(Y15,20230302Data!A:K,8,FALSE())</f>
        <v>0</v>
      </c>
      <c r="AG15" s="161" t="n">
        <f aca="false">VLOOKUP(Y15,20230302Data!A:K,9,FALSE())</f>
        <v>0</v>
      </c>
      <c r="AH15" s="161" t="str">
        <f aca="false">SUBSTITUTE(SUBSTITUTE(SUBSTITUTE(Y15,"-",""),"(",""),")","")</f>
        <v>6785764453</v>
      </c>
      <c r="AI15" s="161" t="str">
        <f aca="false">IFERROR(VLOOKUP(AH15,#REF!,3,FALSE()),"")</f>
        <v/>
      </c>
    </row>
    <row r="16" customFormat="false" ht="12.75" hidden="false" customHeight="true" outlineLevel="0" collapsed="false">
      <c r="A16" s="185" t="s">
        <v>173</v>
      </c>
      <c r="B16" s="186" t="n">
        <v>13</v>
      </c>
      <c r="C16" s="186" t="s">
        <v>27</v>
      </c>
      <c r="D16" s="186" t="s">
        <v>174</v>
      </c>
      <c r="E16" s="186" t="s">
        <v>175</v>
      </c>
      <c r="F16" s="185" t="s">
        <v>173</v>
      </c>
      <c r="G16" s="187" t="s">
        <v>176</v>
      </c>
      <c r="H16" s="187"/>
      <c r="I16" s="187"/>
      <c r="J16" s="187"/>
      <c r="K16" s="187"/>
      <c r="L16" s="187"/>
      <c r="M16" s="187"/>
      <c r="N16" s="155"/>
      <c r="O16" s="186"/>
      <c r="P16" s="155"/>
      <c r="Q16" s="155"/>
      <c r="R16" s="155"/>
      <c r="S16" s="186"/>
      <c r="T16" s="188"/>
      <c r="U16" s="199"/>
      <c r="V16" s="199"/>
      <c r="W16" s="187" t="s">
        <v>177</v>
      </c>
      <c r="X16" s="187"/>
      <c r="Y16" s="185" t="s">
        <v>173</v>
      </c>
      <c r="Z16" s="190" t="s">
        <v>178</v>
      </c>
      <c r="AA16" s="190" t="str">
        <f aca="false">VLOOKUP(Y16,20230302Data!A:K,2,FALSE())</f>
        <v>幼 ゆり</v>
      </c>
      <c r="AB16" s="190" t="str">
        <f aca="false">VLOOKUP(Y16,20230302Data!A:K,3,FALSE())</f>
        <v>ホーイ 碧蘭</v>
      </c>
      <c r="AC16" s="191" t="str">
        <f aca="false">VLOOKUP(Y16,20230302Data!A:K,4,FALSE())</f>
        <v>テリー</v>
      </c>
      <c r="AD16" s="191" t="n">
        <f aca="false">VLOOKUP(Y16,20230302Data!A:K,6,FALSE())</f>
        <v>0</v>
      </c>
      <c r="AE16" s="191" t="n">
        <f aca="false">VLOOKUP(Y16,20230302Data!A:K,7,FALSE())</f>
        <v>0</v>
      </c>
      <c r="AF16" s="191" t="n">
        <f aca="false">VLOOKUP(Y16,20230302Data!A:K,8,FALSE())</f>
        <v>0</v>
      </c>
      <c r="AG16" s="191" t="n">
        <f aca="false">VLOOKUP(Y16,20230302Data!A:K,9,FALSE())</f>
        <v>0</v>
      </c>
      <c r="AH16" s="191" t="str">
        <f aca="false">SUBSTITUTE(SUBSTITUTE(SUBSTITUTE(Y16,"-",""),"(",""),")","")</f>
        <v>6786771769</v>
      </c>
      <c r="AI16" s="191" t="str">
        <f aca="false">IFERROR(VLOOKUP(AH16,#REF!,3,FALSE()),"")</f>
        <v/>
      </c>
    </row>
    <row r="17" customFormat="false" ht="12.75" hidden="false" customHeight="true" outlineLevel="0" collapsed="false">
      <c r="A17" s="170" t="s">
        <v>179</v>
      </c>
      <c r="B17" s="171" t="n">
        <v>14</v>
      </c>
      <c r="C17" s="171" t="s">
        <v>27</v>
      </c>
      <c r="D17" s="171" t="s">
        <v>180</v>
      </c>
      <c r="E17" s="171" t="s">
        <v>181</v>
      </c>
      <c r="F17" s="170" t="s">
        <v>179</v>
      </c>
      <c r="G17" s="111" t="s">
        <v>182</v>
      </c>
      <c r="H17" s="171" t="s">
        <v>183</v>
      </c>
      <c r="I17" s="171" t="s">
        <v>184</v>
      </c>
      <c r="J17" s="171" t="s">
        <v>185</v>
      </c>
      <c r="K17" s="171" t="s">
        <v>186</v>
      </c>
      <c r="L17" s="111"/>
      <c r="M17" s="111"/>
      <c r="N17" s="171"/>
      <c r="O17" s="171"/>
      <c r="P17" s="172"/>
      <c r="Q17" s="172"/>
      <c r="R17" s="155"/>
      <c r="S17" s="186"/>
      <c r="T17" s="173"/>
      <c r="U17" s="174"/>
      <c r="V17" s="174"/>
      <c r="W17" s="193" t="s">
        <v>33</v>
      </c>
      <c r="X17" s="111"/>
      <c r="Y17" s="170" t="s">
        <v>179</v>
      </c>
      <c r="Z17" s="175" t="s">
        <v>182</v>
      </c>
      <c r="AA17" s="175" t="str">
        <f aca="false">VLOOKUP(Y17,20230302Data!A:K,2,FALSE())</f>
        <v>幼 ゆり</v>
      </c>
      <c r="AB17" s="175" t="str">
        <f aca="false">VLOOKUP(Y17,20230302Data!A:K,3,FALSE())</f>
        <v>六反 梛月</v>
      </c>
      <c r="AC17" s="176" t="str">
        <f aca="false">VLOOKUP(Y17,20230302Data!A:K,4,FALSE())</f>
        <v>耕太</v>
      </c>
      <c r="AD17" s="176" t="str">
        <f aca="false">VLOOKUP(Y17,20230302Data!A:K,6,FALSE())</f>
        <v>小3－2</v>
      </c>
      <c r="AE17" s="176" t="str">
        <f aca="false">VLOOKUP(Y17,20230302Data!A:K,7,FALSE())</f>
        <v>六反 千遥</v>
      </c>
      <c r="AF17" s="176" t="str">
        <f aca="false">VLOOKUP(Y17,20230302Data!A:K,8,FALSE())</f>
        <v>小5－1</v>
      </c>
      <c r="AG17" s="176" t="str">
        <f aca="false">VLOOKUP(Y17,20230302Data!A:K,9,FALSE())</f>
        <v>六反 智葵</v>
      </c>
      <c r="AH17" s="176" t="str">
        <f aca="false">SUBSTITUTE(SUBSTITUTE(SUBSTITUTE(Y17,"-",""),"(",""),")","")</f>
        <v>7702351224</v>
      </c>
      <c r="AI17" s="176" t="str">
        <f aca="false">IFERROR(VLOOKUP(AH17,#REF!,3,FALSE()),"")</f>
        <v/>
      </c>
    </row>
    <row r="18" customFormat="false" ht="12.75" hidden="false" customHeight="true" outlineLevel="0" collapsed="false">
      <c r="A18" s="177" t="s">
        <v>187</v>
      </c>
      <c r="B18" s="178" t="n">
        <v>15</v>
      </c>
      <c r="C18" s="178" t="s">
        <v>27</v>
      </c>
      <c r="D18" s="178" t="s">
        <v>188</v>
      </c>
      <c r="E18" s="178" t="s">
        <v>189</v>
      </c>
      <c r="F18" s="177" t="s">
        <v>187</v>
      </c>
      <c r="G18" s="179" t="s">
        <v>190</v>
      </c>
      <c r="H18" s="178" t="s">
        <v>114</v>
      </c>
      <c r="I18" s="178" t="s">
        <v>191</v>
      </c>
      <c r="J18" s="178" t="s">
        <v>150</v>
      </c>
      <c r="K18" s="178" t="s">
        <v>192</v>
      </c>
      <c r="L18" s="179"/>
      <c r="M18" s="179"/>
      <c r="N18" s="180"/>
      <c r="O18" s="178"/>
      <c r="P18" s="180"/>
      <c r="Q18" s="178"/>
      <c r="R18" s="155"/>
      <c r="S18" s="155"/>
      <c r="T18" s="181"/>
      <c r="U18" s="200"/>
      <c r="V18" s="200"/>
      <c r="W18" s="201" t="s">
        <v>60</v>
      </c>
      <c r="X18" s="179"/>
      <c r="Y18" s="177" t="s">
        <v>187</v>
      </c>
      <c r="Z18" s="183" t="s">
        <v>193</v>
      </c>
      <c r="AA18" s="183" t="str">
        <f aca="false">VLOOKUP(Y18,20230302Data!A:K,2,FALSE())</f>
        <v>幼 ゆり</v>
      </c>
      <c r="AB18" s="183" t="str">
        <f aca="false">VLOOKUP(Y18,20230302Data!A:K,3,FALSE())</f>
        <v>伊藤 みずき</v>
      </c>
      <c r="AC18" s="184" t="str">
        <f aca="false">VLOOKUP(Y18,20230302Data!A:K,4,FALSE())</f>
        <v>敦史</v>
      </c>
      <c r="AD18" s="184" t="str">
        <f aca="false">VLOOKUP(Y18,20230302Data!A:K,6,FALSE())</f>
        <v>小2－2</v>
      </c>
      <c r="AE18" s="184" t="str">
        <f aca="false">VLOOKUP(Y18,20230302Data!A:K,7,FALSE())</f>
        <v>伊藤 さくら</v>
      </c>
      <c r="AF18" s="184" t="str">
        <f aca="false">VLOOKUP(Y18,20230302Data!A:K,8,FALSE())</f>
        <v>小2－3</v>
      </c>
      <c r="AG18" s="184" t="str">
        <f aca="false">VLOOKUP(Y18,20230302Data!A:K,9,FALSE())</f>
        <v>伊藤 あずさ</v>
      </c>
      <c r="AH18" s="184" t="str">
        <f aca="false">SUBSTITUTE(SUBSTITUTE(SUBSTITUTE(Y18,"-",""),"(",""),")","")</f>
        <v>4702696658</v>
      </c>
      <c r="AI18" s="184" t="str">
        <f aca="false">IFERROR(VLOOKUP(AH18,#REF!,3,FALSE()),"")</f>
        <v/>
      </c>
    </row>
    <row r="19" customFormat="false" ht="12.75" hidden="false" customHeight="true" outlineLevel="0" collapsed="false">
      <c r="A19" s="185" t="s">
        <v>194</v>
      </c>
      <c r="B19" s="186" t="n">
        <v>16</v>
      </c>
      <c r="C19" s="186" t="s">
        <v>27</v>
      </c>
      <c r="D19" s="186" t="s">
        <v>195</v>
      </c>
      <c r="E19" s="186" t="s">
        <v>196</v>
      </c>
      <c r="F19" s="185" t="s">
        <v>194</v>
      </c>
      <c r="G19" s="187" t="s">
        <v>197</v>
      </c>
      <c r="H19" s="187"/>
      <c r="I19" s="187"/>
      <c r="J19" s="187"/>
      <c r="K19" s="187"/>
      <c r="L19" s="187"/>
      <c r="M19" s="187"/>
      <c r="N19" s="155"/>
      <c r="O19" s="186"/>
      <c r="P19" s="155"/>
      <c r="Q19" s="155"/>
      <c r="R19" s="155"/>
      <c r="S19" s="186"/>
      <c r="T19" s="188"/>
      <c r="U19" s="199"/>
      <c r="V19" s="199"/>
      <c r="W19" s="187" t="s">
        <v>177</v>
      </c>
      <c r="X19" s="187"/>
      <c r="Y19" s="185" t="s">
        <v>194</v>
      </c>
      <c r="Z19" s="190" t="s">
        <v>197</v>
      </c>
      <c r="AA19" s="190" t="str">
        <f aca="false">VLOOKUP(Y19,20230302Data!A:K,2,FALSE())</f>
        <v>幼 ゆり</v>
      </c>
      <c r="AB19" s="190" t="str">
        <f aca="false">VLOOKUP(Y19,20230302Data!A:K,3,FALSE())</f>
        <v>木下 さら</v>
      </c>
      <c r="AC19" s="191" t="str">
        <f aca="false">VLOOKUP(Y19,20230302Data!A:K,4,FALSE())</f>
        <v>博登</v>
      </c>
      <c r="AD19" s="191" t="n">
        <f aca="false">VLOOKUP(Y19,20230302Data!A:K,6,FALSE())</f>
        <v>0</v>
      </c>
      <c r="AE19" s="191" t="n">
        <f aca="false">VLOOKUP(Y19,20230302Data!A:K,7,FALSE())</f>
        <v>0</v>
      </c>
      <c r="AF19" s="191" t="n">
        <f aca="false">VLOOKUP(Y19,20230302Data!A:K,8,FALSE())</f>
        <v>0</v>
      </c>
      <c r="AG19" s="191" t="n">
        <f aca="false">VLOOKUP(Y19,20230302Data!A:K,9,FALSE())</f>
        <v>0</v>
      </c>
      <c r="AH19" s="191" t="str">
        <f aca="false">SUBSTITUTE(SUBSTITUTE(SUBSTITUTE(Y19,"-",""),"(",""),")","")</f>
        <v>4047719497</v>
      </c>
      <c r="AI19" s="191" t="str">
        <f aca="false">IFERROR(VLOOKUP(AH19,#REF!,3,FALSE()),"")</f>
        <v/>
      </c>
    </row>
    <row r="20" customFormat="false" ht="12.75" hidden="false" customHeight="true" outlineLevel="0" collapsed="false">
      <c r="A20" s="162" t="s">
        <v>198</v>
      </c>
      <c r="B20" s="163" t="n">
        <v>17</v>
      </c>
      <c r="C20" s="163" t="s">
        <v>27</v>
      </c>
      <c r="D20" s="163" t="s">
        <v>199</v>
      </c>
      <c r="E20" s="163" t="s">
        <v>200</v>
      </c>
      <c r="F20" s="162" t="s">
        <v>198</v>
      </c>
      <c r="G20" s="116" t="s">
        <v>201</v>
      </c>
      <c r="H20" s="116"/>
      <c r="I20" s="116"/>
      <c r="J20" s="116"/>
      <c r="K20" s="116"/>
      <c r="L20" s="116"/>
      <c r="M20" s="116"/>
      <c r="N20" s="164"/>
      <c r="O20" s="164"/>
      <c r="P20" s="164"/>
      <c r="Q20" s="163"/>
      <c r="R20" s="164"/>
      <c r="S20" s="163"/>
      <c r="T20" s="165"/>
      <c r="U20" s="166" t="n">
        <v>44674</v>
      </c>
      <c r="V20" s="166"/>
      <c r="W20" s="116"/>
      <c r="X20" s="116"/>
      <c r="Y20" s="162" t="s">
        <v>198</v>
      </c>
      <c r="Z20" s="167" t="s">
        <v>201</v>
      </c>
      <c r="AA20" s="168" t="str">
        <f aca="false">VLOOKUP(Y20,20230302Data!A:K,2,FALSE())</f>
        <v>幼 ゆり</v>
      </c>
      <c r="AB20" s="168" t="str">
        <f aca="false">VLOOKUP(Y20,20230302Data!A:K,3,FALSE())</f>
        <v>塚越 豊</v>
      </c>
      <c r="AC20" s="169" t="str">
        <f aca="false">VLOOKUP(Y20,20230302Data!A:K,4,FALSE())</f>
        <v>肇</v>
      </c>
      <c r="AD20" s="169" t="n">
        <f aca="false">VLOOKUP(Y20,20230302Data!A:K,6,FALSE())</f>
        <v>0</v>
      </c>
      <c r="AE20" s="169" t="n">
        <f aca="false">VLOOKUP(Y20,20230302Data!A:K,7,FALSE())</f>
        <v>0</v>
      </c>
      <c r="AF20" s="169" t="n">
        <f aca="false">VLOOKUP(Y20,20230302Data!A:K,8,FALSE())</f>
        <v>0</v>
      </c>
      <c r="AG20" s="169" t="n">
        <f aca="false">VLOOKUP(Y20,20230302Data!A:K,9,FALSE())</f>
        <v>0</v>
      </c>
      <c r="AH20" s="169" t="str">
        <f aca="false">SUBSTITUTE(SUBSTITUTE(SUBSTITUTE(Y20,"-",""),"(",""),")","")</f>
        <v>4707960060</v>
      </c>
      <c r="AI20" s="169" t="str">
        <f aca="false">IFERROR(VLOOKUP(AH20,#REF!,3,FALSE()),"")</f>
        <v/>
      </c>
    </row>
    <row r="21" customFormat="false" ht="12.75" hidden="false" customHeight="true" outlineLevel="0" collapsed="false">
      <c r="A21" s="162" t="s">
        <v>202</v>
      </c>
      <c r="B21" s="163" t="n">
        <v>18</v>
      </c>
      <c r="C21" s="163" t="s">
        <v>27</v>
      </c>
      <c r="D21" s="163" t="s">
        <v>203</v>
      </c>
      <c r="E21" s="163" t="s">
        <v>204</v>
      </c>
      <c r="F21" s="162" t="s">
        <v>202</v>
      </c>
      <c r="G21" s="116" t="s">
        <v>205</v>
      </c>
      <c r="H21" s="163"/>
      <c r="I21" s="163"/>
      <c r="J21" s="116"/>
      <c r="K21" s="116"/>
      <c r="L21" s="116"/>
      <c r="M21" s="116"/>
      <c r="N21" s="164"/>
      <c r="O21" s="163"/>
      <c r="P21" s="164"/>
      <c r="Q21" s="164"/>
      <c r="R21" s="164"/>
      <c r="S21" s="163"/>
      <c r="T21" s="165"/>
      <c r="U21" s="166"/>
      <c r="V21" s="166" t="n">
        <v>45073</v>
      </c>
      <c r="W21" s="116"/>
      <c r="X21" s="116"/>
      <c r="Y21" s="162" t="s">
        <v>202</v>
      </c>
      <c r="Z21" s="167" t="s">
        <v>205</v>
      </c>
      <c r="AA21" s="168" t="str">
        <f aca="false">VLOOKUP(Y21,20230302Data!A:K,2,FALSE())</f>
        <v>幼 ゆり</v>
      </c>
      <c r="AB21" s="168" t="str">
        <f aca="false">VLOOKUP(Y21,20230302Data!A:K,3,FALSE())</f>
        <v>齋藤 翔</v>
      </c>
      <c r="AC21" s="169" t="str">
        <f aca="false">VLOOKUP(Y21,20230302Data!A:K,4,FALSE())</f>
        <v>正昭</v>
      </c>
      <c r="AD21" s="169" t="n">
        <f aca="false">VLOOKUP(Y21,20230302Data!A:K,6,FALSE())</f>
        <v>0</v>
      </c>
      <c r="AE21" s="169" t="n">
        <f aca="false">VLOOKUP(Y21,20230302Data!A:K,7,FALSE())</f>
        <v>0</v>
      </c>
      <c r="AF21" s="169" t="n">
        <f aca="false">VLOOKUP(Y21,20230302Data!A:K,8,FALSE())</f>
        <v>0</v>
      </c>
      <c r="AG21" s="169" t="n">
        <f aca="false">VLOOKUP(Y21,20230302Data!A:K,9,FALSE())</f>
        <v>0</v>
      </c>
      <c r="AH21" s="169" t="str">
        <f aca="false">SUBSTITUTE(SUBSTITUTE(SUBSTITUTE(Y21,"-",""),"(",""),")","")</f>
        <v>5138578977</v>
      </c>
      <c r="AI21" s="169" t="str">
        <f aca="false">IFERROR(VLOOKUP(AH21,#REF!,3,FALSE()),"")</f>
        <v/>
      </c>
    </row>
    <row r="22" customFormat="false" ht="12.75" hidden="false" customHeight="true" outlineLevel="0" collapsed="false">
      <c r="A22" s="162" t="s">
        <v>206</v>
      </c>
      <c r="B22" s="163" t="n">
        <v>19</v>
      </c>
      <c r="C22" s="163" t="s">
        <v>207</v>
      </c>
      <c r="D22" s="163" t="s">
        <v>208</v>
      </c>
      <c r="E22" s="163" t="s">
        <v>209</v>
      </c>
      <c r="F22" s="162" t="s">
        <v>206</v>
      </c>
      <c r="G22" s="116" t="s">
        <v>210</v>
      </c>
      <c r="H22" s="116"/>
      <c r="I22" s="116"/>
      <c r="J22" s="116"/>
      <c r="K22" s="116"/>
      <c r="L22" s="116"/>
      <c r="M22" s="116"/>
      <c r="N22" s="164"/>
      <c r="O22" s="164"/>
      <c r="P22" s="164"/>
      <c r="Q22" s="164"/>
      <c r="R22" s="164"/>
      <c r="S22" s="163"/>
      <c r="T22" s="165"/>
      <c r="U22" s="166"/>
      <c r="V22" s="166"/>
      <c r="W22" s="116"/>
      <c r="X22" s="116"/>
      <c r="Y22" s="162" t="s">
        <v>206</v>
      </c>
      <c r="Z22" s="167" t="s">
        <v>210</v>
      </c>
      <c r="AA22" s="168" t="str">
        <f aca="false">VLOOKUP(Y22,20230302Data!A:K,2,FALSE())</f>
        <v>幼 もも</v>
      </c>
      <c r="AB22" s="168" t="str">
        <f aca="false">VLOOKUP(Y22,20230302Data!A:K,3,FALSE())</f>
        <v>山﨑 圭悟</v>
      </c>
      <c r="AC22" s="169" t="str">
        <f aca="false">VLOOKUP(Y22,20230302Data!A:K,4,FALSE())</f>
        <v>智昭</v>
      </c>
      <c r="AD22" s="169" t="n">
        <f aca="false">VLOOKUP(Y22,20230302Data!A:K,6,FALSE())</f>
        <v>0</v>
      </c>
      <c r="AE22" s="169" t="n">
        <f aca="false">VLOOKUP(Y22,20230302Data!A:K,7,FALSE())</f>
        <v>0</v>
      </c>
      <c r="AF22" s="169" t="n">
        <f aca="false">VLOOKUP(Y22,20230302Data!A:K,8,FALSE())</f>
        <v>0</v>
      </c>
      <c r="AG22" s="169" t="n">
        <f aca="false">VLOOKUP(Y22,20230302Data!A:K,9,FALSE())</f>
        <v>0</v>
      </c>
      <c r="AH22" s="169" t="str">
        <f aca="false">SUBSTITUTE(SUBSTITUTE(SUBSTITUTE(Y22,"-",""),"(",""),")","")</f>
        <v>7067662725</v>
      </c>
      <c r="AI22" s="169" t="str">
        <f aca="false">IFERROR(VLOOKUP(AH22,#REF!,3,FALSE()),"")</f>
        <v/>
      </c>
    </row>
    <row r="23" customFormat="false" ht="12.75" hidden="false" customHeight="true" outlineLevel="0" collapsed="false">
      <c r="A23" s="151" t="s">
        <v>211</v>
      </c>
      <c r="B23" s="152" t="n">
        <v>20</v>
      </c>
      <c r="C23" s="152" t="s">
        <v>207</v>
      </c>
      <c r="D23" s="152" t="s">
        <v>212</v>
      </c>
      <c r="E23" s="152" t="s">
        <v>213</v>
      </c>
      <c r="F23" s="151" t="s">
        <v>211</v>
      </c>
      <c r="G23" s="153" t="s">
        <v>214</v>
      </c>
      <c r="H23" s="152" t="s">
        <v>215</v>
      </c>
      <c r="I23" s="152" t="s">
        <v>216</v>
      </c>
      <c r="J23" s="152"/>
      <c r="K23" s="152"/>
      <c r="L23" s="152"/>
      <c r="M23" s="152"/>
      <c r="N23" s="154" t="n">
        <v>45066</v>
      </c>
      <c r="O23" s="151" t="s">
        <v>32</v>
      </c>
      <c r="P23" s="155"/>
      <c r="Q23" s="155"/>
      <c r="R23" s="154"/>
      <c r="S23" s="154"/>
      <c r="T23" s="156"/>
      <c r="U23" s="198"/>
      <c r="V23" s="198"/>
      <c r="W23" s="152" t="s">
        <v>103</v>
      </c>
      <c r="X23" s="152" t="s">
        <v>217</v>
      </c>
      <c r="Y23" s="151" t="s">
        <v>211</v>
      </c>
      <c r="Z23" s="159" t="s">
        <v>218</v>
      </c>
      <c r="AA23" s="160" t="str">
        <f aca="false">VLOOKUP(Y23,20230302Data!A:K,2,FALSE())</f>
        <v>幼 もも</v>
      </c>
      <c r="AB23" s="160" t="str">
        <f aca="false">VLOOKUP(Y23,20230302Data!A:K,3,FALSE())</f>
        <v>山口 将太</v>
      </c>
      <c r="AC23" s="161" t="str">
        <f aca="false">VLOOKUP(Y23,20230302Data!A:K,4,FALSE())</f>
        <v>圭介</v>
      </c>
      <c r="AD23" s="161" t="str">
        <f aca="false">VLOOKUP(Y23,20230302Data!A:K,6,FALSE())</f>
        <v>中2－1</v>
      </c>
      <c r="AE23" s="161" t="str">
        <f aca="false">VLOOKUP(Y23,20230302Data!A:K,7,FALSE())</f>
        <v>山口 美奈子</v>
      </c>
      <c r="AF23" s="161" t="n">
        <f aca="false">VLOOKUP(Y23,20230302Data!A:K,8,FALSE())</f>
        <v>0</v>
      </c>
      <c r="AG23" s="161" t="n">
        <f aca="false">VLOOKUP(Y23,20230302Data!A:K,9,FALSE())</f>
        <v>0</v>
      </c>
      <c r="AH23" s="161" t="str">
        <f aca="false">SUBSTITUTE(SUBSTITUTE(SUBSTITUTE(Y23,"-",""),"(",""),")","")</f>
        <v>6782371373</v>
      </c>
      <c r="AI23" s="161" t="str">
        <f aca="false">IFERROR(VLOOKUP(AH23,#REF!,3,FALSE()),"")</f>
        <v/>
      </c>
    </row>
    <row r="24" customFormat="false" ht="12.75" hidden="false" customHeight="true" outlineLevel="0" collapsed="false">
      <c r="A24" s="151" t="s">
        <v>219</v>
      </c>
      <c r="B24" s="152" t="n">
        <v>21</v>
      </c>
      <c r="C24" s="152" t="s">
        <v>207</v>
      </c>
      <c r="D24" s="152" t="s">
        <v>220</v>
      </c>
      <c r="E24" s="152" t="s">
        <v>221</v>
      </c>
      <c r="F24" s="151" t="s">
        <v>219</v>
      </c>
      <c r="G24" s="153" t="s">
        <v>222</v>
      </c>
      <c r="H24" s="152" t="s">
        <v>131</v>
      </c>
      <c r="I24" s="152" t="s">
        <v>223</v>
      </c>
      <c r="J24" s="152"/>
      <c r="K24" s="152"/>
      <c r="L24" s="152"/>
      <c r="M24" s="152"/>
      <c r="N24" s="154" t="n">
        <v>45073</v>
      </c>
      <c r="O24" s="151" t="s">
        <v>126</v>
      </c>
      <c r="P24" s="155"/>
      <c r="Q24" s="155"/>
      <c r="R24" s="154"/>
      <c r="S24" s="154"/>
      <c r="T24" s="156"/>
      <c r="U24" s="198"/>
      <c r="V24" s="198"/>
      <c r="W24" s="152" t="s">
        <v>103</v>
      </c>
      <c r="X24" s="152" t="s">
        <v>224</v>
      </c>
      <c r="Y24" s="151" t="s">
        <v>219</v>
      </c>
      <c r="Z24" s="159" t="s">
        <v>222</v>
      </c>
      <c r="AA24" s="160" t="str">
        <f aca="false">VLOOKUP(Y24,20230302Data!A:K,2,FALSE())</f>
        <v>幼 もも</v>
      </c>
      <c r="AB24" s="160" t="str">
        <f aca="false">VLOOKUP(Y24,20230302Data!A:K,3,FALSE())</f>
        <v>池永 海生</v>
      </c>
      <c r="AC24" s="161" t="str">
        <f aca="false">VLOOKUP(Y24,20230302Data!A:K,4,FALSE())</f>
        <v>ジャック</v>
      </c>
      <c r="AD24" s="161" t="str">
        <f aca="false">VLOOKUP(Y24,20230302Data!A:K,6,FALSE())</f>
        <v>小2－1</v>
      </c>
      <c r="AE24" s="161" t="str">
        <f aca="false">VLOOKUP(Y24,20230302Data!A:K,7,FALSE())</f>
        <v>池永 眞弥</v>
      </c>
      <c r="AF24" s="161" t="n">
        <f aca="false">VLOOKUP(Y24,20230302Data!A:K,8,FALSE())</f>
        <v>0</v>
      </c>
      <c r="AG24" s="161" t="n">
        <f aca="false">VLOOKUP(Y24,20230302Data!A:K,9,FALSE())</f>
        <v>0</v>
      </c>
      <c r="AH24" s="161" t="str">
        <f aca="false">SUBSTITUTE(SUBSTITUTE(SUBSTITUTE(Y24,"-",""),"(",""),")","")</f>
        <v>6783710304</v>
      </c>
      <c r="AI24" s="161" t="str">
        <f aca="false">IFERROR(VLOOKUP(AH24,#REF!,3,FALSE()),"")</f>
        <v/>
      </c>
    </row>
    <row r="25" customFormat="false" ht="12.75" hidden="false" customHeight="true" outlineLevel="0" collapsed="false">
      <c r="A25" s="185" t="s">
        <v>225</v>
      </c>
      <c r="B25" s="186" t="n">
        <v>22</v>
      </c>
      <c r="C25" s="186" t="s">
        <v>207</v>
      </c>
      <c r="D25" s="186" t="s">
        <v>226</v>
      </c>
      <c r="E25" s="186" t="s">
        <v>227</v>
      </c>
      <c r="F25" s="185" t="s">
        <v>225</v>
      </c>
      <c r="G25" s="187" t="s">
        <v>228</v>
      </c>
      <c r="H25" s="186" t="s">
        <v>114</v>
      </c>
      <c r="I25" s="186" t="s">
        <v>229</v>
      </c>
      <c r="J25" s="187"/>
      <c r="K25" s="187"/>
      <c r="L25" s="187"/>
      <c r="M25" s="187"/>
      <c r="N25" s="155"/>
      <c r="O25" s="155"/>
      <c r="P25" s="155"/>
      <c r="Q25" s="155"/>
      <c r="R25" s="155"/>
      <c r="S25" s="155"/>
      <c r="T25" s="188"/>
      <c r="U25" s="199"/>
      <c r="V25" s="199"/>
      <c r="W25" s="187" t="s">
        <v>177</v>
      </c>
      <c r="X25" s="187"/>
      <c r="Y25" s="185" t="s">
        <v>225</v>
      </c>
      <c r="Z25" s="190" t="s">
        <v>228</v>
      </c>
      <c r="AA25" s="190" t="str">
        <f aca="false">VLOOKUP(Y25,20230302Data!A:K,2,FALSE())</f>
        <v>幼 もも</v>
      </c>
      <c r="AB25" s="190" t="str">
        <f aca="false">VLOOKUP(Y25,20230302Data!A:K,3,FALSE())</f>
        <v>小田 哲哉</v>
      </c>
      <c r="AC25" s="191" t="str">
        <f aca="false">VLOOKUP(Y25,20230302Data!A:K,4,FALSE())</f>
        <v>康史</v>
      </c>
      <c r="AD25" s="191" t="str">
        <f aca="false">VLOOKUP(Y25,20230302Data!A:K,6,FALSE())</f>
        <v>小2－2</v>
      </c>
      <c r="AE25" s="191" t="str">
        <f aca="false">VLOOKUP(Y25,20230302Data!A:K,7,FALSE())</f>
        <v>小田 彰士</v>
      </c>
      <c r="AF25" s="191" t="n">
        <f aca="false">VLOOKUP(Y25,20230302Data!A:K,8,FALSE())</f>
        <v>0</v>
      </c>
      <c r="AG25" s="191" t="n">
        <f aca="false">VLOOKUP(Y25,20230302Data!A:K,9,FALSE())</f>
        <v>0</v>
      </c>
      <c r="AH25" s="191" t="str">
        <f aca="false">SUBSTITUTE(SUBSTITUTE(SUBSTITUTE(Y25,"-",""),"(",""),")","")</f>
        <v>6782967245</v>
      </c>
      <c r="AI25" s="191" t="str">
        <f aca="false">IFERROR(VLOOKUP(AH25,#REF!,3,FALSE()),"")</f>
        <v/>
      </c>
    </row>
    <row r="26" customFormat="false" ht="12.75" hidden="false" customHeight="true" outlineLevel="0" collapsed="false">
      <c r="A26" s="170" t="s">
        <v>230</v>
      </c>
      <c r="B26" s="171" t="n">
        <v>23</v>
      </c>
      <c r="C26" s="171" t="s">
        <v>207</v>
      </c>
      <c r="D26" s="171" t="s">
        <v>231</v>
      </c>
      <c r="E26" s="171" t="s">
        <v>232</v>
      </c>
      <c r="F26" s="170" t="s">
        <v>230</v>
      </c>
      <c r="G26" s="111" t="s">
        <v>233</v>
      </c>
      <c r="H26" s="171"/>
      <c r="I26" s="171"/>
      <c r="J26" s="171"/>
      <c r="K26" s="171"/>
      <c r="L26" s="171"/>
      <c r="M26" s="171"/>
      <c r="N26" s="172"/>
      <c r="O26" s="171"/>
      <c r="P26" s="172" t="n">
        <v>45052</v>
      </c>
      <c r="Q26" s="170" t="s">
        <v>67</v>
      </c>
      <c r="R26" s="172"/>
      <c r="S26" s="171"/>
      <c r="T26" s="173"/>
      <c r="U26" s="195"/>
      <c r="V26" s="195"/>
      <c r="W26" s="171" t="s">
        <v>152</v>
      </c>
      <c r="X26" s="171" t="s">
        <v>224</v>
      </c>
      <c r="Y26" s="170" t="s">
        <v>230</v>
      </c>
      <c r="Z26" s="175" t="s">
        <v>234</v>
      </c>
      <c r="AA26" s="175" t="str">
        <f aca="false">VLOOKUP(Y26,20230302Data!A:K,2,FALSE())</f>
        <v>幼 もも</v>
      </c>
      <c r="AB26" s="175" t="str">
        <f aca="false">VLOOKUP(Y26,20230302Data!A:K,3,FALSE())</f>
        <v>鈴木 康平</v>
      </c>
      <c r="AC26" s="176" t="str">
        <f aca="false">VLOOKUP(Y26,20230302Data!A:K,4,FALSE())</f>
        <v>秀典</v>
      </c>
      <c r="AD26" s="176" t="n">
        <f aca="false">VLOOKUP(Y26,20230302Data!A:K,6,FALSE())</f>
        <v>0</v>
      </c>
      <c r="AE26" s="176" t="n">
        <f aca="false">VLOOKUP(Y26,20230302Data!A:K,7,FALSE())</f>
        <v>0</v>
      </c>
      <c r="AF26" s="176" t="n">
        <f aca="false">VLOOKUP(Y26,20230302Data!A:K,8,FALSE())</f>
        <v>0</v>
      </c>
      <c r="AG26" s="176" t="n">
        <f aca="false">VLOOKUP(Y26,20230302Data!A:K,9,FALSE())</f>
        <v>0</v>
      </c>
      <c r="AH26" s="176" t="str">
        <f aca="false">SUBSTITUTE(SUBSTITUTE(SUBSTITUTE(Y26,"-",""),"(",""),")","")</f>
        <v>7046540730</v>
      </c>
      <c r="AI26" s="176" t="str">
        <f aca="false">IFERROR(VLOOKUP(AH26,#REF!,3,FALSE()),"")</f>
        <v/>
      </c>
    </row>
    <row r="27" customFormat="false" ht="12.75" hidden="false" customHeight="true" outlineLevel="0" collapsed="false">
      <c r="A27" s="202" t="s">
        <v>235</v>
      </c>
      <c r="B27" s="202" t="n">
        <v>24</v>
      </c>
      <c r="C27" s="203" t="s">
        <v>207</v>
      </c>
      <c r="D27" s="203" t="s">
        <v>236</v>
      </c>
      <c r="E27" s="203" t="s">
        <v>237</v>
      </c>
      <c r="F27" s="202" t="s">
        <v>235</v>
      </c>
      <c r="G27" s="204" t="s">
        <v>238</v>
      </c>
      <c r="H27" s="203" t="s">
        <v>101</v>
      </c>
      <c r="I27" s="203" t="s">
        <v>239</v>
      </c>
      <c r="J27" s="203"/>
      <c r="K27" s="203"/>
      <c r="L27" s="203"/>
      <c r="M27" s="203"/>
      <c r="N27" s="155"/>
      <c r="O27" s="155"/>
      <c r="P27" s="155"/>
      <c r="Q27" s="155"/>
      <c r="R27" s="205"/>
      <c r="S27" s="203"/>
      <c r="T27" s="206"/>
      <c r="U27" s="207"/>
      <c r="V27" s="207"/>
      <c r="W27" s="203" t="s">
        <v>240</v>
      </c>
      <c r="X27" s="203" t="s">
        <v>133</v>
      </c>
      <c r="Y27" s="202" t="s">
        <v>235</v>
      </c>
      <c r="Z27" s="202" t="s">
        <v>241</v>
      </c>
      <c r="AA27" s="208" t="str">
        <f aca="false">VLOOKUP(Y27,20230302Data!A:K,2,FALSE())</f>
        <v>幼 もも</v>
      </c>
      <c r="AB27" s="208" t="str">
        <f aca="false">VLOOKUP(Y27,20230302Data!A:K,3,FALSE())</f>
        <v>宮嶋 悠一郎</v>
      </c>
      <c r="AC27" s="209" t="str">
        <f aca="false">VLOOKUP(Y27,20230302Data!A:K,4,FALSE())</f>
        <v>望</v>
      </c>
      <c r="AD27" s="209" t="str">
        <f aca="false">VLOOKUP(Y27,20230302Data!A:K,6,FALSE())</f>
        <v>小3－1</v>
      </c>
      <c r="AE27" s="209" t="str">
        <f aca="false">VLOOKUP(Y27,20230302Data!A:K,7,FALSE())</f>
        <v>宮嶋 希子</v>
      </c>
      <c r="AF27" s="209" t="n">
        <f aca="false">VLOOKUP(Y27,20230302Data!A:K,8,FALSE())</f>
        <v>0</v>
      </c>
      <c r="AG27" s="209" t="n">
        <f aca="false">VLOOKUP(Y27,20230302Data!A:K,9,FALSE())</f>
        <v>0</v>
      </c>
      <c r="AH27" s="209" t="str">
        <f aca="false">SUBSTITUTE(SUBSTITUTE(SUBSTITUTE(Y27,"-",""),"(",""),")","")</f>
        <v>7705809260</v>
      </c>
      <c r="AI27" s="209" t="str">
        <f aca="false">IFERROR(VLOOKUP(AH27,#REF!,3,FALSE()),"")</f>
        <v/>
      </c>
    </row>
    <row r="28" customFormat="false" ht="12.75" hidden="false" customHeight="true" outlineLevel="0" collapsed="false">
      <c r="A28" s="177" t="s">
        <v>242</v>
      </c>
      <c r="B28" s="178" t="n">
        <v>25</v>
      </c>
      <c r="C28" s="178" t="s">
        <v>207</v>
      </c>
      <c r="D28" s="178" t="s">
        <v>243</v>
      </c>
      <c r="E28" s="178" t="s">
        <v>244</v>
      </c>
      <c r="F28" s="177" t="s">
        <v>242</v>
      </c>
      <c r="G28" s="179" t="s">
        <v>245</v>
      </c>
      <c r="H28" s="178"/>
      <c r="I28" s="178"/>
      <c r="J28" s="178"/>
      <c r="K28" s="178"/>
      <c r="L28" s="178"/>
      <c r="M28" s="178"/>
      <c r="N28" s="180"/>
      <c r="O28" s="180"/>
      <c r="P28" s="180"/>
      <c r="Q28" s="180"/>
      <c r="R28" s="155"/>
      <c r="S28" s="155"/>
      <c r="T28" s="181"/>
      <c r="U28" s="182"/>
      <c r="V28" s="182"/>
      <c r="W28" s="178" t="s">
        <v>60</v>
      </c>
      <c r="X28" s="178" t="s">
        <v>224</v>
      </c>
      <c r="Y28" s="177" t="s">
        <v>242</v>
      </c>
      <c r="Z28" s="183" t="s">
        <v>245</v>
      </c>
      <c r="AA28" s="183" t="str">
        <f aca="false">VLOOKUP(Y28,20230302Data!A:K,2,FALSE())</f>
        <v>幼 もも</v>
      </c>
      <c r="AB28" s="183" t="str">
        <f aca="false">VLOOKUP(Y28,20230302Data!A:K,3,FALSE())</f>
        <v>篠原 佳也</v>
      </c>
      <c r="AC28" s="184" t="str">
        <f aca="false">VLOOKUP(Y28,20230302Data!A:K,4,FALSE())</f>
        <v>マイカ</v>
      </c>
      <c r="AD28" s="184" t="n">
        <f aca="false">VLOOKUP(Y28,20230302Data!A:K,6,FALSE())</f>
        <v>0</v>
      </c>
      <c r="AE28" s="184" t="n">
        <f aca="false">VLOOKUP(Y28,20230302Data!A:K,7,FALSE())</f>
        <v>0</v>
      </c>
      <c r="AF28" s="184" t="n">
        <f aca="false">VLOOKUP(Y28,20230302Data!A:K,8,FALSE())</f>
        <v>0</v>
      </c>
      <c r="AG28" s="184" t="n">
        <f aca="false">VLOOKUP(Y28,20230302Data!A:K,9,FALSE())</f>
        <v>0</v>
      </c>
      <c r="AH28" s="184" t="str">
        <f aca="false">SUBSTITUTE(SUBSTITUTE(SUBSTITUTE(Y28,"-",""),"(",""),")","")</f>
        <v>3522844615</v>
      </c>
      <c r="AI28" s="184" t="str">
        <f aca="false">IFERROR(VLOOKUP(AH28,#REF!,3,FALSE()),"")</f>
        <v/>
      </c>
    </row>
    <row r="29" customFormat="false" ht="12.75" hidden="false" customHeight="true" outlineLevel="0" collapsed="false">
      <c r="A29" s="177" t="s">
        <v>246</v>
      </c>
      <c r="B29" s="178" t="n">
        <v>26</v>
      </c>
      <c r="C29" s="178" t="s">
        <v>207</v>
      </c>
      <c r="D29" s="178" t="s">
        <v>247</v>
      </c>
      <c r="E29" s="178" t="s">
        <v>248</v>
      </c>
      <c r="F29" s="177" t="s">
        <v>246</v>
      </c>
      <c r="G29" s="179" t="s">
        <v>249</v>
      </c>
      <c r="H29" s="178" t="s">
        <v>250</v>
      </c>
      <c r="I29" s="178" t="s">
        <v>251</v>
      </c>
      <c r="J29" s="178"/>
      <c r="K29" s="178"/>
      <c r="L29" s="178"/>
      <c r="M29" s="178"/>
      <c r="N29" s="180"/>
      <c r="O29" s="180"/>
      <c r="P29" s="180"/>
      <c r="Q29" s="180"/>
      <c r="R29" s="155"/>
      <c r="S29" s="155"/>
      <c r="T29" s="181"/>
      <c r="U29" s="182"/>
      <c r="V29" s="182"/>
      <c r="W29" s="178" t="s">
        <v>60</v>
      </c>
      <c r="X29" s="178" t="s">
        <v>252</v>
      </c>
      <c r="Y29" s="177" t="s">
        <v>246</v>
      </c>
      <c r="Z29" s="183" t="s">
        <v>249</v>
      </c>
      <c r="AA29" s="183" t="str">
        <f aca="false">VLOOKUP(Y29,20230302Data!A:K,2,FALSE())</f>
        <v>幼 もも</v>
      </c>
      <c r="AB29" s="183" t="str">
        <f aca="false">VLOOKUP(Y29,20230302Data!A:K,3,FALSE())</f>
        <v>綾部 櫻</v>
      </c>
      <c r="AC29" s="184" t="str">
        <f aca="false">VLOOKUP(Y29,20230302Data!A:K,4,FALSE())</f>
        <v>ファリス</v>
      </c>
      <c r="AD29" s="184" t="str">
        <f aca="false">VLOOKUP(Y29,20230302Data!A:K,6,FALSE())</f>
        <v>小1－3</v>
      </c>
      <c r="AE29" s="184" t="str">
        <f aca="false">VLOOKUP(Y29,20230302Data!A:K,7,FALSE())</f>
        <v>綾部 賢造</v>
      </c>
      <c r="AF29" s="184" t="n">
        <f aca="false">VLOOKUP(Y29,20230302Data!A:K,8,FALSE())</f>
        <v>0</v>
      </c>
      <c r="AG29" s="184" t="n">
        <f aca="false">VLOOKUP(Y29,20230302Data!A:K,9,FALSE())</f>
        <v>0</v>
      </c>
      <c r="AH29" s="184" t="str">
        <f aca="false">SUBSTITUTE(SUBSTITUTE(SUBSTITUTE(Y29,"-",""),"(",""),")","")</f>
        <v>4044290867</v>
      </c>
      <c r="AI29" s="184" t="str">
        <f aca="false">IFERROR(VLOOKUP(AH29,#REF!,3,FALSE()),"")</f>
        <v/>
      </c>
    </row>
    <row r="30" customFormat="false" ht="12.75" hidden="false" customHeight="true" outlineLevel="0" collapsed="false">
      <c r="A30" s="170" t="s">
        <v>253</v>
      </c>
      <c r="B30" s="171" t="n">
        <v>27</v>
      </c>
      <c r="C30" s="171" t="s">
        <v>207</v>
      </c>
      <c r="D30" s="171" t="s">
        <v>254</v>
      </c>
      <c r="E30" s="171" t="s">
        <v>255</v>
      </c>
      <c r="F30" s="170" t="s">
        <v>253</v>
      </c>
      <c r="G30" s="111" t="s">
        <v>256</v>
      </c>
      <c r="H30" s="111"/>
      <c r="I30" s="111"/>
      <c r="J30" s="111"/>
      <c r="K30" s="111"/>
      <c r="L30" s="111"/>
      <c r="M30" s="111"/>
      <c r="N30" s="172"/>
      <c r="O30" s="172"/>
      <c r="P30" s="172"/>
      <c r="Q30" s="172"/>
      <c r="R30" s="155"/>
      <c r="S30" s="155"/>
      <c r="T30" s="173"/>
      <c r="U30" s="174"/>
      <c r="V30" s="174"/>
      <c r="W30" s="171" t="s">
        <v>33</v>
      </c>
      <c r="X30" s="111"/>
      <c r="Y30" s="170" t="s">
        <v>253</v>
      </c>
      <c r="Z30" s="170" t="s">
        <v>256</v>
      </c>
      <c r="AA30" s="175" t="str">
        <f aca="false">VLOOKUP(Y30,20230302Data!A:K,2,FALSE())</f>
        <v>幼 もも</v>
      </c>
      <c r="AB30" s="175" t="str">
        <f aca="false">VLOOKUP(Y30,20230302Data!A:K,3,FALSE())</f>
        <v>神村 咲奈</v>
      </c>
      <c r="AC30" s="176" t="str">
        <f aca="false">VLOOKUP(Y30,20230302Data!A:K,4,FALSE())</f>
        <v>洋介</v>
      </c>
      <c r="AD30" s="176" t="n">
        <f aca="false">VLOOKUP(Y30,20230302Data!A:K,6,FALSE())</f>
        <v>0</v>
      </c>
      <c r="AE30" s="176" t="n">
        <f aca="false">VLOOKUP(Y30,20230302Data!A:K,7,FALSE())</f>
        <v>0</v>
      </c>
      <c r="AF30" s="176" t="n">
        <f aca="false">VLOOKUP(Y30,20230302Data!A:K,8,FALSE())</f>
        <v>0</v>
      </c>
      <c r="AG30" s="176" t="n">
        <f aca="false">VLOOKUP(Y30,20230302Data!A:K,9,FALSE())</f>
        <v>0</v>
      </c>
      <c r="AH30" s="176" t="str">
        <f aca="false">SUBSTITUTE(SUBSTITUTE(SUBSTITUTE(Y30,"-",""),"(",""),")","")</f>
        <v>6785713691</v>
      </c>
      <c r="AI30" s="176" t="str">
        <f aca="false">IFERROR(VLOOKUP(AH30,#REF!,3,FALSE()),"")</f>
        <v/>
      </c>
    </row>
    <row r="31" customFormat="false" ht="12.75" hidden="false" customHeight="true" outlineLevel="0" collapsed="false">
      <c r="A31" s="185" t="s">
        <v>257</v>
      </c>
      <c r="B31" s="186" t="n">
        <v>28</v>
      </c>
      <c r="C31" s="186" t="s">
        <v>207</v>
      </c>
      <c r="D31" s="186" t="s">
        <v>258</v>
      </c>
      <c r="E31" s="186" t="s">
        <v>259</v>
      </c>
      <c r="F31" s="185" t="s">
        <v>257</v>
      </c>
      <c r="G31" s="187" t="s">
        <v>260</v>
      </c>
      <c r="H31" s="186" t="s">
        <v>150</v>
      </c>
      <c r="I31" s="186" t="s">
        <v>261</v>
      </c>
      <c r="J31" s="187"/>
      <c r="K31" s="187"/>
      <c r="L31" s="187"/>
      <c r="M31" s="187"/>
      <c r="N31" s="155"/>
      <c r="O31" s="155"/>
      <c r="P31" s="155"/>
      <c r="Q31" s="155"/>
      <c r="R31" s="155"/>
      <c r="S31" s="186"/>
      <c r="T31" s="188"/>
      <c r="U31" s="199"/>
      <c r="V31" s="199"/>
      <c r="W31" s="186" t="s">
        <v>55</v>
      </c>
      <c r="X31" s="187"/>
      <c r="Y31" s="185" t="s">
        <v>257</v>
      </c>
      <c r="Z31" s="190" t="s">
        <v>260</v>
      </c>
      <c r="AA31" s="190" t="str">
        <f aca="false">VLOOKUP(Y31,20230302Data!A:K,2,FALSE())</f>
        <v>幼 もも</v>
      </c>
      <c r="AB31" s="190" t="str">
        <f aca="false">VLOOKUP(Y31,20230302Data!A:K,3,FALSE())</f>
        <v>近藤 さくら</v>
      </c>
      <c r="AC31" s="191" t="str">
        <f aca="false">VLOOKUP(Y31,20230302Data!A:K,4,FALSE())</f>
        <v>政樹</v>
      </c>
      <c r="AD31" s="191" t="str">
        <f aca="false">VLOOKUP(Y31,20230302Data!A:K,6,FALSE())</f>
        <v>小2－3</v>
      </c>
      <c r="AE31" s="191" t="str">
        <f aca="false">VLOOKUP(Y31,20230302Data!A:K,7,FALSE())</f>
        <v>近藤 巧</v>
      </c>
      <c r="AF31" s="191" t="n">
        <f aca="false">VLOOKUP(Y31,20230302Data!A:K,8,FALSE())</f>
        <v>0</v>
      </c>
      <c r="AG31" s="191" t="n">
        <f aca="false">VLOOKUP(Y31,20230302Data!A:K,9,FALSE())</f>
        <v>0</v>
      </c>
      <c r="AH31" s="191" t="str">
        <f aca="false">SUBSTITUTE(SUBSTITUTE(SUBSTITUTE(Y31,"-",""),"(",""),")","")</f>
        <v>6782003387</v>
      </c>
      <c r="AI31" s="191" t="str">
        <f aca="false">IFERROR(VLOOKUP(AH31,#REF!,3,FALSE()),"")</f>
        <v/>
      </c>
    </row>
    <row r="32" customFormat="false" ht="12.75" hidden="false" customHeight="true" outlineLevel="0" collapsed="false">
      <c r="A32" s="177" t="s">
        <v>262</v>
      </c>
      <c r="B32" s="178" t="n">
        <v>29</v>
      </c>
      <c r="C32" s="178" t="s">
        <v>207</v>
      </c>
      <c r="D32" s="178" t="s">
        <v>263</v>
      </c>
      <c r="E32" s="178" t="s">
        <v>264</v>
      </c>
      <c r="F32" s="177" t="s">
        <v>262</v>
      </c>
      <c r="G32" s="179" t="s">
        <v>265</v>
      </c>
      <c r="H32" s="179"/>
      <c r="I32" s="179"/>
      <c r="J32" s="179"/>
      <c r="K32" s="179"/>
      <c r="L32" s="179"/>
      <c r="M32" s="179"/>
      <c r="N32" s="180"/>
      <c r="O32" s="180"/>
      <c r="P32" s="180"/>
      <c r="Q32" s="180"/>
      <c r="R32" s="155"/>
      <c r="S32" s="155"/>
      <c r="T32" s="181"/>
      <c r="U32" s="200"/>
      <c r="V32" s="200"/>
      <c r="W32" s="201" t="s">
        <v>60</v>
      </c>
      <c r="X32" s="179"/>
      <c r="Y32" s="177" t="s">
        <v>262</v>
      </c>
      <c r="Z32" s="183" t="s">
        <v>265</v>
      </c>
      <c r="AA32" s="183" t="str">
        <f aca="false">VLOOKUP(Y32,20230302Data!A:K,2,FALSE())</f>
        <v>幼 もも</v>
      </c>
      <c r="AB32" s="183" t="str">
        <f aca="false">VLOOKUP(Y32,20230302Data!A:K,3,FALSE())</f>
        <v>富澤 結衣</v>
      </c>
      <c r="AC32" s="184" t="str">
        <f aca="false">VLOOKUP(Y32,20230302Data!A:K,4,FALSE())</f>
        <v>明</v>
      </c>
      <c r="AD32" s="184" t="n">
        <f aca="false">VLOOKUP(Y32,20230302Data!A:K,6,FALSE())</f>
        <v>0</v>
      </c>
      <c r="AE32" s="184" t="n">
        <f aca="false">VLOOKUP(Y32,20230302Data!A:K,7,FALSE())</f>
        <v>0</v>
      </c>
      <c r="AF32" s="184" t="n">
        <f aca="false">VLOOKUP(Y32,20230302Data!A:K,8,FALSE())</f>
        <v>0</v>
      </c>
      <c r="AG32" s="184" t="n">
        <f aca="false">VLOOKUP(Y32,20230302Data!A:K,9,FALSE())</f>
        <v>0</v>
      </c>
      <c r="AH32" s="184" t="str">
        <f aca="false">SUBSTITUTE(SUBSTITUTE(SUBSTITUTE(Y32,"-",""),"(",""),")","")</f>
        <v>4042023437</v>
      </c>
      <c r="AI32" s="184" t="str">
        <f aca="false">IFERROR(VLOOKUP(AH32,#REF!,3,FALSE()),"")</f>
        <v/>
      </c>
    </row>
    <row r="33" customFormat="false" ht="12.75" hidden="false" customHeight="true" outlineLevel="0" collapsed="false">
      <c r="A33" s="177" t="s">
        <v>266</v>
      </c>
      <c r="B33" s="178" t="n">
        <v>30</v>
      </c>
      <c r="C33" s="178" t="s">
        <v>207</v>
      </c>
      <c r="D33" s="178" t="s">
        <v>267</v>
      </c>
      <c r="E33" s="178" t="s">
        <v>268</v>
      </c>
      <c r="F33" s="177" t="s">
        <v>266</v>
      </c>
      <c r="G33" s="179" t="s">
        <v>269</v>
      </c>
      <c r="H33" s="178" t="s">
        <v>150</v>
      </c>
      <c r="I33" s="178" t="s">
        <v>270</v>
      </c>
      <c r="J33" s="179"/>
      <c r="K33" s="179"/>
      <c r="L33" s="179"/>
      <c r="M33" s="179"/>
      <c r="N33" s="180"/>
      <c r="O33" s="180"/>
      <c r="P33" s="180"/>
      <c r="Q33" s="180"/>
      <c r="R33" s="155"/>
      <c r="S33" s="186"/>
      <c r="T33" s="181"/>
      <c r="U33" s="200"/>
      <c r="V33" s="200"/>
      <c r="W33" s="178" t="s">
        <v>60</v>
      </c>
      <c r="X33" s="179"/>
      <c r="Y33" s="177" t="s">
        <v>266</v>
      </c>
      <c r="Z33" s="183" t="s">
        <v>271</v>
      </c>
      <c r="AA33" s="183" t="str">
        <f aca="false">VLOOKUP(Y33,20230302Data!A:K,2,FALSE())</f>
        <v>幼 もも</v>
      </c>
      <c r="AB33" s="183" t="str">
        <f aca="false">VLOOKUP(Y33,20230302Data!A:K,3,FALSE())</f>
        <v>林 美和</v>
      </c>
      <c r="AC33" s="184" t="str">
        <f aca="false">VLOOKUP(Y33,20230302Data!A:K,4,FALSE())</f>
        <v>悠</v>
      </c>
      <c r="AD33" s="184" t="str">
        <f aca="false">VLOOKUP(Y33,20230302Data!A:K,6,FALSE())</f>
        <v>小2－3</v>
      </c>
      <c r="AE33" s="184" t="str">
        <f aca="false">VLOOKUP(Y33,20230302Data!A:K,7,FALSE())</f>
        <v>林 美桜</v>
      </c>
      <c r="AF33" s="184" t="n">
        <f aca="false">VLOOKUP(Y33,20230302Data!A:K,8,FALSE())</f>
        <v>0</v>
      </c>
      <c r="AG33" s="184" t="n">
        <f aca="false">VLOOKUP(Y33,20230302Data!A:K,9,FALSE())</f>
        <v>0</v>
      </c>
      <c r="AH33" s="184" t="str">
        <f aca="false">SUBSTITUTE(SUBSTITUTE(SUBSTITUTE(Y33,"-",""),"(",""),")","")</f>
        <v>6788973721</v>
      </c>
      <c r="AI33" s="184" t="str">
        <f aca="false">IFERROR(VLOOKUP(AH33,#REF!,3,FALSE()),"")</f>
        <v/>
      </c>
    </row>
    <row r="34" customFormat="false" ht="12.75" hidden="false" customHeight="true" outlineLevel="0" collapsed="false">
      <c r="A34" s="162" t="s">
        <v>272</v>
      </c>
      <c r="B34" s="163" t="n">
        <v>31</v>
      </c>
      <c r="C34" s="163" t="s">
        <v>207</v>
      </c>
      <c r="D34" s="163" t="s">
        <v>273</v>
      </c>
      <c r="E34" s="163" t="s">
        <v>274</v>
      </c>
      <c r="F34" s="210" t="s">
        <v>275</v>
      </c>
      <c r="G34" s="116" t="s">
        <v>276</v>
      </c>
      <c r="H34" s="116"/>
      <c r="I34" s="116"/>
      <c r="J34" s="116"/>
      <c r="K34" s="116"/>
      <c r="L34" s="116"/>
      <c r="M34" s="116"/>
      <c r="N34" s="164"/>
      <c r="O34" s="164"/>
      <c r="P34" s="164"/>
      <c r="Q34" s="163"/>
      <c r="R34" s="164"/>
      <c r="S34" s="163"/>
      <c r="T34" s="165"/>
      <c r="U34" s="166"/>
      <c r="V34" s="166"/>
      <c r="W34" s="116"/>
      <c r="X34" s="116"/>
      <c r="Y34" s="162" t="s">
        <v>272</v>
      </c>
      <c r="Z34" s="167" t="s">
        <v>276</v>
      </c>
      <c r="AA34" s="168" t="str">
        <f aca="false">VLOOKUP(Y34,20230302Data!A:K,2,FALSE())</f>
        <v>幼 もも</v>
      </c>
      <c r="AB34" s="168" t="str">
        <f aca="false">VLOOKUP(Y34,20230302Data!A:K,3,FALSE())</f>
        <v>益田 華</v>
      </c>
      <c r="AC34" s="169" t="str">
        <f aca="false">VLOOKUP(Y34,20230302Data!A:K,4,FALSE())</f>
        <v>拓朗</v>
      </c>
      <c r="AD34" s="169" t="n">
        <f aca="false">VLOOKUP(Y34,20230302Data!A:K,6,FALSE())</f>
        <v>0</v>
      </c>
      <c r="AE34" s="169" t="n">
        <f aca="false">VLOOKUP(Y34,20230302Data!A:K,7,FALSE())</f>
        <v>0</v>
      </c>
      <c r="AF34" s="169" t="n">
        <f aca="false">VLOOKUP(Y34,20230302Data!A:K,8,FALSE())</f>
        <v>0</v>
      </c>
      <c r="AG34" s="169" t="n">
        <f aca="false">VLOOKUP(Y34,20230302Data!A:K,9,FALSE())</f>
        <v>0</v>
      </c>
      <c r="AH34" s="169" t="str">
        <f aca="false">SUBSTITUTE(SUBSTITUTE(SUBSTITUTE(Y34,"-",""),"(",""),")","")</f>
        <v>6783159092</v>
      </c>
      <c r="AI34" s="169" t="str">
        <f aca="false">IFERROR(VLOOKUP(AH34,#REF!,3,FALSE()),"")</f>
        <v/>
      </c>
    </row>
    <row r="35" customFormat="false" ht="12.75" hidden="false" customHeight="true" outlineLevel="0" collapsed="false">
      <c r="A35" s="162" t="s">
        <v>277</v>
      </c>
      <c r="B35" s="163" t="n">
        <v>32</v>
      </c>
      <c r="C35" s="163" t="s">
        <v>207</v>
      </c>
      <c r="D35" s="163" t="s">
        <v>278</v>
      </c>
      <c r="E35" s="163" t="s">
        <v>279</v>
      </c>
      <c r="F35" s="162" t="s">
        <v>277</v>
      </c>
      <c r="G35" s="116" t="s">
        <v>280</v>
      </c>
      <c r="H35" s="116"/>
      <c r="I35" s="116"/>
      <c r="J35" s="116"/>
      <c r="K35" s="116"/>
      <c r="L35" s="116"/>
      <c r="M35" s="116"/>
      <c r="N35" s="164"/>
      <c r="O35" s="164"/>
      <c r="P35" s="164"/>
      <c r="Q35" s="163"/>
      <c r="R35" s="164"/>
      <c r="S35" s="163"/>
      <c r="T35" s="165"/>
      <c r="U35" s="166"/>
      <c r="V35" s="166"/>
      <c r="W35" s="116"/>
      <c r="X35" s="116"/>
      <c r="Y35" s="162" t="s">
        <v>277</v>
      </c>
      <c r="Z35" s="167" t="s">
        <v>280</v>
      </c>
      <c r="AA35" s="168" t="str">
        <f aca="false">VLOOKUP(Y35,20230302Data!A:K,2,FALSE())</f>
        <v>幼 もも</v>
      </c>
      <c r="AB35" s="168" t="str">
        <f aca="false">VLOOKUP(Y35,20230302Data!A:K,3,FALSE())</f>
        <v>森本 七瀬</v>
      </c>
      <c r="AC35" s="169" t="str">
        <f aca="false">VLOOKUP(Y35,20230302Data!A:K,4,FALSE())</f>
        <v>祐輔</v>
      </c>
      <c r="AD35" s="169" t="n">
        <f aca="false">VLOOKUP(Y35,20230302Data!A:K,6,FALSE())</f>
        <v>0</v>
      </c>
      <c r="AE35" s="169" t="n">
        <f aca="false">VLOOKUP(Y35,20230302Data!A:K,7,FALSE())</f>
        <v>0</v>
      </c>
      <c r="AF35" s="169" t="n">
        <f aca="false">VLOOKUP(Y35,20230302Data!A:K,8,FALSE())</f>
        <v>0</v>
      </c>
      <c r="AG35" s="169" t="n">
        <f aca="false">VLOOKUP(Y35,20230302Data!A:K,9,FALSE())</f>
        <v>0</v>
      </c>
      <c r="AH35" s="169" t="str">
        <f aca="false">SUBSTITUTE(SUBSTITUTE(SUBSTITUTE(Y35,"-",""),"(",""),")","")</f>
        <v>7069343352</v>
      </c>
      <c r="AI35" s="169" t="str">
        <f aca="false">IFERROR(VLOOKUP(AH35,#REF!,3,FALSE()),"")</f>
        <v/>
      </c>
    </row>
    <row r="36" customFormat="false" ht="12.75" hidden="false" customHeight="true" outlineLevel="0" collapsed="false">
      <c r="A36" s="153" t="s">
        <v>281</v>
      </c>
      <c r="B36" s="152" t="n">
        <v>34</v>
      </c>
      <c r="C36" s="152" t="s">
        <v>207</v>
      </c>
      <c r="D36" s="152" t="s">
        <v>282</v>
      </c>
      <c r="E36" s="152" t="s">
        <v>283</v>
      </c>
      <c r="F36" s="151" t="s">
        <v>281</v>
      </c>
      <c r="G36" s="153" t="s">
        <v>284</v>
      </c>
      <c r="H36" s="152" t="s">
        <v>131</v>
      </c>
      <c r="I36" s="152" t="s">
        <v>285</v>
      </c>
      <c r="J36" s="152" t="s">
        <v>286</v>
      </c>
      <c r="K36" s="158" t="s">
        <v>287</v>
      </c>
      <c r="L36" s="158"/>
      <c r="M36" s="153"/>
      <c r="N36" s="154" t="n">
        <v>45045</v>
      </c>
      <c r="O36" s="151" t="s">
        <v>67</v>
      </c>
      <c r="P36" s="155"/>
      <c r="Q36" s="155"/>
      <c r="R36" s="154"/>
      <c r="S36" s="154"/>
      <c r="T36" s="156"/>
      <c r="U36" s="157" t="n">
        <v>44674</v>
      </c>
      <c r="V36" s="157"/>
      <c r="W36" s="158" t="s">
        <v>103</v>
      </c>
      <c r="X36" s="153"/>
      <c r="Y36" s="153" t="s">
        <v>281</v>
      </c>
      <c r="Z36" s="159" t="s">
        <v>284</v>
      </c>
      <c r="AA36" s="160" t="str">
        <f aca="false">VLOOKUP(Y36,20230302Data!A:K,2,FALSE())</f>
        <v>幼 もも</v>
      </c>
      <c r="AB36" s="160" t="str">
        <f aca="false">VLOOKUP(Y36,20230302Data!A:K,3,FALSE())</f>
        <v>山根 悠希</v>
      </c>
      <c r="AC36" s="161" t="str">
        <f aca="false">VLOOKUP(Y36,20230302Data!A:K,4,FALSE())</f>
        <v>聡</v>
      </c>
      <c r="AD36" s="161" t="str">
        <f aca="false">VLOOKUP(Y36,20230302Data!A:K,6,FALSE())</f>
        <v>小2－1</v>
      </c>
      <c r="AE36" s="161" t="str">
        <f aca="false">VLOOKUP(Y36,20230302Data!A:K,7,FALSE())</f>
        <v>山根 綾乃</v>
      </c>
      <c r="AF36" s="161" t="str">
        <f aca="false">VLOOKUP(Y36,20230302Data!A:K,8,FALSE())</f>
        <v>小5－2</v>
      </c>
      <c r="AG36" s="161" t="str">
        <f aca="false">VLOOKUP(Y36,20230302Data!A:K,9,FALSE())</f>
        <v>山根 陸</v>
      </c>
      <c r="AH36" s="161" t="str">
        <f aca="false">SUBSTITUTE(SUBSTITUTE(SUBSTITUTE(Y36,"-",""),"(",""),")","")</f>
        <v>4705195525</v>
      </c>
      <c r="AI36" s="161" t="str">
        <f aca="false">IFERROR(VLOOKUP(AH36,#REF!,3,FALSE()),"")</f>
        <v/>
      </c>
    </row>
    <row r="37" customFormat="false" ht="12.75" hidden="false" customHeight="true" outlineLevel="0" collapsed="false">
      <c r="A37" s="170" t="s">
        <v>288</v>
      </c>
      <c r="B37" s="171" t="n">
        <v>35</v>
      </c>
      <c r="C37" s="171" t="s">
        <v>207</v>
      </c>
      <c r="D37" s="171" t="s">
        <v>289</v>
      </c>
      <c r="E37" s="171" t="s">
        <v>290</v>
      </c>
      <c r="F37" s="170" t="s">
        <v>288</v>
      </c>
      <c r="G37" s="111" t="s">
        <v>291</v>
      </c>
      <c r="H37" s="171" t="s">
        <v>183</v>
      </c>
      <c r="I37" s="171" t="s">
        <v>292</v>
      </c>
      <c r="J37" s="171"/>
      <c r="K37" s="111"/>
      <c r="L37" s="111"/>
      <c r="M37" s="111"/>
      <c r="N37" s="172"/>
      <c r="O37" s="171"/>
      <c r="P37" s="172"/>
      <c r="Q37" s="172"/>
      <c r="R37" s="155"/>
      <c r="S37" s="155"/>
      <c r="T37" s="173"/>
      <c r="U37" s="174" t="n">
        <v>44779</v>
      </c>
      <c r="V37" s="174"/>
      <c r="W37" s="171" t="s">
        <v>33</v>
      </c>
      <c r="X37" s="111"/>
      <c r="Y37" s="170" t="s">
        <v>288</v>
      </c>
      <c r="Z37" s="111" t="s">
        <v>291</v>
      </c>
      <c r="AA37" s="175" t="str">
        <f aca="false">VLOOKUP(Y37,20230302Data!A:K,2,FALSE())</f>
        <v>幼 もも</v>
      </c>
      <c r="AB37" s="175" t="str">
        <f aca="false">VLOOKUP(Y37,20230302Data!A:K,3,FALSE())</f>
        <v>磯部 美桜</v>
      </c>
      <c r="AC37" s="176" t="str">
        <f aca="false">VLOOKUP(Y37,20230302Data!A:K,4,FALSE())</f>
        <v>大介</v>
      </c>
      <c r="AD37" s="176" t="str">
        <f aca="false">VLOOKUP(Y37,20230302Data!A:K,6,FALSE())</f>
        <v>小3－2</v>
      </c>
      <c r="AE37" s="176" t="str">
        <f aca="false">VLOOKUP(Y37,20230302Data!A:K,7,FALSE())</f>
        <v>磯部 侑理</v>
      </c>
      <c r="AF37" s="176" t="n">
        <f aca="false">VLOOKUP(Y37,20230302Data!A:K,8,FALSE())</f>
        <v>0</v>
      </c>
      <c r="AG37" s="176" t="n">
        <f aca="false">VLOOKUP(Y37,20230302Data!A:K,9,FALSE())</f>
        <v>0</v>
      </c>
      <c r="AH37" s="176" t="str">
        <f aca="false">SUBSTITUTE(SUBSTITUTE(SUBSTITUTE(Y37,"-",""),"(",""),")","")</f>
        <v>7703147618</v>
      </c>
      <c r="AI37" s="176" t="str">
        <f aca="false">IFERROR(VLOOKUP(AH37,#REF!,3,FALSE()),"")</f>
        <v/>
      </c>
    </row>
    <row r="38" customFormat="false" ht="12.75" hidden="false" customHeight="true" outlineLevel="0" collapsed="false">
      <c r="A38" s="170" t="s">
        <v>293</v>
      </c>
      <c r="B38" s="171" t="n">
        <v>36</v>
      </c>
      <c r="C38" s="171" t="s">
        <v>207</v>
      </c>
      <c r="D38" s="171" t="s">
        <v>294</v>
      </c>
      <c r="E38" s="171" t="s">
        <v>295</v>
      </c>
      <c r="F38" s="170" t="s">
        <v>293</v>
      </c>
      <c r="G38" s="111" t="s">
        <v>296</v>
      </c>
      <c r="H38" s="171" t="s">
        <v>120</v>
      </c>
      <c r="I38" s="171" t="s">
        <v>297</v>
      </c>
      <c r="J38" s="171" t="s">
        <v>185</v>
      </c>
      <c r="K38" s="171" t="s">
        <v>298</v>
      </c>
      <c r="L38" s="171"/>
      <c r="M38" s="171"/>
      <c r="N38" s="172"/>
      <c r="O38" s="172"/>
      <c r="P38" s="172"/>
      <c r="Q38" s="172"/>
      <c r="R38" s="155"/>
      <c r="S38" s="155"/>
      <c r="T38" s="173"/>
      <c r="U38" s="195"/>
      <c r="V38" s="195"/>
      <c r="W38" s="171" t="s">
        <v>152</v>
      </c>
      <c r="X38" s="171" t="s">
        <v>299</v>
      </c>
      <c r="Y38" s="170" t="s">
        <v>293</v>
      </c>
      <c r="Z38" s="175" t="s">
        <v>300</v>
      </c>
      <c r="AA38" s="175" t="str">
        <f aca="false">VLOOKUP(Y38,20230302Data!A:K,2,FALSE())</f>
        <v>幼 もも</v>
      </c>
      <c r="AB38" s="175" t="str">
        <f aca="false">VLOOKUP(Y38,20230302Data!A:K,3,FALSE())</f>
        <v>西 竜輝</v>
      </c>
      <c r="AC38" s="176" t="str">
        <f aca="false">VLOOKUP(Y38,20230302Data!A:K,4,FALSE())</f>
        <v>佑樹</v>
      </c>
      <c r="AD38" s="176" t="str">
        <f aca="false">VLOOKUP(Y38,20230302Data!A:K,6,FALSE())</f>
        <v>小4－1</v>
      </c>
      <c r="AE38" s="176" t="str">
        <f aca="false">VLOOKUP(Y38,20230302Data!A:K,7,FALSE())</f>
        <v>西 朝輝</v>
      </c>
      <c r="AF38" s="176" t="str">
        <f aca="false">VLOOKUP(Y38,20230302Data!A:K,8,FALSE())</f>
        <v>小5－1</v>
      </c>
      <c r="AG38" s="176" t="str">
        <f aca="false">VLOOKUP(Y38,20230302Data!A:K,9,FALSE())</f>
        <v>西 美咲</v>
      </c>
      <c r="AH38" s="176" t="str">
        <f aca="false">SUBSTITUTE(SUBSTITUTE(SUBSTITUTE(Y38,"-",""),"(",""),")","")</f>
        <v>3108095341</v>
      </c>
      <c r="AI38" s="176" t="str">
        <f aca="false">IFERROR(VLOOKUP(AH38,#REF!,3,FALSE()),"")</f>
        <v/>
      </c>
    </row>
    <row r="39" customFormat="false" ht="12.75" hidden="false" customHeight="true" outlineLevel="0" collapsed="false">
      <c r="A39" s="170" t="s">
        <v>301</v>
      </c>
      <c r="B39" s="171" t="n">
        <v>37</v>
      </c>
      <c r="C39" s="171" t="s">
        <v>302</v>
      </c>
      <c r="D39" s="171" t="s">
        <v>303</v>
      </c>
      <c r="E39" s="171" t="s">
        <v>268</v>
      </c>
      <c r="F39" s="170" t="s">
        <v>301</v>
      </c>
      <c r="G39" s="170" t="s">
        <v>304</v>
      </c>
      <c r="H39" s="171"/>
      <c r="I39" s="171"/>
      <c r="J39" s="171"/>
      <c r="K39" s="171"/>
      <c r="L39" s="171"/>
      <c r="M39" s="171"/>
      <c r="N39" s="172"/>
      <c r="O39" s="172"/>
      <c r="P39" s="172"/>
      <c r="Q39" s="172"/>
      <c r="R39" s="155"/>
      <c r="S39" s="155"/>
      <c r="T39" s="173"/>
      <c r="U39" s="195"/>
      <c r="V39" s="195"/>
      <c r="W39" s="171" t="s">
        <v>33</v>
      </c>
      <c r="X39" s="171" t="s">
        <v>305</v>
      </c>
      <c r="Y39" s="170" t="s">
        <v>301</v>
      </c>
      <c r="Z39" s="175" t="s">
        <v>306</v>
      </c>
      <c r="AA39" s="175" t="str">
        <f aca="false">VLOOKUP(Y39,20230302Data!A:K,2,FALSE())</f>
        <v>小1－1</v>
      </c>
      <c r="AB39" s="175" t="str">
        <f aca="false">VLOOKUP(Y39,20230302Data!A:K,3,FALSE())</f>
        <v>上原 圭翔</v>
      </c>
      <c r="AC39" s="176" t="str">
        <f aca="false">VLOOKUP(Y39,20230302Data!A:K,4,FALSE())</f>
        <v>悠</v>
      </c>
      <c r="AD39" s="176" t="n">
        <f aca="false">VLOOKUP(Y39,20230302Data!A:K,6,FALSE())</f>
        <v>0</v>
      </c>
      <c r="AE39" s="176" t="n">
        <f aca="false">VLOOKUP(Y39,20230302Data!A:K,7,FALSE())</f>
        <v>0</v>
      </c>
      <c r="AF39" s="176" t="n">
        <f aca="false">VLOOKUP(Y39,20230302Data!A:K,8,FALSE())</f>
        <v>0</v>
      </c>
      <c r="AG39" s="176" t="n">
        <f aca="false">VLOOKUP(Y39,20230302Data!A:K,9,FALSE())</f>
        <v>0</v>
      </c>
      <c r="AH39" s="176" t="str">
        <f aca="false">SUBSTITUTE(SUBSTITUTE(SUBSTITUTE(Y39,"-",""),"(",""),")","")</f>
        <v>7703093296</v>
      </c>
      <c r="AI39" s="176" t="str">
        <f aca="false">IFERROR(VLOOKUP(AH39,#REF!,3,FALSE()),"")</f>
        <v/>
      </c>
    </row>
    <row r="40" customFormat="false" ht="12.75" hidden="false" customHeight="true" outlineLevel="0" collapsed="false">
      <c r="A40" s="162" t="s">
        <v>307</v>
      </c>
      <c r="B40" s="163" t="n">
        <v>38</v>
      </c>
      <c r="C40" s="163" t="s">
        <v>302</v>
      </c>
      <c r="D40" s="163" t="s">
        <v>308</v>
      </c>
      <c r="E40" s="163" t="s">
        <v>309</v>
      </c>
      <c r="F40" s="162" t="s">
        <v>307</v>
      </c>
      <c r="G40" s="116" t="s">
        <v>310</v>
      </c>
      <c r="H40" s="116"/>
      <c r="I40" s="116"/>
      <c r="J40" s="116"/>
      <c r="K40" s="116"/>
      <c r="L40" s="116"/>
      <c r="M40" s="116"/>
      <c r="N40" s="164"/>
      <c r="O40" s="164"/>
      <c r="P40" s="164"/>
      <c r="Q40" s="164"/>
      <c r="R40" s="164"/>
      <c r="S40" s="163"/>
      <c r="T40" s="165"/>
      <c r="U40" s="166"/>
      <c r="V40" s="166"/>
      <c r="W40" s="116"/>
      <c r="X40" s="116"/>
      <c r="Y40" s="162" t="s">
        <v>307</v>
      </c>
      <c r="Z40" s="167" t="s">
        <v>310</v>
      </c>
      <c r="AA40" s="168" t="str">
        <f aca="false">VLOOKUP(Y40,20230302Data!A:K,2,FALSE())</f>
        <v>小1－1</v>
      </c>
      <c r="AB40" s="168" t="str">
        <f aca="false">VLOOKUP(Y40,20230302Data!A:K,3,FALSE())</f>
        <v>鈴木 賢斗</v>
      </c>
      <c r="AC40" s="169" t="str">
        <f aca="false">VLOOKUP(Y40,20230302Data!A:K,4,FALSE())</f>
        <v>ジェームス</v>
      </c>
      <c r="AD40" s="169" t="n">
        <f aca="false">VLOOKUP(Y40,20230302Data!A:K,6,FALSE())</f>
        <v>0</v>
      </c>
      <c r="AE40" s="169" t="n">
        <f aca="false">VLOOKUP(Y40,20230302Data!A:K,7,FALSE())</f>
        <v>0</v>
      </c>
      <c r="AF40" s="169" t="n">
        <f aca="false">VLOOKUP(Y40,20230302Data!A:K,8,FALSE())</f>
        <v>0</v>
      </c>
      <c r="AG40" s="169" t="n">
        <f aca="false">VLOOKUP(Y40,20230302Data!A:K,9,FALSE())</f>
        <v>0</v>
      </c>
      <c r="AH40" s="169" t="str">
        <f aca="false">SUBSTITUTE(SUBSTITUTE(SUBSTITUTE(Y40,"-",""),"(",""),")","")</f>
        <v>7708855784</v>
      </c>
      <c r="AI40" s="169" t="str">
        <f aca="false">IFERROR(VLOOKUP(AH40,#REF!,3,FALSE()),"")</f>
        <v/>
      </c>
    </row>
    <row r="41" customFormat="false" ht="12.75" hidden="false" customHeight="true" outlineLevel="0" collapsed="false">
      <c r="A41" s="162" t="s">
        <v>311</v>
      </c>
      <c r="B41" s="163" t="n">
        <v>39</v>
      </c>
      <c r="C41" s="163" t="s">
        <v>302</v>
      </c>
      <c r="D41" s="163" t="s">
        <v>312</v>
      </c>
      <c r="E41" s="163" t="s">
        <v>313</v>
      </c>
      <c r="F41" s="210" t="s">
        <v>314</v>
      </c>
      <c r="G41" s="211" t="s">
        <v>315</v>
      </c>
      <c r="H41" s="163" t="s">
        <v>101</v>
      </c>
      <c r="I41" s="163" t="s">
        <v>316</v>
      </c>
      <c r="J41" s="116"/>
      <c r="K41" s="116"/>
      <c r="L41" s="116"/>
      <c r="M41" s="116"/>
      <c r="N41" s="164"/>
      <c r="O41" s="163"/>
      <c r="P41" s="164"/>
      <c r="Q41" s="164"/>
      <c r="R41" s="164" t="n">
        <v>45031</v>
      </c>
      <c r="S41" s="162" t="s">
        <v>67</v>
      </c>
      <c r="T41" s="165"/>
      <c r="U41" s="166"/>
      <c r="V41" s="166"/>
      <c r="W41" s="116"/>
      <c r="X41" s="116"/>
      <c r="Y41" s="162" t="s">
        <v>311</v>
      </c>
      <c r="Z41" s="167" t="s">
        <v>317</v>
      </c>
      <c r="AA41" s="168" t="str">
        <f aca="false">VLOOKUP(Y41,20230302Data!A:K,2,FALSE())</f>
        <v>小1－1</v>
      </c>
      <c r="AB41" s="168" t="str">
        <f aca="false">VLOOKUP(Y41,20230302Data!A:K,3,FALSE())</f>
        <v>齋藤 鉄平</v>
      </c>
      <c r="AC41" s="169" t="str">
        <f aca="false">VLOOKUP(Y41,20230302Data!A:K,4,FALSE())</f>
        <v>甲侍</v>
      </c>
      <c r="AD41" s="169" t="str">
        <f aca="false">VLOOKUP(Y41,20230302Data!A:K,6,FALSE())</f>
        <v>小3－1</v>
      </c>
      <c r="AE41" s="169" t="str">
        <f aca="false">VLOOKUP(Y41,20230302Data!A:K,7,FALSE())</f>
        <v>齋藤 理子</v>
      </c>
      <c r="AF41" s="169" t="n">
        <f aca="false">VLOOKUP(Y41,20230302Data!A:K,8,FALSE())</f>
        <v>0</v>
      </c>
      <c r="AG41" s="169" t="n">
        <f aca="false">VLOOKUP(Y41,20230302Data!A:K,9,FALSE())</f>
        <v>0</v>
      </c>
      <c r="AH41" s="169" t="str">
        <f aca="false">SUBSTITUTE(SUBSTITUTE(SUBSTITUTE(Y41,"-",""),"(",""),")","")</f>
        <v>4703232313</v>
      </c>
      <c r="AI41" s="169" t="str">
        <f aca="false">IFERROR(VLOOKUP(AH41,#REF!,3,FALSE()),"")</f>
        <v/>
      </c>
    </row>
    <row r="42" customFormat="false" ht="12.75" hidden="false" customHeight="true" outlineLevel="0" collapsed="false">
      <c r="A42" s="185" t="s">
        <v>318</v>
      </c>
      <c r="B42" s="186" t="n">
        <v>40</v>
      </c>
      <c r="C42" s="186" t="s">
        <v>302</v>
      </c>
      <c r="D42" s="186" t="s">
        <v>319</v>
      </c>
      <c r="E42" s="186" t="s">
        <v>320</v>
      </c>
      <c r="F42" s="185" t="s">
        <v>318</v>
      </c>
      <c r="G42" s="187" t="s">
        <v>321</v>
      </c>
      <c r="H42" s="186" t="s">
        <v>322</v>
      </c>
      <c r="I42" s="186" t="s">
        <v>323</v>
      </c>
      <c r="J42" s="186"/>
      <c r="K42" s="186"/>
      <c r="L42" s="186"/>
      <c r="M42" s="186"/>
      <c r="N42" s="155"/>
      <c r="O42" s="155"/>
      <c r="P42" s="155"/>
      <c r="Q42" s="186"/>
      <c r="R42" s="155"/>
      <c r="S42" s="155"/>
      <c r="T42" s="188"/>
      <c r="U42" s="189"/>
      <c r="V42" s="189"/>
      <c r="W42" s="186" t="s">
        <v>55</v>
      </c>
      <c r="X42" s="186" t="s">
        <v>324</v>
      </c>
      <c r="Y42" s="185" t="s">
        <v>318</v>
      </c>
      <c r="Z42" s="190" t="s">
        <v>321</v>
      </c>
      <c r="AA42" s="190" t="str">
        <f aca="false">VLOOKUP(Y42,20230302Data!A:K,2,FALSE())</f>
        <v>小1－1</v>
      </c>
      <c r="AB42" s="190" t="str">
        <f aca="false">VLOOKUP(Y42,20230302Data!A:K,3,FALSE())</f>
        <v>渡辺 琳久</v>
      </c>
      <c r="AC42" s="191" t="str">
        <f aca="false">VLOOKUP(Y42,20230302Data!A:K,4,FALSE())</f>
        <v>哲也</v>
      </c>
      <c r="AD42" s="191" t="str">
        <f aca="false">VLOOKUP(Y42,20230302Data!A:K,6,FALSE())</f>
        <v>小4－2</v>
      </c>
      <c r="AE42" s="191" t="str">
        <f aca="false">VLOOKUP(Y42,20230302Data!A:K,7,FALSE())</f>
        <v>渡辺 遼</v>
      </c>
      <c r="AF42" s="191" t="n">
        <f aca="false">VLOOKUP(Y42,20230302Data!A:K,8,FALSE())</f>
        <v>0</v>
      </c>
      <c r="AG42" s="191" t="n">
        <f aca="false">VLOOKUP(Y42,20230302Data!A:K,9,FALSE())</f>
        <v>0</v>
      </c>
      <c r="AH42" s="191" t="str">
        <f aca="false">SUBSTITUTE(SUBSTITUTE(SUBSTITUTE(Y42,"-",""),"(",""),")","")</f>
        <v>4707580428</v>
      </c>
      <c r="AI42" s="191" t="str">
        <f aca="false">IFERROR(VLOOKUP(AH42,#REF!,3,FALSE()),"")</f>
        <v/>
      </c>
    </row>
    <row r="43" customFormat="false" ht="12.75" hidden="false" customHeight="true" outlineLevel="0" collapsed="false">
      <c r="A43" s="162" t="s">
        <v>325</v>
      </c>
      <c r="B43" s="163" t="n">
        <v>41</v>
      </c>
      <c r="C43" s="163" t="s">
        <v>302</v>
      </c>
      <c r="D43" s="163" t="s">
        <v>326</v>
      </c>
      <c r="E43" s="163" t="s">
        <v>327</v>
      </c>
      <c r="F43" s="162" t="s">
        <v>325</v>
      </c>
      <c r="G43" s="211" t="s">
        <v>328</v>
      </c>
      <c r="H43" s="163" t="s">
        <v>215</v>
      </c>
      <c r="I43" s="163" t="s">
        <v>329</v>
      </c>
      <c r="J43" s="116"/>
      <c r="K43" s="116"/>
      <c r="L43" s="116"/>
      <c r="M43" s="116"/>
      <c r="N43" s="164"/>
      <c r="O43" s="164"/>
      <c r="P43" s="164"/>
      <c r="Q43" s="164"/>
      <c r="R43" s="164" t="n">
        <v>45031</v>
      </c>
      <c r="S43" s="162" t="s">
        <v>126</v>
      </c>
      <c r="T43" s="165"/>
      <c r="U43" s="166"/>
      <c r="V43" s="166"/>
      <c r="W43" s="116"/>
      <c r="X43" s="116"/>
      <c r="Y43" s="162" t="s">
        <v>325</v>
      </c>
      <c r="Z43" s="167" t="s">
        <v>330</v>
      </c>
      <c r="AA43" s="168" t="str">
        <f aca="false">VLOOKUP(Y43,20230302Data!A:K,2,FALSE())</f>
        <v>小1－1</v>
      </c>
      <c r="AB43" s="168" t="str">
        <f aca="false">VLOOKUP(Y43,20230302Data!A:K,3,FALSE())</f>
        <v>井手 康平</v>
      </c>
      <c r="AC43" s="169" t="str">
        <f aca="false">VLOOKUP(Y43,20230302Data!A:K,4,FALSE())</f>
        <v>悟</v>
      </c>
      <c r="AD43" s="169" t="str">
        <f aca="false">VLOOKUP(Y43,20230302Data!A:K,6,FALSE())</f>
        <v>中2－1</v>
      </c>
      <c r="AE43" s="169" t="str">
        <f aca="false">VLOOKUP(Y43,20230302Data!A:K,7,FALSE())</f>
        <v>井手 優花</v>
      </c>
      <c r="AF43" s="169" t="n">
        <f aca="false">VLOOKUP(Y43,20230302Data!A:K,8,FALSE())</f>
        <v>0</v>
      </c>
      <c r="AG43" s="169" t="n">
        <f aca="false">VLOOKUP(Y43,20230302Data!A:K,9,FALSE())</f>
        <v>0</v>
      </c>
      <c r="AH43" s="169" t="str">
        <f aca="false">SUBSTITUTE(SUBSTITUTE(SUBSTITUTE(Y43,"-",""),"(",""),")","")</f>
        <v>4233090395</v>
      </c>
      <c r="AI43" s="169" t="str">
        <f aca="false">IFERROR(VLOOKUP(AH43,#REF!,3,FALSE()),"")</f>
        <v/>
      </c>
    </row>
    <row r="44" customFormat="false" ht="12.75" hidden="false" customHeight="true" outlineLevel="0" collapsed="false">
      <c r="A44" s="162" t="s">
        <v>331</v>
      </c>
      <c r="B44" s="163" t="n">
        <v>42</v>
      </c>
      <c r="C44" s="163" t="s">
        <v>302</v>
      </c>
      <c r="D44" s="163" t="s">
        <v>332</v>
      </c>
      <c r="E44" s="163" t="s">
        <v>333</v>
      </c>
      <c r="F44" s="162" t="s">
        <v>331</v>
      </c>
      <c r="G44" s="116" t="s">
        <v>334</v>
      </c>
      <c r="H44" s="116"/>
      <c r="I44" s="116"/>
      <c r="J44" s="116"/>
      <c r="K44" s="116"/>
      <c r="L44" s="116"/>
      <c r="M44" s="116"/>
      <c r="N44" s="164" t="n">
        <v>45052</v>
      </c>
      <c r="O44" s="162" t="s">
        <v>335</v>
      </c>
      <c r="P44" s="164"/>
      <c r="Q44" s="164"/>
      <c r="R44" s="164"/>
      <c r="S44" s="164"/>
      <c r="T44" s="165"/>
      <c r="U44" s="166"/>
      <c r="V44" s="166"/>
      <c r="W44" s="116"/>
      <c r="X44" s="116"/>
      <c r="Y44" s="162" t="s">
        <v>331</v>
      </c>
      <c r="Z44" s="167" t="s">
        <v>334</v>
      </c>
      <c r="AA44" s="168" t="str">
        <f aca="false">VLOOKUP(Y44,20230302Data!A:K,2,FALSE())</f>
        <v>小1－1</v>
      </c>
      <c r="AB44" s="168" t="str">
        <f aca="false">VLOOKUP(Y44,20230302Data!A:K,3,FALSE())</f>
        <v>松田 悠生</v>
      </c>
      <c r="AC44" s="169" t="str">
        <f aca="false">VLOOKUP(Y44,20230302Data!A:K,4,FALSE())</f>
        <v>陽介</v>
      </c>
      <c r="AD44" s="169" t="n">
        <f aca="false">VLOOKUP(Y44,20230302Data!A:K,6,FALSE())</f>
        <v>0</v>
      </c>
      <c r="AE44" s="169" t="n">
        <f aca="false">VLOOKUP(Y44,20230302Data!A:K,7,FALSE())</f>
        <v>0</v>
      </c>
      <c r="AF44" s="169" t="n">
        <f aca="false">VLOOKUP(Y44,20230302Data!A:K,8,FALSE())</f>
        <v>0</v>
      </c>
      <c r="AG44" s="169" t="n">
        <f aca="false">VLOOKUP(Y44,20230302Data!A:K,9,FALSE())</f>
        <v>0</v>
      </c>
      <c r="AH44" s="169" t="str">
        <f aca="false">SUBSTITUTE(SUBSTITUTE(SUBSTITUTE(Y44,"-",""),"(",""),")","")</f>
        <v>7706954988</v>
      </c>
      <c r="AI44" s="169" t="str">
        <f aca="false">IFERROR(VLOOKUP(AH44,#REF!,3,FALSE()),"")</f>
        <v/>
      </c>
    </row>
    <row r="45" customFormat="false" ht="12.75" hidden="false" customHeight="true" outlineLevel="0" collapsed="false">
      <c r="A45" s="162" t="s">
        <v>336</v>
      </c>
      <c r="B45" s="163" t="n">
        <v>43</v>
      </c>
      <c r="C45" s="163" t="s">
        <v>302</v>
      </c>
      <c r="D45" s="163" t="s">
        <v>337</v>
      </c>
      <c r="E45" s="163" t="s">
        <v>338</v>
      </c>
      <c r="F45" s="162" t="s">
        <v>336</v>
      </c>
      <c r="G45" s="116" t="s">
        <v>339</v>
      </c>
      <c r="H45" s="116"/>
      <c r="I45" s="116"/>
      <c r="J45" s="116"/>
      <c r="K45" s="116"/>
      <c r="L45" s="116"/>
      <c r="M45" s="116"/>
      <c r="N45" s="164" t="n">
        <v>45052</v>
      </c>
      <c r="O45" s="162" t="s">
        <v>49</v>
      </c>
      <c r="P45" s="164"/>
      <c r="Q45" s="163"/>
      <c r="R45" s="164"/>
      <c r="S45" s="164"/>
      <c r="T45" s="165"/>
      <c r="U45" s="166"/>
      <c r="V45" s="166"/>
      <c r="W45" s="116"/>
      <c r="X45" s="116"/>
      <c r="Y45" s="162" t="s">
        <v>336</v>
      </c>
      <c r="Z45" s="167" t="s">
        <v>340</v>
      </c>
      <c r="AA45" s="168" t="str">
        <f aca="false">VLOOKUP(Y45,20230302Data!A:K,2,FALSE())</f>
        <v>小1－1</v>
      </c>
      <c r="AB45" s="168" t="str">
        <f aca="false">VLOOKUP(Y45,20230302Data!A:K,3,FALSE())</f>
        <v>岩田 健孟</v>
      </c>
      <c r="AC45" s="169" t="str">
        <f aca="false">VLOOKUP(Y45,20230302Data!A:K,4,FALSE())</f>
        <v>達則</v>
      </c>
      <c r="AD45" s="169" t="n">
        <f aca="false">VLOOKUP(Y45,20230302Data!A:K,6,FALSE())</f>
        <v>0</v>
      </c>
      <c r="AE45" s="169" t="n">
        <f aca="false">VLOOKUP(Y45,20230302Data!A:K,7,FALSE())</f>
        <v>0</v>
      </c>
      <c r="AF45" s="169" t="n">
        <f aca="false">VLOOKUP(Y45,20230302Data!A:K,8,FALSE())</f>
        <v>0</v>
      </c>
      <c r="AG45" s="169" t="n">
        <f aca="false">VLOOKUP(Y45,20230302Data!A:K,9,FALSE())</f>
        <v>0</v>
      </c>
      <c r="AH45" s="169" t="str">
        <f aca="false">SUBSTITUTE(SUBSTITUTE(SUBSTITUTE(Y45,"-",""),"(",""),")","")</f>
        <v>4234905130</v>
      </c>
      <c r="AI45" s="169" t="str">
        <f aca="false">IFERROR(VLOOKUP(AH45,#REF!,3,FALSE()),"")</f>
        <v/>
      </c>
    </row>
    <row r="46" customFormat="false" ht="12.75" hidden="false" customHeight="true" outlineLevel="0" collapsed="false">
      <c r="A46" s="170" t="s">
        <v>341</v>
      </c>
      <c r="B46" s="171" t="n">
        <v>44</v>
      </c>
      <c r="C46" s="171" t="s">
        <v>302</v>
      </c>
      <c r="D46" s="171" t="s">
        <v>342</v>
      </c>
      <c r="E46" s="171" t="s">
        <v>343</v>
      </c>
      <c r="F46" s="170" t="s">
        <v>341</v>
      </c>
      <c r="G46" s="170" t="s">
        <v>344</v>
      </c>
      <c r="H46" s="171" t="s">
        <v>101</v>
      </c>
      <c r="I46" s="171" t="s">
        <v>345</v>
      </c>
      <c r="J46" s="171"/>
      <c r="K46" s="171"/>
      <c r="L46" s="212"/>
      <c r="M46" s="171"/>
      <c r="N46" s="172"/>
      <c r="O46" s="172"/>
      <c r="P46" s="172"/>
      <c r="Q46" s="172"/>
      <c r="R46" s="155"/>
      <c r="S46" s="155"/>
      <c r="T46" s="173"/>
      <c r="U46" s="195"/>
      <c r="V46" s="195"/>
      <c r="W46" s="171" t="s">
        <v>152</v>
      </c>
      <c r="X46" s="171" t="s">
        <v>346</v>
      </c>
      <c r="Y46" s="170" t="s">
        <v>341</v>
      </c>
      <c r="Z46" s="175" t="s">
        <v>347</v>
      </c>
      <c r="AA46" s="175" t="str">
        <f aca="false">VLOOKUP(Y46,20230302Data!A:K,2,FALSE())</f>
        <v>小1－1</v>
      </c>
      <c r="AB46" s="175" t="str">
        <f aca="false">VLOOKUP(Y46,20230302Data!A:K,3,FALSE())</f>
        <v>髙田 昂汰</v>
      </c>
      <c r="AC46" s="176" t="str">
        <f aca="false">VLOOKUP(Y46,20230302Data!A:K,4,FALSE())</f>
        <v>優吾</v>
      </c>
      <c r="AD46" s="176" t="str">
        <f aca="false">VLOOKUP(Y46,20230302Data!A:K,6,FALSE())</f>
        <v>小3－1</v>
      </c>
      <c r="AE46" s="176" t="str">
        <f aca="false">VLOOKUP(Y46,20230302Data!A:K,7,FALSE())</f>
        <v>髙田 湊介</v>
      </c>
      <c r="AF46" s="176" t="n">
        <f aca="false">VLOOKUP(Y46,20230302Data!A:K,8,FALSE())</f>
        <v>0</v>
      </c>
      <c r="AG46" s="176" t="n">
        <f aca="false">VLOOKUP(Y46,20230302Data!A:K,9,FALSE())</f>
        <v>0</v>
      </c>
      <c r="AH46" s="176" t="str">
        <f aca="false">SUBSTITUTE(SUBSTITUTE(SUBSTITUTE(Y46,"-",""),"(",""),")","")</f>
        <v>4784849636</v>
      </c>
      <c r="AI46" s="176" t="str">
        <f aca="false">IFERROR(VLOOKUP(AH46,#REF!,3,FALSE()),"")</f>
        <v/>
      </c>
    </row>
    <row r="47" customFormat="false" ht="12.75" hidden="false" customHeight="true" outlineLevel="0" collapsed="false">
      <c r="A47" s="162" t="s">
        <v>348</v>
      </c>
      <c r="B47" s="163" t="n">
        <v>45</v>
      </c>
      <c r="C47" s="163" t="s">
        <v>302</v>
      </c>
      <c r="D47" s="163" t="s">
        <v>349</v>
      </c>
      <c r="E47" s="163" t="s">
        <v>350</v>
      </c>
      <c r="F47" s="162" t="s">
        <v>348</v>
      </c>
      <c r="G47" s="116" t="s">
        <v>351</v>
      </c>
      <c r="H47" s="116"/>
      <c r="I47" s="116"/>
      <c r="J47" s="116"/>
      <c r="K47" s="116"/>
      <c r="L47" s="116"/>
      <c r="M47" s="116"/>
      <c r="N47" s="164"/>
      <c r="O47" s="164"/>
      <c r="P47" s="164"/>
      <c r="Q47" s="163"/>
      <c r="R47" s="164" t="n">
        <v>45052</v>
      </c>
      <c r="S47" s="162" t="s">
        <v>67</v>
      </c>
      <c r="T47" s="165"/>
      <c r="U47" s="166"/>
      <c r="V47" s="166"/>
      <c r="W47" s="116"/>
      <c r="X47" s="116"/>
      <c r="Y47" s="162" t="s">
        <v>348</v>
      </c>
      <c r="Z47" s="167" t="s">
        <v>352</v>
      </c>
      <c r="AA47" s="168" t="str">
        <f aca="false">VLOOKUP(Y47,20230302Data!A:K,2,FALSE())</f>
        <v>小1－1</v>
      </c>
      <c r="AB47" s="168" t="str">
        <f aca="false">VLOOKUP(Y47,20230302Data!A:K,3,FALSE())</f>
        <v>内山 綾士</v>
      </c>
      <c r="AC47" s="169" t="str">
        <f aca="false">VLOOKUP(Y47,20230302Data!A:K,4,FALSE())</f>
        <v>祐紀</v>
      </c>
      <c r="AD47" s="169" t="n">
        <f aca="false">VLOOKUP(Y47,20230302Data!A:K,6,FALSE())</f>
        <v>0</v>
      </c>
      <c r="AE47" s="169" t="n">
        <f aca="false">VLOOKUP(Y47,20230302Data!A:K,7,FALSE())</f>
        <v>0</v>
      </c>
      <c r="AF47" s="169" t="n">
        <f aca="false">VLOOKUP(Y47,20230302Data!A:K,8,FALSE())</f>
        <v>0</v>
      </c>
      <c r="AG47" s="169" t="n">
        <f aca="false">VLOOKUP(Y47,20230302Data!A:K,9,FALSE())</f>
        <v>0</v>
      </c>
      <c r="AH47" s="169" t="str">
        <f aca="false">SUBSTITUTE(SUBSTITUTE(SUBSTITUTE(Y47,"-",""),"(",""),")","")</f>
        <v>3107559862</v>
      </c>
      <c r="AI47" s="169" t="str">
        <f aca="false">IFERROR(VLOOKUP(AH47,#REF!,3,FALSE()),"")</f>
        <v/>
      </c>
    </row>
    <row r="48" customFormat="false" ht="12.75" hidden="false" customHeight="true" outlineLevel="0" collapsed="false">
      <c r="A48" s="151" t="s">
        <v>353</v>
      </c>
      <c r="B48" s="152" t="n">
        <v>46</v>
      </c>
      <c r="C48" s="152" t="s">
        <v>302</v>
      </c>
      <c r="D48" s="152" t="s">
        <v>354</v>
      </c>
      <c r="E48" s="152" t="s">
        <v>355</v>
      </c>
      <c r="F48" s="151" t="s">
        <v>353</v>
      </c>
      <c r="G48" s="153" t="s">
        <v>356</v>
      </c>
      <c r="H48" s="152"/>
      <c r="I48" s="152"/>
      <c r="J48" s="152"/>
      <c r="K48" s="152"/>
      <c r="L48" s="152"/>
      <c r="M48" s="152"/>
      <c r="N48" s="154" t="n">
        <v>45052</v>
      </c>
      <c r="O48" s="151" t="s">
        <v>67</v>
      </c>
      <c r="P48" s="155"/>
      <c r="Q48" s="155"/>
      <c r="R48" s="154"/>
      <c r="S48" s="154"/>
      <c r="T48" s="156"/>
      <c r="U48" s="198"/>
      <c r="V48" s="198"/>
      <c r="W48" s="152" t="s">
        <v>103</v>
      </c>
      <c r="X48" s="152" t="s">
        <v>305</v>
      </c>
      <c r="Y48" s="151" t="s">
        <v>353</v>
      </c>
      <c r="Z48" s="159" t="s">
        <v>356</v>
      </c>
      <c r="AA48" s="160" t="str">
        <f aca="false">VLOOKUP(Y48,20230302Data!A:K,2,FALSE())</f>
        <v>小1－1</v>
      </c>
      <c r="AB48" s="160" t="str">
        <f aca="false">VLOOKUP(Y48,20230302Data!A:K,3,FALSE())</f>
        <v>ハイマン 多莉明</v>
      </c>
      <c r="AC48" s="161" t="str">
        <f aca="false">VLOOKUP(Y48,20230302Data!A:K,4,FALSE())</f>
        <v>ラリー</v>
      </c>
      <c r="AD48" s="161" t="n">
        <f aca="false">VLOOKUP(Y48,20230302Data!A:K,6,FALSE())</f>
        <v>0</v>
      </c>
      <c r="AE48" s="161" t="n">
        <f aca="false">VLOOKUP(Y48,20230302Data!A:K,7,FALSE())</f>
        <v>0</v>
      </c>
      <c r="AF48" s="161" t="n">
        <f aca="false">VLOOKUP(Y48,20230302Data!A:K,8,FALSE())</f>
        <v>0</v>
      </c>
      <c r="AG48" s="161" t="n">
        <f aca="false">VLOOKUP(Y48,20230302Data!A:K,9,FALSE())</f>
        <v>0</v>
      </c>
      <c r="AH48" s="161" t="str">
        <f aca="false">SUBSTITUTE(SUBSTITUTE(SUBSTITUTE(Y48,"-",""),"(",""),")","")</f>
        <v>9178604899</v>
      </c>
      <c r="AI48" s="161" t="str">
        <f aca="false">IFERROR(VLOOKUP(AH48,#REF!,3,FALSE()),"")</f>
        <v/>
      </c>
    </row>
    <row r="49" customFormat="false" ht="12.75" hidden="false" customHeight="true" outlineLevel="0" collapsed="false">
      <c r="A49" s="162" t="s">
        <v>357</v>
      </c>
      <c r="B49" s="163" t="n">
        <v>47</v>
      </c>
      <c r="C49" s="163" t="s">
        <v>302</v>
      </c>
      <c r="D49" s="163" t="s">
        <v>358</v>
      </c>
      <c r="E49" s="163" t="s">
        <v>359</v>
      </c>
      <c r="F49" s="162" t="s">
        <v>357</v>
      </c>
      <c r="G49" s="116" t="s">
        <v>360</v>
      </c>
      <c r="H49" s="163" t="s">
        <v>185</v>
      </c>
      <c r="I49" s="163" t="s">
        <v>361</v>
      </c>
      <c r="J49" s="116"/>
      <c r="K49" s="116"/>
      <c r="L49" s="116"/>
      <c r="M49" s="116"/>
      <c r="N49" s="164"/>
      <c r="O49" s="163"/>
      <c r="P49" s="164"/>
      <c r="Q49" s="163"/>
      <c r="R49" s="164"/>
      <c r="S49" s="164"/>
      <c r="T49" s="165"/>
      <c r="U49" s="166"/>
      <c r="V49" s="166" t="n">
        <v>45094</v>
      </c>
      <c r="W49" s="116"/>
      <c r="X49" s="116"/>
      <c r="Y49" s="162" t="s">
        <v>357</v>
      </c>
      <c r="Z49" s="167" t="s">
        <v>362</v>
      </c>
      <c r="AA49" s="168" t="str">
        <f aca="false">VLOOKUP(Y49,20230302Data!A:K,2,FALSE())</f>
        <v>小1－1</v>
      </c>
      <c r="AB49" s="168" t="str">
        <f aca="false">VLOOKUP(Y49,20230302Data!A:K,3,FALSE())</f>
        <v>村瀬 英奈</v>
      </c>
      <c r="AC49" s="169" t="str">
        <f aca="false">VLOOKUP(Y49,20230302Data!A:K,4,FALSE())</f>
        <v>友和</v>
      </c>
      <c r="AD49" s="169" t="str">
        <f aca="false">VLOOKUP(Y49,20230302Data!A:K,6,FALSE())</f>
        <v>小5－1</v>
      </c>
      <c r="AE49" s="169" t="str">
        <f aca="false">VLOOKUP(Y49,20230302Data!A:K,7,FALSE())</f>
        <v>村瀬 友翔</v>
      </c>
      <c r="AF49" s="169" t="n">
        <f aca="false">VLOOKUP(Y49,20230302Data!A:K,8,FALSE())</f>
        <v>0</v>
      </c>
      <c r="AG49" s="169" t="n">
        <f aca="false">VLOOKUP(Y49,20230302Data!A:K,9,FALSE())</f>
        <v>0</v>
      </c>
      <c r="AH49" s="169" t="str">
        <f aca="false">SUBSTITUTE(SUBSTITUTE(SUBSTITUTE(Y49,"-",""),"(",""),")","")</f>
        <v>4044508288</v>
      </c>
      <c r="AI49" s="169" t="str">
        <f aca="false">IFERROR(VLOOKUP(AH49,#REF!,3,FALSE()),"")</f>
        <v/>
      </c>
    </row>
    <row r="50" customFormat="false" ht="12.75" hidden="false" customHeight="true" outlineLevel="0" collapsed="false">
      <c r="A50" s="177" t="s">
        <v>363</v>
      </c>
      <c r="B50" s="178" t="n">
        <v>48</v>
      </c>
      <c r="C50" s="178" t="s">
        <v>302</v>
      </c>
      <c r="D50" s="178" t="s">
        <v>364</v>
      </c>
      <c r="E50" s="178" t="s">
        <v>365</v>
      </c>
      <c r="F50" s="177" t="s">
        <v>363</v>
      </c>
      <c r="G50" s="213" t="s">
        <v>366</v>
      </c>
      <c r="H50" s="178" t="s">
        <v>120</v>
      </c>
      <c r="I50" s="178" t="s">
        <v>367</v>
      </c>
      <c r="J50" s="179"/>
      <c r="K50" s="179"/>
      <c r="L50" s="179"/>
      <c r="M50" s="179"/>
      <c r="N50" s="180"/>
      <c r="O50" s="180"/>
      <c r="P50" s="180"/>
      <c r="Q50" s="180"/>
      <c r="R50" s="155"/>
      <c r="S50" s="186"/>
      <c r="T50" s="181"/>
      <c r="U50" s="200"/>
      <c r="V50" s="200"/>
      <c r="W50" s="178" t="s">
        <v>60</v>
      </c>
      <c r="X50" s="179"/>
      <c r="Y50" s="177" t="s">
        <v>363</v>
      </c>
      <c r="Z50" s="183" t="s">
        <v>368</v>
      </c>
      <c r="AA50" s="183" t="str">
        <f aca="false">VLOOKUP(Y50,20230302Data!A:K,2,FALSE())</f>
        <v>小1－1</v>
      </c>
      <c r="AB50" s="183" t="str">
        <f aca="false">VLOOKUP(Y50,20230302Data!A:K,3,FALSE())</f>
        <v>松本 佳乃</v>
      </c>
      <c r="AC50" s="184" t="str">
        <f aca="false">VLOOKUP(Y50,20230302Data!A:K,4,FALSE())</f>
        <v>康宏</v>
      </c>
      <c r="AD50" s="184" t="str">
        <f aca="false">VLOOKUP(Y50,20230302Data!A:K,6,FALSE())</f>
        <v>小4－1</v>
      </c>
      <c r="AE50" s="184" t="str">
        <f aca="false">VLOOKUP(Y50,20230302Data!A:K,7,FALSE())</f>
        <v>松本 拓己</v>
      </c>
      <c r="AF50" s="184" t="n">
        <f aca="false">VLOOKUP(Y50,20230302Data!A:K,8,FALSE())</f>
        <v>0</v>
      </c>
      <c r="AG50" s="184" t="n">
        <f aca="false">VLOOKUP(Y50,20230302Data!A:K,9,FALSE())</f>
        <v>0</v>
      </c>
      <c r="AH50" s="184" t="str">
        <f aca="false">SUBSTITUTE(SUBSTITUTE(SUBSTITUTE(Y50,"-",""),"(",""),")","")</f>
        <v>7069837954</v>
      </c>
      <c r="AI50" s="184" t="str">
        <f aca="false">IFERROR(VLOOKUP(AH50,#REF!,3,FALSE()),"")</f>
        <v/>
      </c>
    </row>
    <row r="51" customFormat="false" ht="12.75" hidden="false" customHeight="true" outlineLevel="0" collapsed="false">
      <c r="A51" s="202" t="s">
        <v>369</v>
      </c>
      <c r="B51" s="203" t="n">
        <v>49</v>
      </c>
      <c r="C51" s="203" t="s">
        <v>302</v>
      </c>
      <c r="D51" s="203" t="s">
        <v>370</v>
      </c>
      <c r="E51" s="203" t="s">
        <v>371</v>
      </c>
      <c r="F51" s="202" t="s">
        <v>372</v>
      </c>
      <c r="G51" s="214" t="s">
        <v>373</v>
      </c>
      <c r="H51" s="204"/>
      <c r="I51" s="204"/>
      <c r="J51" s="204"/>
      <c r="K51" s="204"/>
      <c r="L51" s="204"/>
      <c r="M51" s="204"/>
      <c r="N51" s="155"/>
      <c r="O51" s="155"/>
      <c r="P51" s="155"/>
      <c r="Q51" s="186"/>
      <c r="R51" s="205" t="n">
        <v>45031</v>
      </c>
      <c r="S51" s="202" t="s">
        <v>32</v>
      </c>
      <c r="T51" s="206"/>
      <c r="U51" s="215"/>
      <c r="V51" s="215"/>
      <c r="W51" s="216" t="s">
        <v>240</v>
      </c>
      <c r="X51" s="204"/>
      <c r="Y51" s="202" t="s">
        <v>369</v>
      </c>
      <c r="Z51" s="217" t="s">
        <v>374</v>
      </c>
      <c r="AA51" s="208" t="str">
        <f aca="false">VLOOKUP(Y51,20230302Data!A:K,2,FALSE())</f>
        <v>小1－1</v>
      </c>
      <c r="AB51" s="208" t="str">
        <f aca="false">VLOOKUP(Y51,20230302Data!A:K,3,FALSE())</f>
        <v>梶原 杏</v>
      </c>
      <c r="AC51" s="209" t="str">
        <f aca="false">VLOOKUP(Y51,20230302Data!A:K,4,FALSE())</f>
        <v>將義</v>
      </c>
      <c r="AD51" s="209" t="n">
        <f aca="false">VLOOKUP(Y51,20230302Data!A:K,6,FALSE())</f>
        <v>0</v>
      </c>
      <c r="AE51" s="209" t="n">
        <f aca="false">VLOOKUP(Y51,20230302Data!A:K,7,FALSE())</f>
        <v>0</v>
      </c>
      <c r="AF51" s="209" t="n">
        <f aca="false">VLOOKUP(Y51,20230302Data!A:K,8,FALSE())</f>
        <v>0</v>
      </c>
      <c r="AG51" s="209" t="n">
        <f aca="false">VLOOKUP(Y51,20230302Data!A:K,9,FALSE())</f>
        <v>0</v>
      </c>
      <c r="AH51" s="209" t="str">
        <f aca="false">SUBSTITUTE(SUBSTITUTE(SUBSTITUTE(Y51,"-",""),"(",""),")","")</f>
        <v>4049833953</v>
      </c>
      <c r="AI51" s="209" t="str">
        <f aca="false">IFERROR(VLOOKUP(AH51,#REF!,3,FALSE()),"")</f>
        <v/>
      </c>
    </row>
    <row r="52" customFormat="false" ht="12.75" hidden="false" customHeight="true" outlineLevel="0" collapsed="false">
      <c r="A52" s="202" t="s">
        <v>375</v>
      </c>
      <c r="B52" s="203" t="n">
        <v>50</v>
      </c>
      <c r="C52" s="203" t="s">
        <v>302</v>
      </c>
      <c r="D52" s="203" t="s">
        <v>376</v>
      </c>
      <c r="E52" s="203" t="s">
        <v>377</v>
      </c>
      <c r="F52" s="202" t="s">
        <v>375</v>
      </c>
      <c r="G52" s="204" t="s">
        <v>378</v>
      </c>
      <c r="H52" s="203" t="s">
        <v>322</v>
      </c>
      <c r="I52" s="203" t="s">
        <v>379</v>
      </c>
      <c r="J52" s="203"/>
      <c r="K52" s="203"/>
      <c r="L52" s="203"/>
      <c r="M52" s="203"/>
      <c r="N52" s="155"/>
      <c r="O52" s="155"/>
      <c r="P52" s="155"/>
      <c r="Q52" s="155"/>
      <c r="R52" s="205" t="n">
        <v>45045</v>
      </c>
      <c r="S52" s="202" t="s">
        <v>32</v>
      </c>
      <c r="T52" s="206" t="s">
        <v>380</v>
      </c>
      <c r="U52" s="207"/>
      <c r="V52" s="207"/>
      <c r="W52" s="203" t="s">
        <v>240</v>
      </c>
      <c r="X52" s="203" t="s">
        <v>305</v>
      </c>
      <c r="Y52" s="202" t="s">
        <v>381</v>
      </c>
      <c r="Z52" s="217" t="s">
        <v>382</v>
      </c>
      <c r="AA52" s="208" t="str">
        <f aca="false">VLOOKUP(Y52,20230302Data!A:K,2,FALSE())</f>
        <v>小1－1</v>
      </c>
      <c r="AB52" s="208" t="str">
        <f aca="false">VLOOKUP(Y52,20230302Data!A:K,3,FALSE())</f>
        <v>セレン にこ</v>
      </c>
      <c r="AC52" s="209" t="str">
        <f aca="false">VLOOKUP(Y52,20230302Data!A:K,4,FALSE())</f>
        <v>康司</v>
      </c>
      <c r="AD52" s="209" t="str">
        <f aca="false">VLOOKUP(Y52,20230302Data!A:K,6,FALSE())</f>
        <v>小4－2</v>
      </c>
      <c r="AE52" s="209" t="str">
        <f aca="false">VLOOKUP(Y52,20230302Data!A:K,7,FALSE())</f>
        <v>セレン さな</v>
      </c>
      <c r="AF52" s="209" t="n">
        <f aca="false">VLOOKUP(Y52,20230302Data!A:K,8,FALSE())</f>
        <v>0</v>
      </c>
      <c r="AG52" s="209" t="n">
        <f aca="false">VLOOKUP(Y52,20230302Data!A:K,9,FALSE())</f>
        <v>0</v>
      </c>
      <c r="AH52" s="209" t="str">
        <f aca="false">SUBSTITUTE(SUBSTITUTE(SUBSTITUTE(Y52,"-",""),"(",""),")","")</f>
        <v>6788579876</v>
      </c>
      <c r="AI52" s="209" t="str">
        <f aca="false">IFERROR(VLOOKUP(AH52,#REF!,3,FALSE()),"")</f>
        <v/>
      </c>
    </row>
    <row r="53" customFormat="false" ht="12.75" hidden="false" customHeight="true" outlineLevel="0" collapsed="false">
      <c r="A53" s="151" t="s">
        <v>383</v>
      </c>
      <c r="B53" s="152" t="n">
        <v>51</v>
      </c>
      <c r="C53" s="152" t="s">
        <v>302</v>
      </c>
      <c r="D53" s="152" t="s">
        <v>384</v>
      </c>
      <c r="E53" s="152" t="s">
        <v>385</v>
      </c>
      <c r="F53" s="151" t="s">
        <v>383</v>
      </c>
      <c r="G53" s="153" t="s">
        <v>386</v>
      </c>
      <c r="H53" s="153"/>
      <c r="I53" s="153"/>
      <c r="J53" s="153"/>
      <c r="K53" s="153"/>
      <c r="L53" s="153"/>
      <c r="M53" s="153"/>
      <c r="N53" s="154" t="n">
        <v>45031</v>
      </c>
      <c r="O53" s="151" t="s">
        <v>32</v>
      </c>
      <c r="P53" s="155"/>
      <c r="Q53" s="155"/>
      <c r="R53" s="154"/>
      <c r="S53" s="152"/>
      <c r="T53" s="156"/>
      <c r="U53" s="157"/>
      <c r="V53" s="157"/>
      <c r="W53" s="158" t="s">
        <v>103</v>
      </c>
      <c r="X53" s="153"/>
      <c r="Y53" s="151" t="s">
        <v>383</v>
      </c>
      <c r="Z53" s="159" t="s">
        <v>386</v>
      </c>
      <c r="AA53" s="160" t="str">
        <f aca="false">VLOOKUP(Y53,20230302Data!A:K,2,FALSE())</f>
        <v>小1－1</v>
      </c>
      <c r="AB53" s="160" t="str">
        <f aca="false">VLOOKUP(Y53,20230302Data!A:K,3,FALSE())</f>
        <v>新谷 えみり</v>
      </c>
      <c r="AC53" s="161" t="str">
        <f aca="false">VLOOKUP(Y53,20230302Data!A:K,4,FALSE())</f>
        <v>ハーヴィー</v>
      </c>
      <c r="AD53" s="161" t="n">
        <f aca="false">VLOOKUP(Y53,20230302Data!A:K,6,FALSE())</f>
        <v>0</v>
      </c>
      <c r="AE53" s="161" t="n">
        <f aca="false">VLOOKUP(Y53,20230302Data!A:K,7,FALSE())</f>
        <v>0</v>
      </c>
      <c r="AF53" s="161" t="n">
        <f aca="false">VLOOKUP(Y53,20230302Data!A:K,8,FALSE())</f>
        <v>0</v>
      </c>
      <c r="AG53" s="161" t="n">
        <f aca="false">VLOOKUP(Y53,20230302Data!A:K,9,FALSE())</f>
        <v>0</v>
      </c>
      <c r="AH53" s="161" t="str">
        <f aca="false">SUBSTITUTE(SUBSTITUTE(SUBSTITUTE(Y53,"-",""),"(",""),")","")</f>
        <v>4019243777</v>
      </c>
      <c r="AI53" s="161" t="str">
        <f aca="false">IFERROR(VLOOKUP(AH53,#REF!,3,FALSE()),"")</f>
        <v/>
      </c>
    </row>
    <row r="54" customFormat="false" ht="12.75" hidden="false" customHeight="true" outlineLevel="0" collapsed="false">
      <c r="A54" s="162" t="s">
        <v>387</v>
      </c>
      <c r="B54" s="163" t="n">
        <v>52</v>
      </c>
      <c r="C54" s="163" t="s">
        <v>302</v>
      </c>
      <c r="D54" s="163" t="s">
        <v>388</v>
      </c>
      <c r="E54" s="163" t="s">
        <v>389</v>
      </c>
      <c r="F54" s="162" t="s">
        <v>387</v>
      </c>
      <c r="G54" s="116" t="s">
        <v>390</v>
      </c>
      <c r="H54" s="116"/>
      <c r="I54" s="116"/>
      <c r="J54" s="116"/>
      <c r="K54" s="116"/>
      <c r="L54" s="116"/>
      <c r="M54" s="116"/>
      <c r="N54" s="164"/>
      <c r="O54" s="164"/>
      <c r="P54" s="164" t="n">
        <v>45031</v>
      </c>
      <c r="Q54" s="162" t="s">
        <v>32</v>
      </c>
      <c r="R54" s="164"/>
      <c r="S54" s="163"/>
      <c r="T54" s="165"/>
      <c r="U54" s="166"/>
      <c r="V54" s="166"/>
      <c r="W54" s="116"/>
      <c r="X54" s="116"/>
      <c r="Y54" s="162" t="s">
        <v>387</v>
      </c>
      <c r="Z54" s="167" t="s">
        <v>390</v>
      </c>
      <c r="AA54" s="168" t="str">
        <f aca="false">VLOOKUP(Y54,20230302Data!A:K,2,FALSE())</f>
        <v>小1－1</v>
      </c>
      <c r="AB54" s="168" t="str">
        <f aca="false">VLOOKUP(Y54,20230302Data!A:K,3,FALSE())</f>
        <v>黒木 逢七</v>
      </c>
      <c r="AC54" s="169" t="str">
        <f aca="false">VLOOKUP(Y54,20230302Data!A:K,4,FALSE())</f>
        <v>泰成</v>
      </c>
      <c r="AD54" s="169" t="n">
        <f aca="false">VLOOKUP(Y54,20230302Data!A:K,6,FALSE())</f>
        <v>0</v>
      </c>
      <c r="AE54" s="169" t="n">
        <f aca="false">VLOOKUP(Y54,20230302Data!A:K,7,FALSE())</f>
        <v>0</v>
      </c>
      <c r="AF54" s="169" t="n">
        <f aca="false">VLOOKUP(Y54,20230302Data!A:K,8,FALSE())</f>
        <v>0</v>
      </c>
      <c r="AG54" s="169" t="n">
        <f aca="false">VLOOKUP(Y54,20230302Data!A:K,9,FALSE())</f>
        <v>0</v>
      </c>
      <c r="AH54" s="169" t="str">
        <f aca="false">SUBSTITUTE(SUBSTITUTE(SUBSTITUTE(Y54,"-",""),"(",""),")","")</f>
        <v>4705570371</v>
      </c>
      <c r="AI54" s="169" t="str">
        <f aca="false">IFERROR(VLOOKUP(AH54,#REF!,3,FALSE()),"")</f>
        <v/>
      </c>
    </row>
    <row r="55" customFormat="false" ht="12.75" hidden="false" customHeight="true" outlineLevel="0" collapsed="false">
      <c r="A55" s="170" t="s">
        <v>391</v>
      </c>
      <c r="B55" s="171" t="n">
        <v>53</v>
      </c>
      <c r="C55" s="171" t="s">
        <v>302</v>
      </c>
      <c r="D55" s="171" t="s">
        <v>392</v>
      </c>
      <c r="E55" s="171" t="s">
        <v>393</v>
      </c>
      <c r="F55" s="170" t="s">
        <v>391</v>
      </c>
      <c r="G55" s="111" t="s">
        <v>394</v>
      </c>
      <c r="H55" s="171" t="s">
        <v>395</v>
      </c>
      <c r="I55" s="171" t="s">
        <v>396</v>
      </c>
      <c r="J55" s="111"/>
      <c r="K55" s="111"/>
      <c r="L55" s="218"/>
      <c r="M55" s="111"/>
      <c r="N55" s="172"/>
      <c r="O55" s="171"/>
      <c r="P55" s="172"/>
      <c r="Q55" s="172"/>
      <c r="R55" s="155"/>
      <c r="S55" s="186"/>
      <c r="T55" s="173"/>
      <c r="U55" s="174" t="n">
        <v>44681</v>
      </c>
      <c r="V55" s="174"/>
      <c r="W55" s="193" t="s">
        <v>33</v>
      </c>
      <c r="X55" s="111"/>
      <c r="Y55" s="170" t="s">
        <v>391</v>
      </c>
      <c r="Z55" s="170" t="s">
        <v>394</v>
      </c>
      <c r="AA55" s="175" t="str">
        <f aca="false">VLOOKUP(Y55,20230302Data!A:K,2,FALSE())</f>
        <v>小1－1</v>
      </c>
      <c r="AB55" s="175" t="str">
        <f aca="false">VLOOKUP(Y55,20230302Data!A:K,3,FALSE())</f>
        <v>良原 渓太</v>
      </c>
      <c r="AC55" s="176" t="str">
        <f aca="false">VLOOKUP(Y55,20230302Data!A:K,4,FALSE())</f>
        <v>伸幸</v>
      </c>
      <c r="AD55" s="176" t="str">
        <f aca="false">VLOOKUP(Y55,20230302Data!A:K,6,FALSE())</f>
        <v>小6－1</v>
      </c>
      <c r="AE55" s="176" t="str">
        <f aca="false">VLOOKUP(Y55,20230302Data!A:K,7,FALSE())</f>
        <v>良原 康太</v>
      </c>
      <c r="AF55" s="176" t="n">
        <f aca="false">VLOOKUP(Y55,20230302Data!A:K,8,FALSE())</f>
        <v>0</v>
      </c>
      <c r="AG55" s="176" t="n">
        <f aca="false">VLOOKUP(Y55,20230302Data!A:K,9,FALSE())</f>
        <v>0</v>
      </c>
      <c r="AH55" s="176" t="str">
        <f aca="false">SUBSTITUTE(SUBSTITUTE(SUBSTITUTE(Y55,"-",""),"(",""),")","")</f>
        <v>6788826834</v>
      </c>
      <c r="AI55" s="176" t="str">
        <f aca="false">IFERROR(VLOOKUP(AH55,#REF!,3,FALSE()),"")</f>
        <v/>
      </c>
    </row>
    <row r="56" customFormat="false" ht="15" hidden="false" customHeight="true" outlineLevel="0" collapsed="false">
      <c r="A56" s="179" t="s">
        <v>397</v>
      </c>
      <c r="B56" s="178" t="n">
        <v>54</v>
      </c>
      <c r="C56" s="201" t="s">
        <v>398</v>
      </c>
      <c r="D56" s="201" t="s">
        <v>399</v>
      </c>
      <c r="E56" s="201" t="s">
        <v>400</v>
      </c>
      <c r="F56" s="179" t="s">
        <v>397</v>
      </c>
      <c r="G56" s="179" t="s">
        <v>401</v>
      </c>
      <c r="H56" s="201" t="s">
        <v>402</v>
      </c>
      <c r="I56" s="201" t="s">
        <v>403</v>
      </c>
      <c r="J56" s="179"/>
      <c r="K56" s="179"/>
      <c r="L56" s="179"/>
      <c r="M56" s="179"/>
      <c r="N56" s="178"/>
      <c r="O56" s="178"/>
      <c r="P56" s="178"/>
      <c r="Q56" s="178"/>
      <c r="R56" s="155"/>
      <c r="S56" s="186"/>
      <c r="T56" s="179"/>
      <c r="U56" s="200" t="n">
        <v>44835</v>
      </c>
      <c r="V56" s="200"/>
      <c r="W56" s="201" t="s">
        <v>60</v>
      </c>
      <c r="X56" s="179"/>
      <c r="Y56" s="179" t="s">
        <v>397</v>
      </c>
      <c r="Z56" s="179"/>
      <c r="AA56" s="183" t="str">
        <f aca="false">VLOOKUP(Y56,20230302Data!A:K,2,FALSE())</f>
        <v>小1－1</v>
      </c>
      <c r="AB56" s="183" t="str">
        <f aca="false">VLOOKUP(Y56,20230302Data!A:K,3,FALSE())</f>
        <v>小島 蒔人</v>
      </c>
      <c r="AC56" s="184" t="str">
        <f aca="false">VLOOKUP(Y56,20230302Data!A:K,4,FALSE())</f>
        <v>薫</v>
      </c>
      <c r="AD56" s="184" t="str">
        <f aca="false">VLOOKUP(Y56,20230302Data!A:K,6,FALSE())</f>
        <v>中1－1</v>
      </c>
      <c r="AE56" s="184" t="str">
        <f aca="false">VLOOKUP(Y56,20230302Data!A:K,7,FALSE())</f>
        <v>小島 蒼</v>
      </c>
      <c r="AF56" s="184" t="n">
        <f aca="false">VLOOKUP(Y56,20230302Data!A:K,8,FALSE())</f>
        <v>0</v>
      </c>
      <c r="AG56" s="184" t="n">
        <f aca="false">VLOOKUP(Y56,20230302Data!A:K,9,FALSE())</f>
        <v>0</v>
      </c>
      <c r="AH56" s="184" t="str">
        <f aca="false">SUBSTITUTE(SUBSTITUTE(SUBSTITUTE(Y56,"-",""),"(",""),")","")</f>
        <v>6146238213</v>
      </c>
      <c r="AI56" s="184" t="str">
        <f aca="false">IFERROR(VLOOKUP(AH56,#REF!,3,FALSE()),"")</f>
        <v/>
      </c>
    </row>
    <row r="57" customFormat="false" ht="12.75" hidden="false" customHeight="true" outlineLevel="0" collapsed="false">
      <c r="A57" s="185" t="s">
        <v>404</v>
      </c>
      <c r="B57" s="186" t="n">
        <v>55</v>
      </c>
      <c r="C57" s="186" t="s">
        <v>405</v>
      </c>
      <c r="D57" s="186" t="s">
        <v>406</v>
      </c>
      <c r="E57" s="186" t="s">
        <v>407</v>
      </c>
      <c r="F57" s="185" t="s">
        <v>404</v>
      </c>
      <c r="G57" s="187" t="s">
        <v>408</v>
      </c>
      <c r="H57" s="187"/>
      <c r="I57" s="187"/>
      <c r="J57" s="187"/>
      <c r="K57" s="187"/>
      <c r="L57" s="187"/>
      <c r="M57" s="187"/>
      <c r="N57" s="155"/>
      <c r="O57" s="155"/>
      <c r="P57" s="155"/>
      <c r="Q57" s="155"/>
      <c r="R57" s="155"/>
      <c r="S57" s="186"/>
      <c r="T57" s="188"/>
      <c r="U57" s="199"/>
      <c r="V57" s="199"/>
      <c r="W57" s="186" t="s">
        <v>55</v>
      </c>
      <c r="X57" s="187"/>
      <c r="Y57" s="185" t="s">
        <v>404</v>
      </c>
      <c r="Z57" s="190" t="s">
        <v>408</v>
      </c>
      <c r="AA57" s="190" t="str">
        <f aca="false">VLOOKUP(Y57,20230302Data!A:K,2,FALSE())</f>
        <v>小1－2</v>
      </c>
      <c r="AB57" s="190" t="str">
        <f aca="false">VLOOKUP(Y57,20230302Data!A:K,3,FALSE())</f>
        <v>塚本 凌久</v>
      </c>
      <c r="AC57" s="191" t="str">
        <f aca="false">VLOOKUP(Y57,20230302Data!A:K,4,FALSE())</f>
        <v>孝徳</v>
      </c>
      <c r="AD57" s="191" t="n">
        <f aca="false">VLOOKUP(Y57,20230302Data!A:K,6,FALSE())</f>
        <v>0</v>
      </c>
      <c r="AE57" s="191" t="n">
        <f aca="false">VLOOKUP(Y57,20230302Data!A:K,7,FALSE())</f>
        <v>0</v>
      </c>
      <c r="AF57" s="191" t="n">
        <f aca="false">VLOOKUP(Y57,20230302Data!A:K,8,FALSE())</f>
        <v>0</v>
      </c>
      <c r="AG57" s="191" t="n">
        <f aca="false">VLOOKUP(Y57,20230302Data!A:K,9,FALSE())</f>
        <v>0</v>
      </c>
      <c r="AH57" s="191" t="str">
        <f aca="false">SUBSTITUTE(SUBSTITUTE(SUBSTITUTE(Y57,"-",""),"(",""),")","")</f>
        <v>6782833556</v>
      </c>
      <c r="AI57" s="191" t="str">
        <f aca="false">IFERROR(VLOOKUP(AH57,#REF!,3,FALSE()),"")</f>
        <v/>
      </c>
    </row>
    <row r="58" customFormat="false" ht="12.75" hidden="false" customHeight="true" outlineLevel="0" collapsed="false">
      <c r="A58" s="185" t="s">
        <v>409</v>
      </c>
      <c r="B58" s="186" t="n">
        <v>56</v>
      </c>
      <c r="C58" s="186" t="s">
        <v>405</v>
      </c>
      <c r="D58" s="186" t="s">
        <v>410</v>
      </c>
      <c r="E58" s="186" t="s">
        <v>411</v>
      </c>
      <c r="F58" s="185" t="s">
        <v>409</v>
      </c>
      <c r="G58" s="185" t="s">
        <v>412</v>
      </c>
      <c r="H58" s="186"/>
      <c r="I58" s="186"/>
      <c r="J58" s="186"/>
      <c r="K58" s="186"/>
      <c r="L58" s="186"/>
      <c r="M58" s="186"/>
      <c r="N58" s="155"/>
      <c r="O58" s="155"/>
      <c r="P58" s="155"/>
      <c r="Q58" s="155"/>
      <c r="R58" s="155"/>
      <c r="S58" s="155"/>
      <c r="T58" s="188"/>
      <c r="U58" s="189"/>
      <c r="V58" s="189"/>
      <c r="W58" s="186" t="s">
        <v>55</v>
      </c>
      <c r="X58" s="186"/>
      <c r="Y58" s="185" t="s">
        <v>409</v>
      </c>
      <c r="Z58" s="190" t="s">
        <v>413</v>
      </c>
      <c r="AA58" s="190" t="str">
        <f aca="false">VLOOKUP(Y58,20230302Data!A:K,2,FALSE())</f>
        <v>小1－2</v>
      </c>
      <c r="AB58" s="190" t="str">
        <f aca="false">VLOOKUP(Y58,20230302Data!A:K,3,FALSE())</f>
        <v>二村 貫太</v>
      </c>
      <c r="AC58" s="191" t="str">
        <f aca="false">VLOOKUP(Y58,20230302Data!A:K,4,FALSE())</f>
        <v>裕治</v>
      </c>
      <c r="AD58" s="191" t="n">
        <f aca="false">VLOOKUP(Y58,20230302Data!A:K,6,FALSE())</f>
        <v>0</v>
      </c>
      <c r="AE58" s="191" t="n">
        <f aca="false">VLOOKUP(Y58,20230302Data!A:K,7,FALSE())</f>
        <v>0</v>
      </c>
      <c r="AF58" s="191" t="n">
        <f aca="false">VLOOKUP(Y58,20230302Data!A:K,8,FALSE())</f>
        <v>0</v>
      </c>
      <c r="AG58" s="191" t="n">
        <f aca="false">VLOOKUP(Y58,20230302Data!A:K,9,FALSE())</f>
        <v>0</v>
      </c>
      <c r="AH58" s="191" t="str">
        <f aca="false">SUBSTITUTE(SUBSTITUTE(SUBSTITUTE(Y58,"-",""),"(",""),")","")</f>
        <v>6784318111</v>
      </c>
      <c r="AI58" s="191" t="str">
        <f aca="false">IFERROR(VLOOKUP(AH58,#REF!,3,FALSE()),"")</f>
        <v/>
      </c>
    </row>
    <row r="59" customFormat="false" ht="12.75" hidden="false" customHeight="true" outlineLevel="0" collapsed="false">
      <c r="A59" s="177" t="s">
        <v>414</v>
      </c>
      <c r="B59" s="178" t="n">
        <v>57</v>
      </c>
      <c r="C59" s="178" t="s">
        <v>405</v>
      </c>
      <c r="D59" s="178" t="s">
        <v>415</v>
      </c>
      <c r="E59" s="178" t="s">
        <v>416</v>
      </c>
      <c r="F59" s="177" t="s">
        <v>414</v>
      </c>
      <c r="G59" s="179" t="s">
        <v>417</v>
      </c>
      <c r="H59" s="178" t="s">
        <v>418</v>
      </c>
      <c r="I59" s="178" t="s">
        <v>419</v>
      </c>
      <c r="J59" s="179"/>
      <c r="K59" s="179"/>
      <c r="L59" s="179"/>
      <c r="M59" s="179"/>
      <c r="N59" s="180"/>
      <c r="O59" s="180"/>
      <c r="P59" s="180"/>
      <c r="Q59" s="180"/>
      <c r="R59" s="155"/>
      <c r="S59" s="155"/>
      <c r="T59" s="181"/>
      <c r="U59" s="200"/>
      <c r="V59" s="200"/>
      <c r="W59" s="201" t="s">
        <v>60</v>
      </c>
      <c r="X59" s="179"/>
      <c r="Y59" s="177" t="s">
        <v>414</v>
      </c>
      <c r="Z59" s="183" t="s">
        <v>420</v>
      </c>
      <c r="AA59" s="183" t="str">
        <f aca="false">VLOOKUP(Y59,20230302Data!A:K,2,FALSE())</f>
        <v>小1－2</v>
      </c>
      <c r="AB59" s="183" t="str">
        <f aca="false">VLOOKUP(Y59,20230302Data!A:K,3,FALSE())</f>
        <v>薮田 大輝</v>
      </c>
      <c r="AC59" s="184" t="str">
        <f aca="false">VLOOKUP(Y59,20230302Data!A:K,4,FALSE())</f>
        <v>豊大</v>
      </c>
      <c r="AD59" s="184" t="str">
        <f aca="false">VLOOKUP(Y59,20230302Data!A:K,6,FALSE())</f>
        <v>小6－2</v>
      </c>
      <c r="AE59" s="184" t="str">
        <f aca="false">VLOOKUP(Y59,20230302Data!A:K,7,FALSE())</f>
        <v>薮田 愛子</v>
      </c>
      <c r="AF59" s="184" t="n">
        <f aca="false">VLOOKUP(Y59,20230302Data!A:K,8,FALSE())</f>
        <v>0</v>
      </c>
      <c r="AG59" s="184" t="n">
        <f aca="false">VLOOKUP(Y59,20230302Data!A:K,9,FALSE())</f>
        <v>0</v>
      </c>
      <c r="AH59" s="184" t="str">
        <f aca="false">SUBSTITUTE(SUBSTITUTE(SUBSTITUTE(Y59,"-",""),"(",""),")","")</f>
        <v>4705890483</v>
      </c>
      <c r="AI59" s="184" t="str">
        <f aca="false">IFERROR(VLOOKUP(AH59,#REF!,3,FALSE()),"")</f>
        <v/>
      </c>
    </row>
    <row r="60" customFormat="false" ht="12.75" hidden="false" customHeight="true" outlineLevel="0" collapsed="false">
      <c r="A60" s="162" t="s">
        <v>421</v>
      </c>
      <c r="B60" s="163" t="n">
        <v>58</v>
      </c>
      <c r="C60" s="163" t="s">
        <v>405</v>
      </c>
      <c r="D60" s="163" t="s">
        <v>422</v>
      </c>
      <c r="E60" s="163" t="s">
        <v>423</v>
      </c>
      <c r="F60" s="162" t="s">
        <v>421</v>
      </c>
      <c r="G60" s="116" t="s">
        <v>424</v>
      </c>
      <c r="H60" s="163"/>
      <c r="I60" s="163"/>
      <c r="J60" s="163"/>
      <c r="K60" s="163"/>
      <c r="L60" s="163"/>
      <c r="M60" s="163"/>
      <c r="N60" s="163"/>
      <c r="O60" s="163"/>
      <c r="P60" s="164"/>
      <c r="Q60" s="164"/>
      <c r="R60" s="164"/>
      <c r="S60" s="164"/>
      <c r="T60" s="165"/>
      <c r="U60" s="219"/>
      <c r="V60" s="219"/>
      <c r="W60" s="163"/>
      <c r="X60" s="163" t="s">
        <v>425</v>
      </c>
      <c r="Y60" s="162" t="s">
        <v>421</v>
      </c>
      <c r="Z60" s="167" t="s">
        <v>426</v>
      </c>
      <c r="AA60" s="168" t="str">
        <f aca="false">VLOOKUP(Y60,20230302Data!A:K,2,FALSE())</f>
        <v>小1－2</v>
      </c>
      <c r="AB60" s="168" t="str">
        <f aca="false">VLOOKUP(Y60,20230302Data!A:K,3,FALSE())</f>
        <v>加藤 大河</v>
      </c>
      <c r="AC60" s="169" t="str">
        <f aca="false">VLOOKUP(Y60,20230302Data!A:K,4,FALSE())</f>
        <v>大地</v>
      </c>
      <c r="AD60" s="169" t="n">
        <f aca="false">VLOOKUP(Y60,20230302Data!A:K,6,FALSE())</f>
        <v>0</v>
      </c>
      <c r="AE60" s="169" t="n">
        <f aca="false">VLOOKUP(Y60,20230302Data!A:K,7,FALSE())</f>
        <v>0</v>
      </c>
      <c r="AF60" s="169" t="n">
        <f aca="false">VLOOKUP(Y60,20230302Data!A:K,8,FALSE())</f>
        <v>0</v>
      </c>
      <c r="AG60" s="169" t="n">
        <f aca="false">VLOOKUP(Y60,20230302Data!A:K,9,FALSE())</f>
        <v>0</v>
      </c>
      <c r="AH60" s="169" t="str">
        <f aca="false">SUBSTITUTE(SUBSTITUTE(SUBSTITUTE(Y60,"-",""),"(",""),")","")</f>
        <v>4788778054</v>
      </c>
      <c r="AI60" s="169" t="str">
        <f aca="false">IFERROR(VLOOKUP(AH60,#REF!,3,FALSE()),"")</f>
        <v/>
      </c>
    </row>
    <row r="61" customFormat="false" ht="12.75" hidden="false" customHeight="true" outlineLevel="0" collapsed="false">
      <c r="A61" s="162" t="s">
        <v>427</v>
      </c>
      <c r="B61" s="163" t="n">
        <v>59</v>
      </c>
      <c r="C61" s="163" t="s">
        <v>405</v>
      </c>
      <c r="D61" s="163" t="s">
        <v>428</v>
      </c>
      <c r="E61" s="163" t="s">
        <v>429</v>
      </c>
      <c r="F61" s="162" t="s">
        <v>427</v>
      </c>
      <c r="G61" s="116" t="s">
        <v>430</v>
      </c>
      <c r="H61" s="116"/>
      <c r="I61" s="116"/>
      <c r="J61" s="116"/>
      <c r="K61" s="116"/>
      <c r="L61" s="116"/>
      <c r="M61" s="116"/>
      <c r="N61" s="164"/>
      <c r="O61" s="164"/>
      <c r="P61" s="164"/>
      <c r="Q61" s="164"/>
      <c r="R61" s="164"/>
      <c r="S61" s="163"/>
      <c r="T61" s="165"/>
      <c r="U61" s="166"/>
      <c r="V61" s="166"/>
      <c r="W61" s="116"/>
      <c r="X61" s="116"/>
      <c r="Y61" s="162" t="s">
        <v>427</v>
      </c>
      <c r="Z61" s="167" t="s">
        <v>431</v>
      </c>
      <c r="AA61" s="168" t="str">
        <f aca="false">VLOOKUP(Y61,20230302Data!A:K,2,FALSE())</f>
        <v>小1－2</v>
      </c>
      <c r="AB61" s="168" t="str">
        <f aca="false">VLOOKUP(Y61,20230302Data!A:K,3,FALSE())</f>
        <v>中村 光太</v>
      </c>
      <c r="AC61" s="169" t="str">
        <f aca="false">VLOOKUP(Y61,20230302Data!A:K,4,FALSE())</f>
        <v>剛</v>
      </c>
      <c r="AD61" s="169" t="n">
        <f aca="false">VLOOKUP(Y61,20230302Data!A:K,6,FALSE())</f>
        <v>0</v>
      </c>
      <c r="AE61" s="169" t="n">
        <f aca="false">VLOOKUP(Y61,20230302Data!A:K,7,FALSE())</f>
        <v>0</v>
      </c>
      <c r="AF61" s="169" t="n">
        <f aca="false">VLOOKUP(Y61,20230302Data!A:K,8,FALSE())</f>
        <v>0</v>
      </c>
      <c r="AG61" s="169" t="n">
        <f aca="false">VLOOKUP(Y61,20230302Data!A:K,9,FALSE())</f>
        <v>0</v>
      </c>
      <c r="AH61" s="169" t="str">
        <f aca="false">SUBSTITUTE(SUBSTITUTE(SUBSTITUTE(Y61,"-",""),"(",""),")","")</f>
        <v>4042459823</v>
      </c>
      <c r="AI61" s="169" t="str">
        <f aca="false">IFERROR(VLOOKUP(AH61,#REF!,3,FALSE()),"")</f>
        <v/>
      </c>
    </row>
    <row r="62" customFormat="false" ht="12.75" hidden="false" customHeight="true" outlineLevel="0" collapsed="false">
      <c r="A62" s="162" t="s">
        <v>432</v>
      </c>
      <c r="B62" s="163" t="n">
        <v>60</v>
      </c>
      <c r="C62" s="163" t="s">
        <v>405</v>
      </c>
      <c r="D62" s="163" t="s">
        <v>433</v>
      </c>
      <c r="E62" s="163" t="s">
        <v>434</v>
      </c>
      <c r="F62" s="162" t="s">
        <v>432</v>
      </c>
      <c r="G62" s="116" t="s">
        <v>435</v>
      </c>
      <c r="H62" s="163" t="s">
        <v>418</v>
      </c>
      <c r="I62" s="163" t="s">
        <v>436</v>
      </c>
      <c r="J62" s="163"/>
      <c r="K62" s="163"/>
      <c r="L62" s="163"/>
      <c r="M62" s="163"/>
      <c r="N62" s="164"/>
      <c r="O62" s="164"/>
      <c r="P62" s="164"/>
      <c r="Q62" s="164"/>
      <c r="R62" s="164" t="n">
        <v>45038</v>
      </c>
      <c r="S62" s="162" t="s">
        <v>126</v>
      </c>
      <c r="T62" s="165" t="s">
        <v>437</v>
      </c>
      <c r="U62" s="219"/>
      <c r="V62" s="219"/>
      <c r="W62" s="163"/>
      <c r="X62" s="163" t="s">
        <v>438</v>
      </c>
      <c r="Y62" s="162" t="s">
        <v>439</v>
      </c>
      <c r="Z62" s="167" t="s">
        <v>440</v>
      </c>
      <c r="AA62" s="168" t="str">
        <f aca="false">VLOOKUP(Y62,20230302Data!A:K,2,FALSE())</f>
        <v>小1－2</v>
      </c>
      <c r="AB62" s="168" t="str">
        <f aca="false">VLOOKUP(Y62,20230302Data!A:K,3,FALSE())</f>
        <v>北井 匠</v>
      </c>
      <c r="AC62" s="169" t="str">
        <f aca="false">VLOOKUP(Y62,20230302Data!A:K,4,FALSE())</f>
        <v>大樹</v>
      </c>
      <c r="AD62" s="169" t="str">
        <f aca="false">VLOOKUP(Y62,20230302Data!A:K,6,FALSE())</f>
        <v>小6－2</v>
      </c>
      <c r="AE62" s="169" t="str">
        <f aca="false">VLOOKUP(Y62,20230302Data!A:K,7,FALSE())</f>
        <v>北井 大和</v>
      </c>
      <c r="AF62" s="169" t="n">
        <f aca="false">VLOOKUP(Y62,20230302Data!A:K,8,FALSE())</f>
        <v>0</v>
      </c>
      <c r="AG62" s="169" t="n">
        <f aca="false">VLOOKUP(Y62,20230302Data!A:K,9,FALSE())</f>
        <v>0</v>
      </c>
      <c r="AH62" s="169" t="str">
        <f aca="false">SUBSTITUTE(SUBSTITUTE(SUBSTITUTE(Y62,"-",""),"(",""),")","")</f>
        <v>7707785098</v>
      </c>
      <c r="AI62" s="169" t="str">
        <f aca="false">IFERROR(VLOOKUP(AH62,#REF!,3,FALSE()),"")</f>
        <v/>
      </c>
    </row>
    <row r="63" customFormat="false" ht="12.75" hidden="false" customHeight="true" outlineLevel="0" collapsed="false">
      <c r="A63" s="185" t="s">
        <v>441</v>
      </c>
      <c r="B63" s="186" t="n">
        <v>61</v>
      </c>
      <c r="C63" s="186" t="s">
        <v>405</v>
      </c>
      <c r="D63" s="186" t="s">
        <v>442</v>
      </c>
      <c r="E63" s="186" t="s">
        <v>443</v>
      </c>
      <c r="F63" s="185" t="s">
        <v>441</v>
      </c>
      <c r="G63" s="187" t="s">
        <v>444</v>
      </c>
      <c r="H63" s="186" t="s">
        <v>101</v>
      </c>
      <c r="I63" s="186" t="s">
        <v>445</v>
      </c>
      <c r="J63" s="186"/>
      <c r="K63" s="186"/>
      <c r="L63" s="186"/>
      <c r="M63" s="186"/>
      <c r="N63" s="155"/>
      <c r="O63" s="155"/>
      <c r="P63" s="155"/>
      <c r="Q63" s="155"/>
      <c r="R63" s="155"/>
      <c r="S63" s="155"/>
      <c r="T63" s="188"/>
      <c r="U63" s="189"/>
      <c r="V63" s="189"/>
      <c r="W63" s="186" t="s">
        <v>55</v>
      </c>
      <c r="X63" s="186" t="s">
        <v>446</v>
      </c>
      <c r="Y63" s="185" t="s">
        <v>441</v>
      </c>
      <c r="Z63" s="190" t="s">
        <v>444</v>
      </c>
      <c r="AA63" s="190" t="str">
        <f aca="false">VLOOKUP(Y63,20230302Data!A:K,2,FALSE())</f>
        <v>小1－2</v>
      </c>
      <c r="AB63" s="190" t="str">
        <f aca="false">VLOOKUP(Y63,20230302Data!A:K,3,FALSE())</f>
        <v>宮田 來怜</v>
      </c>
      <c r="AC63" s="191" t="str">
        <f aca="false">VLOOKUP(Y63,20230302Data!A:K,4,FALSE())</f>
        <v>大輝</v>
      </c>
      <c r="AD63" s="191" t="str">
        <f aca="false">VLOOKUP(Y63,20230302Data!A:K,6,FALSE())</f>
        <v>小3－1</v>
      </c>
      <c r="AE63" s="191" t="str">
        <f aca="false">VLOOKUP(Y63,20230302Data!A:K,7,FALSE())</f>
        <v>宮田 亜美</v>
      </c>
      <c r="AF63" s="191" t="n">
        <f aca="false">VLOOKUP(Y63,20230302Data!A:K,8,FALSE())</f>
        <v>0</v>
      </c>
      <c r="AG63" s="191" t="n">
        <f aca="false">VLOOKUP(Y63,20230302Data!A:K,9,FALSE())</f>
        <v>0</v>
      </c>
      <c r="AH63" s="191" t="str">
        <f aca="false">SUBSTITUTE(SUBSTITUTE(SUBSTITUTE(Y63,"-",""),"(",""),")","")</f>
        <v>2139252174</v>
      </c>
      <c r="AI63" s="191" t="str">
        <f aca="false">IFERROR(VLOOKUP(AH63,#REF!,3,FALSE()),"")</f>
        <v/>
      </c>
    </row>
    <row r="64" customFormat="false" ht="12.75" hidden="false" customHeight="true" outlineLevel="0" collapsed="false">
      <c r="A64" s="185" t="s">
        <v>447</v>
      </c>
      <c r="B64" s="186" t="n">
        <v>62</v>
      </c>
      <c r="C64" s="186" t="s">
        <v>405</v>
      </c>
      <c r="D64" s="186" t="s">
        <v>448</v>
      </c>
      <c r="E64" s="186" t="s">
        <v>449</v>
      </c>
      <c r="F64" s="185" t="s">
        <v>447</v>
      </c>
      <c r="G64" s="187" t="s">
        <v>450</v>
      </c>
      <c r="H64" s="186"/>
      <c r="I64" s="186"/>
      <c r="J64" s="186"/>
      <c r="K64" s="186"/>
      <c r="L64" s="186"/>
      <c r="M64" s="186"/>
      <c r="N64" s="155"/>
      <c r="O64" s="155"/>
      <c r="P64" s="155"/>
      <c r="Q64" s="155"/>
      <c r="R64" s="155"/>
      <c r="S64" s="186"/>
      <c r="T64" s="188"/>
      <c r="U64" s="189"/>
      <c r="V64" s="189"/>
      <c r="W64" s="186" t="s">
        <v>55</v>
      </c>
      <c r="X64" s="186" t="s">
        <v>451</v>
      </c>
      <c r="Y64" s="185" t="s">
        <v>447</v>
      </c>
      <c r="Z64" s="190" t="s">
        <v>450</v>
      </c>
      <c r="AA64" s="190" t="str">
        <f aca="false">VLOOKUP(Y64,20230302Data!A:K,2,FALSE())</f>
        <v>小1－2</v>
      </c>
      <c r="AB64" s="190" t="str">
        <f aca="false">VLOOKUP(Y64,20230302Data!A:K,3,FALSE())</f>
        <v>モリソン 晴信</v>
      </c>
      <c r="AC64" s="191" t="str">
        <f aca="false">VLOOKUP(Y64,20230302Data!A:K,4,FALSE())</f>
        <v>ジョシュア</v>
      </c>
      <c r="AD64" s="191" t="n">
        <f aca="false">VLOOKUP(Y64,20230302Data!A:K,6,FALSE())</f>
        <v>0</v>
      </c>
      <c r="AE64" s="191" t="n">
        <f aca="false">VLOOKUP(Y64,20230302Data!A:K,7,FALSE())</f>
        <v>0</v>
      </c>
      <c r="AF64" s="191" t="n">
        <f aca="false">VLOOKUP(Y64,20230302Data!A:K,8,FALSE())</f>
        <v>0</v>
      </c>
      <c r="AG64" s="191" t="n">
        <f aca="false">VLOOKUP(Y64,20230302Data!A:K,9,FALSE())</f>
        <v>0</v>
      </c>
      <c r="AH64" s="191" t="str">
        <f aca="false">SUBSTITUTE(SUBSTITUTE(SUBSTITUTE(Y64,"-",""),"(",""),")","")</f>
        <v>4049085543</v>
      </c>
      <c r="AI64" s="191" t="str">
        <f aca="false">IFERROR(VLOOKUP(AH64,#REF!,3,FALSE()),"")</f>
        <v/>
      </c>
    </row>
    <row r="65" customFormat="false" ht="12.75" hidden="false" customHeight="true" outlineLevel="0" collapsed="false">
      <c r="A65" s="162" t="s">
        <v>452</v>
      </c>
      <c r="B65" s="163" t="n">
        <v>63</v>
      </c>
      <c r="C65" s="163" t="s">
        <v>405</v>
      </c>
      <c r="D65" s="163" t="s">
        <v>453</v>
      </c>
      <c r="E65" s="163" t="s">
        <v>454</v>
      </c>
      <c r="F65" s="162" t="s">
        <v>452</v>
      </c>
      <c r="G65" s="116" t="s">
        <v>455</v>
      </c>
      <c r="H65" s="163" t="s">
        <v>322</v>
      </c>
      <c r="I65" s="163" t="s">
        <v>456</v>
      </c>
      <c r="J65" s="116"/>
      <c r="K65" s="116"/>
      <c r="L65" s="116"/>
      <c r="M65" s="116"/>
      <c r="N65" s="164"/>
      <c r="O65" s="163"/>
      <c r="P65" s="164" t="n">
        <v>45045</v>
      </c>
      <c r="Q65" s="162" t="s">
        <v>67</v>
      </c>
      <c r="R65" s="164"/>
      <c r="S65" s="163"/>
      <c r="T65" s="165"/>
      <c r="U65" s="166"/>
      <c r="V65" s="166"/>
      <c r="W65" s="116"/>
      <c r="X65" s="116"/>
      <c r="Y65" s="162" t="s">
        <v>452</v>
      </c>
      <c r="Z65" s="167" t="s">
        <v>457</v>
      </c>
      <c r="AA65" s="168" t="str">
        <f aca="false">VLOOKUP(Y65,20230302Data!A:K,2,FALSE())</f>
        <v>小1－2</v>
      </c>
      <c r="AB65" s="168" t="str">
        <f aca="false">VLOOKUP(Y65,20230302Data!A:K,3,FALSE())</f>
        <v>山崎 瑛美</v>
      </c>
      <c r="AC65" s="169" t="str">
        <f aca="false">VLOOKUP(Y65,20230302Data!A:K,4,FALSE())</f>
        <v>寿也</v>
      </c>
      <c r="AD65" s="169" t="str">
        <f aca="false">VLOOKUP(Y65,20230302Data!A:K,6,FALSE())</f>
        <v>小4－2</v>
      </c>
      <c r="AE65" s="169" t="str">
        <f aca="false">VLOOKUP(Y65,20230302Data!A:K,7,FALSE())</f>
        <v>山崎 玲奈</v>
      </c>
      <c r="AF65" s="169" t="n">
        <f aca="false">VLOOKUP(Y65,20230302Data!A:K,8,FALSE())</f>
        <v>0</v>
      </c>
      <c r="AG65" s="169" t="n">
        <f aca="false">VLOOKUP(Y65,20230302Data!A:K,9,FALSE())</f>
        <v>0</v>
      </c>
      <c r="AH65" s="169" t="str">
        <f aca="false">SUBSTITUTE(SUBSTITUTE(SUBSTITUTE(Y65,"-",""),"(",""),")","")</f>
        <v>4707559116</v>
      </c>
      <c r="AI65" s="169" t="str">
        <f aca="false">IFERROR(VLOOKUP(AH65,#REF!,3,FALSE()),"")</f>
        <v/>
      </c>
    </row>
    <row r="66" customFormat="false" ht="12.75" hidden="false" customHeight="true" outlineLevel="0" collapsed="false">
      <c r="A66" s="170" t="s">
        <v>458</v>
      </c>
      <c r="B66" s="171" t="n">
        <v>64</v>
      </c>
      <c r="C66" s="171" t="s">
        <v>405</v>
      </c>
      <c r="D66" s="171" t="s">
        <v>459</v>
      </c>
      <c r="E66" s="171" t="s">
        <v>460</v>
      </c>
      <c r="F66" s="170" t="s">
        <v>458</v>
      </c>
      <c r="G66" s="111" t="s">
        <v>461</v>
      </c>
      <c r="H66" s="171" t="s">
        <v>101</v>
      </c>
      <c r="I66" s="171" t="s">
        <v>462</v>
      </c>
      <c r="J66" s="111"/>
      <c r="K66" s="111"/>
      <c r="L66" s="111"/>
      <c r="M66" s="111"/>
      <c r="N66" s="172"/>
      <c r="O66" s="172"/>
      <c r="P66" s="172"/>
      <c r="Q66" s="172"/>
      <c r="R66" s="155"/>
      <c r="S66" s="186"/>
      <c r="T66" s="173"/>
      <c r="U66" s="174"/>
      <c r="V66" s="174"/>
      <c r="W66" s="193" t="s">
        <v>152</v>
      </c>
      <c r="X66" s="111"/>
      <c r="Y66" s="170" t="s">
        <v>458</v>
      </c>
      <c r="Z66" s="175" t="s">
        <v>461</v>
      </c>
      <c r="AA66" s="175" t="str">
        <f aca="false">VLOOKUP(Y66,20230302Data!A:K,2,FALSE())</f>
        <v>小1－2</v>
      </c>
      <c r="AB66" s="175" t="str">
        <f aca="false">VLOOKUP(Y66,20230302Data!A:K,3,FALSE())</f>
        <v>井上 柚羽</v>
      </c>
      <c r="AC66" s="176" t="str">
        <f aca="false">VLOOKUP(Y66,20230302Data!A:K,4,FALSE())</f>
        <v>雄一郎</v>
      </c>
      <c r="AD66" s="176" t="str">
        <f aca="false">VLOOKUP(Y66,20230302Data!A:K,6,FALSE())</f>
        <v>小3－1</v>
      </c>
      <c r="AE66" s="176" t="str">
        <f aca="false">VLOOKUP(Y66,20230302Data!A:K,7,FALSE())</f>
        <v>井上 柚乃</v>
      </c>
      <c r="AF66" s="176" t="n">
        <f aca="false">VLOOKUP(Y66,20230302Data!A:K,8,FALSE())</f>
        <v>0</v>
      </c>
      <c r="AG66" s="176" t="n">
        <f aca="false">VLOOKUP(Y66,20230302Data!A:K,9,FALSE())</f>
        <v>0</v>
      </c>
      <c r="AH66" s="176" t="str">
        <f aca="false">SUBSTITUTE(SUBSTITUTE(SUBSTITUTE(Y66,"-",""),"(",""),")","")</f>
        <v>7702358724</v>
      </c>
      <c r="AI66" s="176" t="str">
        <f aca="false">IFERROR(VLOOKUP(AH66,#REF!,3,FALSE()),"")</f>
        <v/>
      </c>
    </row>
    <row r="67" customFormat="false" ht="12.75" hidden="false" customHeight="true" outlineLevel="0" collapsed="false">
      <c r="A67" s="162" t="s">
        <v>463</v>
      </c>
      <c r="B67" s="163" t="n">
        <v>65</v>
      </c>
      <c r="C67" s="163" t="s">
        <v>405</v>
      </c>
      <c r="D67" s="163" t="s">
        <v>464</v>
      </c>
      <c r="E67" s="163" t="s">
        <v>465</v>
      </c>
      <c r="F67" s="162" t="s">
        <v>466</v>
      </c>
      <c r="G67" s="116" t="s">
        <v>467</v>
      </c>
      <c r="H67" s="116"/>
      <c r="I67" s="116"/>
      <c r="J67" s="116"/>
      <c r="K67" s="116"/>
      <c r="L67" s="116"/>
      <c r="M67" s="116"/>
      <c r="N67" s="164"/>
      <c r="O67" s="163"/>
      <c r="P67" s="164"/>
      <c r="Q67" s="164"/>
      <c r="R67" s="164"/>
      <c r="S67" s="163"/>
      <c r="T67" s="165"/>
      <c r="U67" s="166"/>
      <c r="V67" s="166"/>
      <c r="W67" s="116"/>
      <c r="X67" s="116"/>
      <c r="Y67" s="162" t="s">
        <v>463</v>
      </c>
      <c r="Z67" s="167" t="s">
        <v>468</v>
      </c>
      <c r="AA67" s="168" t="str">
        <f aca="false">VLOOKUP(Y67,20230302Data!A:K,2,FALSE())</f>
        <v>小1－2</v>
      </c>
      <c r="AB67" s="168" t="str">
        <f aca="false">VLOOKUP(Y67,20230302Data!A:K,3,FALSE())</f>
        <v>大河内 彩恵</v>
      </c>
      <c r="AC67" s="169" t="str">
        <f aca="false">VLOOKUP(Y67,20230302Data!A:K,4,FALSE())</f>
        <v>一輝</v>
      </c>
      <c r="AD67" s="169" t="n">
        <f aca="false">VLOOKUP(Y67,20230302Data!A:K,6,FALSE())</f>
        <v>0</v>
      </c>
      <c r="AE67" s="169" t="n">
        <f aca="false">VLOOKUP(Y67,20230302Data!A:K,7,FALSE())</f>
        <v>0</v>
      </c>
      <c r="AF67" s="169" t="n">
        <f aca="false">VLOOKUP(Y67,20230302Data!A:K,8,FALSE())</f>
        <v>0</v>
      </c>
      <c r="AG67" s="169" t="n">
        <f aca="false">VLOOKUP(Y67,20230302Data!A:K,9,FALSE())</f>
        <v>0</v>
      </c>
      <c r="AH67" s="169" t="str">
        <f aca="false">SUBSTITUTE(SUBSTITUTE(SUBSTITUTE(Y67,"-",""),"(",""),")","")</f>
        <v>4708825907</v>
      </c>
      <c r="AI67" s="169" t="str">
        <f aca="false">IFERROR(VLOOKUP(AH67,#REF!,3,FALSE()),"")</f>
        <v/>
      </c>
    </row>
    <row r="68" customFormat="false" ht="12.75" hidden="false" customHeight="true" outlineLevel="0" collapsed="false">
      <c r="A68" s="170" t="s">
        <v>469</v>
      </c>
      <c r="B68" s="171" t="n">
        <v>66</v>
      </c>
      <c r="C68" s="171" t="s">
        <v>405</v>
      </c>
      <c r="D68" s="171" t="s">
        <v>470</v>
      </c>
      <c r="E68" s="171" t="s">
        <v>471</v>
      </c>
      <c r="F68" s="170" t="s">
        <v>469</v>
      </c>
      <c r="G68" s="111" t="s">
        <v>472</v>
      </c>
      <c r="H68" s="171" t="s">
        <v>101</v>
      </c>
      <c r="I68" s="171" t="s">
        <v>473</v>
      </c>
      <c r="J68" s="111"/>
      <c r="K68" s="111"/>
      <c r="L68" s="111"/>
      <c r="M68" s="111"/>
      <c r="N68" s="172"/>
      <c r="O68" s="172"/>
      <c r="P68" s="172"/>
      <c r="Q68" s="171"/>
      <c r="R68" s="155"/>
      <c r="S68" s="186"/>
      <c r="T68" s="173"/>
      <c r="U68" s="174"/>
      <c r="V68" s="174"/>
      <c r="W68" s="193" t="s">
        <v>33</v>
      </c>
      <c r="X68" s="111"/>
      <c r="Y68" s="170" t="s">
        <v>469</v>
      </c>
      <c r="Z68" s="175" t="s">
        <v>472</v>
      </c>
      <c r="AA68" s="175" t="str">
        <f aca="false">VLOOKUP(Y68,20230302Data!A:K,2,FALSE())</f>
        <v>小1－2</v>
      </c>
      <c r="AB68" s="175" t="str">
        <f aca="false">VLOOKUP(Y68,20230302Data!A:K,3,FALSE())</f>
        <v>ラザラス スカーレット</v>
      </c>
      <c r="AC68" s="176" t="str">
        <f aca="false">VLOOKUP(Y68,20230302Data!A:K,4,FALSE())</f>
        <v>クリス</v>
      </c>
      <c r="AD68" s="176" t="str">
        <f aca="false">VLOOKUP(Y68,20230302Data!A:K,6,FALSE())</f>
        <v>小3－1</v>
      </c>
      <c r="AE68" s="176" t="str">
        <f aca="false">VLOOKUP(Y68,20230302Data!A:K,7,FALSE())</f>
        <v>ラザラス ジェームス</v>
      </c>
      <c r="AF68" s="176" t="n">
        <f aca="false">VLOOKUP(Y68,20230302Data!A:K,8,FALSE())</f>
        <v>0</v>
      </c>
      <c r="AG68" s="176" t="n">
        <f aca="false">VLOOKUP(Y68,20230302Data!A:K,9,FALSE())</f>
        <v>0</v>
      </c>
      <c r="AH68" s="176" t="str">
        <f aca="false">SUBSTITUTE(SUBSTITUTE(SUBSTITUTE(Y68,"-",""),"(",""),")","")</f>
        <v>7703646300</v>
      </c>
      <c r="AI68" s="176" t="str">
        <f aca="false">IFERROR(VLOOKUP(AH68,#REF!,3,FALSE()),"")</f>
        <v/>
      </c>
    </row>
    <row r="69" customFormat="false" ht="12.75" hidden="false" customHeight="true" outlineLevel="0" collapsed="false">
      <c r="A69" s="177" t="s">
        <v>474</v>
      </c>
      <c r="B69" s="178" t="n">
        <v>67</v>
      </c>
      <c r="C69" s="178" t="s">
        <v>405</v>
      </c>
      <c r="D69" s="178" t="s">
        <v>475</v>
      </c>
      <c r="E69" s="178" t="s">
        <v>476</v>
      </c>
      <c r="F69" s="177" t="s">
        <v>474</v>
      </c>
      <c r="G69" s="179" t="s">
        <v>477</v>
      </c>
      <c r="H69" s="178" t="s">
        <v>395</v>
      </c>
      <c r="I69" s="178" t="s">
        <v>478</v>
      </c>
      <c r="J69" s="179"/>
      <c r="K69" s="179"/>
      <c r="L69" s="179"/>
      <c r="M69" s="179"/>
      <c r="N69" s="180"/>
      <c r="O69" s="180"/>
      <c r="P69" s="180"/>
      <c r="Q69" s="180"/>
      <c r="R69" s="155"/>
      <c r="S69" s="186"/>
      <c r="T69" s="181"/>
      <c r="U69" s="200"/>
      <c r="V69" s="200"/>
      <c r="W69" s="201" t="s">
        <v>60</v>
      </c>
      <c r="X69" s="179"/>
      <c r="Y69" s="177" t="s">
        <v>474</v>
      </c>
      <c r="Z69" s="183" t="s">
        <v>477</v>
      </c>
      <c r="AA69" s="183" t="str">
        <f aca="false">VLOOKUP(Y69,20230302Data!A:K,2,FALSE())</f>
        <v>小1－2</v>
      </c>
      <c r="AB69" s="183" t="str">
        <f aca="false">VLOOKUP(Y69,20230302Data!A:K,3,FALSE())</f>
        <v>石井 希歩</v>
      </c>
      <c r="AC69" s="184" t="str">
        <f aca="false">VLOOKUP(Y69,20230302Data!A:K,4,FALSE())</f>
        <v>喜大</v>
      </c>
      <c r="AD69" s="184" t="str">
        <f aca="false">VLOOKUP(Y69,20230302Data!A:K,6,FALSE())</f>
        <v>小6－1</v>
      </c>
      <c r="AE69" s="184" t="str">
        <f aca="false">VLOOKUP(Y69,20230302Data!A:K,7,FALSE())</f>
        <v>石井 佑典</v>
      </c>
      <c r="AF69" s="184" t="n">
        <f aca="false">VLOOKUP(Y69,20230302Data!A:K,8,FALSE())</f>
        <v>0</v>
      </c>
      <c r="AG69" s="184" t="n">
        <f aca="false">VLOOKUP(Y69,20230302Data!A:K,9,FALSE())</f>
        <v>0</v>
      </c>
      <c r="AH69" s="184" t="str">
        <f aca="false">SUBSTITUTE(SUBSTITUTE(SUBSTITUTE(Y69,"-",""),"(",""),")","")</f>
        <v>4708070696</v>
      </c>
      <c r="AI69" s="184" t="str">
        <f aca="false">IFERROR(VLOOKUP(AH69,#REF!,3,FALSE()),"")</f>
        <v/>
      </c>
    </row>
    <row r="70" customFormat="false" ht="12.75" hidden="false" customHeight="true" outlineLevel="0" collapsed="false">
      <c r="A70" s="162" t="s">
        <v>479</v>
      </c>
      <c r="B70" s="163" t="n">
        <v>68</v>
      </c>
      <c r="C70" s="163" t="s">
        <v>480</v>
      </c>
      <c r="D70" s="220" t="s">
        <v>481</v>
      </c>
      <c r="E70" s="163" t="s">
        <v>482</v>
      </c>
      <c r="F70" s="162" t="s">
        <v>479</v>
      </c>
      <c r="G70" s="116" t="s">
        <v>483</v>
      </c>
      <c r="H70" s="163" t="s">
        <v>120</v>
      </c>
      <c r="I70" s="221" t="s">
        <v>484</v>
      </c>
      <c r="J70" s="116"/>
      <c r="K70" s="116"/>
      <c r="L70" s="116"/>
      <c r="M70" s="116"/>
      <c r="N70" s="164"/>
      <c r="O70" s="164"/>
      <c r="P70" s="164"/>
      <c r="Q70" s="163"/>
      <c r="R70" s="164"/>
      <c r="S70" s="163"/>
      <c r="T70" s="165"/>
      <c r="U70" s="166" t="n">
        <v>44660</v>
      </c>
      <c r="V70" s="166"/>
      <c r="W70" s="116"/>
      <c r="X70" s="116"/>
      <c r="Y70" s="162" t="s">
        <v>479</v>
      </c>
      <c r="Z70" s="167" t="s">
        <v>483</v>
      </c>
      <c r="AA70" s="168" t="str">
        <f aca="false">VLOOKUP(Y70,20230302Data!A:K,2,FALSE())</f>
        <v>小1－2</v>
      </c>
      <c r="AB70" s="168" t="str">
        <f aca="false">VLOOKUP(Y70,20230302Data!A:K,3,FALSE())</f>
        <v>川嶋 琉生</v>
      </c>
      <c r="AC70" s="169" t="str">
        <f aca="false">VLOOKUP(Y70,20230302Data!A:K,4,FALSE())</f>
        <v>祐貴</v>
      </c>
      <c r="AD70" s="169" t="str">
        <f aca="false">VLOOKUP(Y70,20230302Data!A:K,6,FALSE())</f>
        <v>小4－1</v>
      </c>
      <c r="AE70" s="169" t="str">
        <f aca="false">VLOOKUP(Y70,20230302Data!A:K,7,FALSE())</f>
        <v>川嶋 優維</v>
      </c>
      <c r="AF70" s="169" t="n">
        <f aca="false">VLOOKUP(Y70,20230302Data!A:K,8,FALSE())</f>
        <v>0</v>
      </c>
      <c r="AG70" s="169" t="n">
        <f aca="false">VLOOKUP(Y70,20230302Data!A:K,9,FALSE())</f>
        <v>0</v>
      </c>
      <c r="AH70" s="169" t="str">
        <f aca="false">SUBSTITUTE(SUBSTITUTE(SUBSTITUTE(Y70,"-",""),"(",""),")","")</f>
        <v>4707559695</v>
      </c>
      <c r="AI70" s="169" t="str">
        <f aca="false">IFERROR(VLOOKUP(AH70,#REF!,3,FALSE()),"")</f>
        <v/>
      </c>
    </row>
    <row r="71" customFormat="false" ht="12.75" hidden="false" customHeight="true" outlineLevel="0" collapsed="false">
      <c r="A71" s="162" t="s">
        <v>485</v>
      </c>
      <c r="B71" s="163" t="n">
        <v>69</v>
      </c>
      <c r="C71" s="163" t="s">
        <v>480</v>
      </c>
      <c r="D71" s="220" t="s">
        <v>486</v>
      </c>
      <c r="E71" s="163" t="s">
        <v>487</v>
      </c>
      <c r="F71" s="162" t="s">
        <v>485</v>
      </c>
      <c r="G71" s="116" t="s">
        <v>488</v>
      </c>
      <c r="H71" s="163"/>
      <c r="I71" s="221"/>
      <c r="J71" s="116"/>
      <c r="K71" s="116"/>
      <c r="L71" s="116"/>
      <c r="M71" s="116"/>
      <c r="N71" s="164"/>
      <c r="O71" s="163"/>
      <c r="P71" s="164"/>
      <c r="Q71" s="164"/>
      <c r="R71" s="164"/>
      <c r="S71" s="163"/>
      <c r="T71" s="165"/>
      <c r="U71" s="166" t="n">
        <v>44716</v>
      </c>
      <c r="V71" s="166"/>
      <c r="W71" s="116"/>
      <c r="X71" s="116"/>
      <c r="Y71" s="162" t="s">
        <v>485</v>
      </c>
      <c r="Z71" s="168"/>
      <c r="AA71" s="168" t="str">
        <f aca="false">VLOOKUP(Y71,20230302Data!A:K,2,FALSE())</f>
        <v>小1－2</v>
      </c>
      <c r="AB71" s="168" t="str">
        <f aca="false">VLOOKUP(Y71,20230302Data!A:K,3,FALSE())</f>
        <v>レビン 海斗</v>
      </c>
      <c r="AC71" s="169" t="str">
        <f aca="false">VLOOKUP(Y71,20230302Data!A:K,4,FALSE())</f>
        <v>ベンジャミン</v>
      </c>
      <c r="AD71" s="169" t="n">
        <f aca="false">VLOOKUP(Y71,20230302Data!A:K,6,FALSE())</f>
        <v>0</v>
      </c>
      <c r="AE71" s="169" t="n">
        <f aca="false">VLOOKUP(Y71,20230302Data!A:K,7,FALSE())</f>
        <v>0</v>
      </c>
      <c r="AF71" s="169" t="n">
        <f aca="false">VLOOKUP(Y71,20230302Data!A:K,8,FALSE())</f>
        <v>0</v>
      </c>
      <c r="AG71" s="169" t="n">
        <f aca="false">VLOOKUP(Y71,20230302Data!A:K,9,FALSE())</f>
        <v>0</v>
      </c>
      <c r="AH71" s="169" t="str">
        <f aca="false">SUBSTITUTE(SUBSTITUTE(SUBSTITUTE(Y71,"-",""),"(",""),")","")</f>
        <v>4704308281</v>
      </c>
      <c r="AI71" s="169" t="str">
        <f aca="false">IFERROR(VLOOKUP(AH71,#REF!,3,FALSE()),"")</f>
        <v/>
      </c>
    </row>
    <row r="72" customFormat="false" ht="12.75" hidden="false" customHeight="true" outlineLevel="0" collapsed="false">
      <c r="A72" s="185" t="s">
        <v>489</v>
      </c>
      <c r="B72" s="186" t="n">
        <v>70</v>
      </c>
      <c r="C72" s="186" t="s">
        <v>250</v>
      </c>
      <c r="D72" s="186" t="s">
        <v>490</v>
      </c>
      <c r="E72" s="186" t="s">
        <v>491</v>
      </c>
      <c r="F72" s="185" t="s">
        <v>489</v>
      </c>
      <c r="G72" s="187" t="s">
        <v>492</v>
      </c>
      <c r="H72" s="186" t="s">
        <v>183</v>
      </c>
      <c r="I72" s="186" t="s">
        <v>493</v>
      </c>
      <c r="J72" s="186"/>
      <c r="K72" s="186"/>
      <c r="L72" s="186"/>
      <c r="M72" s="186"/>
      <c r="N72" s="155"/>
      <c r="O72" s="155"/>
      <c r="P72" s="155"/>
      <c r="Q72" s="155"/>
      <c r="R72" s="155"/>
      <c r="S72" s="155"/>
      <c r="T72" s="188"/>
      <c r="U72" s="189"/>
      <c r="V72" s="189"/>
      <c r="W72" s="186" t="s">
        <v>55</v>
      </c>
      <c r="X72" s="186" t="s">
        <v>446</v>
      </c>
      <c r="Y72" s="185" t="s">
        <v>489</v>
      </c>
      <c r="Z72" s="190" t="s">
        <v>492</v>
      </c>
      <c r="AA72" s="190" t="str">
        <f aca="false">VLOOKUP(Y72,20230302Data!A:K,2,FALSE())</f>
        <v>小1－3</v>
      </c>
      <c r="AB72" s="190" t="str">
        <f aca="false">VLOOKUP(Y72,20230302Data!A:K,3,FALSE())</f>
        <v>松井 一真</v>
      </c>
      <c r="AC72" s="191" t="str">
        <f aca="false">VLOOKUP(Y72,20230302Data!A:K,4,FALSE())</f>
        <v>甲並</v>
      </c>
      <c r="AD72" s="191" t="str">
        <f aca="false">VLOOKUP(Y72,20230302Data!A:K,6,FALSE())</f>
        <v>小3－2</v>
      </c>
      <c r="AE72" s="191" t="str">
        <f aca="false">VLOOKUP(Y72,20230302Data!A:K,7,FALSE())</f>
        <v>松井 真優</v>
      </c>
      <c r="AF72" s="191" t="n">
        <f aca="false">VLOOKUP(Y72,20230302Data!A:K,8,FALSE())</f>
        <v>0</v>
      </c>
      <c r="AG72" s="191" t="n">
        <f aca="false">VLOOKUP(Y72,20230302Data!A:K,9,FALSE())</f>
        <v>0</v>
      </c>
      <c r="AH72" s="191" t="str">
        <f aca="false">SUBSTITUTE(SUBSTITUTE(SUBSTITUTE(Y72,"-",""),"(",""),")","")</f>
        <v>6787049168</v>
      </c>
      <c r="AI72" s="191" t="str">
        <f aca="false">IFERROR(VLOOKUP(AH72,#REF!,3,FALSE()),"")</f>
        <v/>
      </c>
    </row>
    <row r="73" customFormat="false" ht="12.75" hidden="false" customHeight="true" outlineLevel="0" collapsed="false">
      <c r="A73" s="151" t="s">
        <v>494</v>
      </c>
      <c r="B73" s="152" t="n">
        <v>71</v>
      </c>
      <c r="C73" s="152" t="s">
        <v>250</v>
      </c>
      <c r="D73" s="152" t="s">
        <v>495</v>
      </c>
      <c r="E73" s="152" t="s">
        <v>496</v>
      </c>
      <c r="F73" s="151" t="s">
        <v>494</v>
      </c>
      <c r="G73" s="153" t="s">
        <v>497</v>
      </c>
      <c r="H73" s="152"/>
      <c r="I73" s="152"/>
      <c r="J73" s="152"/>
      <c r="K73" s="152"/>
      <c r="L73" s="152"/>
      <c r="M73" s="152"/>
      <c r="N73" s="154" t="n">
        <v>45066</v>
      </c>
      <c r="O73" s="151" t="s">
        <v>67</v>
      </c>
      <c r="P73" s="155"/>
      <c r="Q73" s="155"/>
      <c r="R73" s="152"/>
      <c r="S73" s="154"/>
      <c r="T73" s="156"/>
      <c r="U73" s="198"/>
      <c r="V73" s="198"/>
      <c r="W73" s="152" t="s">
        <v>103</v>
      </c>
      <c r="X73" s="152" t="s">
        <v>305</v>
      </c>
      <c r="Y73" s="151" t="s">
        <v>494</v>
      </c>
      <c r="Z73" s="159" t="s">
        <v>497</v>
      </c>
      <c r="AA73" s="160" t="str">
        <f aca="false">VLOOKUP(Y73,20230302Data!A:K,2,FALSE())</f>
        <v>小1－3</v>
      </c>
      <c r="AB73" s="160" t="str">
        <f aca="false">VLOOKUP(Y73,20230302Data!A:K,3,FALSE())</f>
        <v>柳沢 彪功</v>
      </c>
      <c r="AC73" s="161" t="str">
        <f aca="false">VLOOKUP(Y73,20230302Data!A:K,4,FALSE())</f>
        <v>功</v>
      </c>
      <c r="AD73" s="161" t="n">
        <f aca="false">VLOOKUP(Y73,20230302Data!A:K,6,FALSE())</f>
        <v>0</v>
      </c>
      <c r="AE73" s="161" t="n">
        <f aca="false">VLOOKUP(Y73,20230302Data!A:K,7,FALSE())</f>
        <v>0</v>
      </c>
      <c r="AF73" s="161" t="n">
        <f aca="false">VLOOKUP(Y73,20230302Data!A:K,8,FALSE())</f>
        <v>0</v>
      </c>
      <c r="AG73" s="161" t="n">
        <f aca="false">VLOOKUP(Y73,20230302Data!A:K,9,FALSE())</f>
        <v>0</v>
      </c>
      <c r="AH73" s="161" t="str">
        <f aca="false">SUBSTITUTE(SUBSTITUTE(SUBSTITUTE(Y73,"-",""),"(",""),")","")</f>
        <v>4696889008</v>
      </c>
      <c r="AI73" s="161" t="str">
        <f aca="false">IFERROR(VLOOKUP(AH73,#REF!,3,FALSE()),"")</f>
        <v/>
      </c>
    </row>
    <row r="74" customFormat="false" ht="12.75" hidden="false" customHeight="true" outlineLevel="0" collapsed="false">
      <c r="A74" s="162" t="s">
        <v>498</v>
      </c>
      <c r="B74" s="163" t="n">
        <v>72</v>
      </c>
      <c r="C74" s="163" t="s">
        <v>250</v>
      </c>
      <c r="D74" s="163" t="s">
        <v>499</v>
      </c>
      <c r="E74" s="163" t="s">
        <v>471</v>
      </c>
      <c r="F74" s="162" t="s">
        <v>498</v>
      </c>
      <c r="G74" s="116" t="s">
        <v>500</v>
      </c>
      <c r="H74" s="163"/>
      <c r="I74" s="163"/>
      <c r="J74" s="163"/>
      <c r="K74" s="163"/>
      <c r="L74" s="163"/>
      <c r="M74" s="163"/>
      <c r="N74" s="163"/>
      <c r="O74" s="163"/>
      <c r="P74" s="164"/>
      <c r="Q74" s="164"/>
      <c r="R74" s="164"/>
      <c r="S74" s="164"/>
      <c r="T74" s="165"/>
      <c r="U74" s="219"/>
      <c r="V74" s="219"/>
      <c r="W74" s="163"/>
      <c r="X74" s="163" t="s">
        <v>252</v>
      </c>
      <c r="Y74" s="162" t="s">
        <v>498</v>
      </c>
      <c r="Z74" s="167" t="s">
        <v>500</v>
      </c>
      <c r="AA74" s="168" t="str">
        <f aca="false">VLOOKUP(Y74,20230302Data!A:K,2,FALSE())</f>
        <v>小1－3</v>
      </c>
      <c r="AB74" s="168" t="str">
        <f aca="false">VLOOKUP(Y74,20230302Data!A:K,3,FALSE())</f>
        <v>ハリソン 倖</v>
      </c>
      <c r="AC74" s="169" t="str">
        <f aca="false">VLOOKUP(Y74,20230302Data!A:K,4,FALSE())</f>
        <v>クリス</v>
      </c>
      <c r="AD74" s="169" t="n">
        <f aca="false">VLOOKUP(Y74,20230302Data!A:K,6,FALSE())</f>
        <v>0</v>
      </c>
      <c r="AE74" s="169" t="n">
        <f aca="false">VLOOKUP(Y74,20230302Data!A:K,7,FALSE())</f>
        <v>0</v>
      </c>
      <c r="AF74" s="169" t="n">
        <f aca="false">VLOOKUP(Y74,20230302Data!A:K,8,FALSE())</f>
        <v>0</v>
      </c>
      <c r="AG74" s="169" t="n">
        <f aca="false">VLOOKUP(Y74,20230302Data!A:K,9,FALSE())</f>
        <v>0</v>
      </c>
      <c r="AH74" s="169" t="str">
        <f aca="false">SUBSTITUTE(SUBSTITUTE(SUBSTITUTE(Y74,"-",""),"(",""),")","")</f>
        <v>7707337815</v>
      </c>
      <c r="AI74" s="169" t="str">
        <f aca="false">IFERROR(VLOOKUP(AH74,#REF!,3,FALSE()),"")</f>
        <v/>
      </c>
    </row>
    <row r="75" customFormat="false" ht="12.75" hidden="false" customHeight="true" outlineLevel="0" collapsed="false">
      <c r="A75" s="170" t="s">
        <v>501</v>
      </c>
      <c r="B75" s="171" t="n">
        <v>73</v>
      </c>
      <c r="C75" s="171" t="s">
        <v>250</v>
      </c>
      <c r="D75" s="171" t="s">
        <v>502</v>
      </c>
      <c r="E75" s="171" t="s">
        <v>503</v>
      </c>
      <c r="F75" s="170" t="s">
        <v>501</v>
      </c>
      <c r="G75" s="111" t="s">
        <v>504</v>
      </c>
      <c r="H75" s="111"/>
      <c r="I75" s="111"/>
      <c r="J75" s="111"/>
      <c r="K75" s="111"/>
      <c r="L75" s="111"/>
      <c r="M75" s="111"/>
      <c r="N75" s="172"/>
      <c r="O75" s="172"/>
      <c r="P75" s="172"/>
      <c r="Q75" s="172"/>
      <c r="R75" s="155"/>
      <c r="S75" s="155"/>
      <c r="T75" s="173"/>
      <c r="U75" s="174"/>
      <c r="V75" s="174"/>
      <c r="W75" s="193" t="s">
        <v>33</v>
      </c>
      <c r="X75" s="111"/>
      <c r="Y75" s="170" t="s">
        <v>501</v>
      </c>
      <c r="Z75" s="175" t="s">
        <v>504</v>
      </c>
      <c r="AA75" s="175" t="str">
        <f aca="false">VLOOKUP(Y75,20230302Data!A:K,2,FALSE())</f>
        <v>小1－3</v>
      </c>
      <c r="AB75" s="175" t="str">
        <f aca="false">VLOOKUP(Y75,20230302Data!A:K,3,FALSE())</f>
        <v>作佐部 岳</v>
      </c>
      <c r="AC75" s="176" t="str">
        <f aca="false">VLOOKUP(Y75,20230302Data!A:K,4,FALSE())</f>
        <v>将</v>
      </c>
      <c r="AD75" s="176" t="n">
        <f aca="false">VLOOKUP(Y75,20230302Data!A:K,6,FALSE())</f>
        <v>0</v>
      </c>
      <c r="AE75" s="176" t="n">
        <f aca="false">VLOOKUP(Y75,20230302Data!A:K,7,FALSE())</f>
        <v>0</v>
      </c>
      <c r="AF75" s="176" t="n">
        <f aca="false">VLOOKUP(Y75,20230302Data!A:K,8,FALSE())</f>
        <v>0</v>
      </c>
      <c r="AG75" s="176" t="n">
        <f aca="false">VLOOKUP(Y75,20230302Data!A:K,9,FALSE())</f>
        <v>0</v>
      </c>
      <c r="AH75" s="176" t="str">
        <f aca="false">SUBSTITUTE(SUBSTITUTE(SUBSTITUTE(Y75,"-",""),"(",""),")","")</f>
        <v>4708362904</v>
      </c>
      <c r="AI75" s="176" t="str">
        <f aca="false">IFERROR(VLOOKUP(AH75,#REF!,3,FALSE()),"")</f>
        <v/>
      </c>
    </row>
    <row r="76" customFormat="false" ht="12.75" hidden="false" customHeight="true" outlineLevel="0" collapsed="false">
      <c r="A76" s="222" t="s">
        <v>505</v>
      </c>
      <c r="B76" s="222" t="n">
        <v>74</v>
      </c>
      <c r="C76" s="223" t="s">
        <v>250</v>
      </c>
      <c r="D76" s="223" t="s">
        <v>506</v>
      </c>
      <c r="E76" s="223" t="s">
        <v>507</v>
      </c>
      <c r="F76" s="222" t="s">
        <v>505</v>
      </c>
      <c r="G76" s="224" t="s">
        <v>508</v>
      </c>
      <c r="H76" s="223" t="s">
        <v>395</v>
      </c>
      <c r="I76" s="223" t="s">
        <v>509</v>
      </c>
      <c r="J76" s="224"/>
      <c r="K76" s="224"/>
      <c r="L76" s="224"/>
      <c r="M76" s="224"/>
      <c r="N76" s="225"/>
      <c r="O76" s="225"/>
      <c r="P76" s="225"/>
      <c r="Q76" s="225"/>
      <c r="R76" s="225"/>
      <c r="S76" s="223"/>
      <c r="T76" s="226"/>
      <c r="U76" s="227"/>
      <c r="V76" s="227"/>
      <c r="W76" s="228" t="s">
        <v>510</v>
      </c>
      <c r="X76" s="224"/>
      <c r="Y76" s="222" t="s">
        <v>505</v>
      </c>
      <c r="Z76" s="229" t="s">
        <v>508</v>
      </c>
      <c r="AA76" s="228" t="str">
        <f aca="false">VLOOKUP(Y76,20230302Data!A:K,2,FALSE())</f>
        <v>小1－3</v>
      </c>
      <c r="AB76" s="228" t="str">
        <f aca="false">VLOOKUP(Y76,20230302Data!A:K,3,FALSE())</f>
        <v>松本 悠生</v>
      </c>
      <c r="AC76" s="230" t="str">
        <f aca="false">VLOOKUP(Y76,20230302Data!A:K,4,FALSE())</f>
        <v>伸治</v>
      </c>
      <c r="AD76" s="230" t="str">
        <f aca="false">VLOOKUP(Y76,20230302Data!A:K,6,FALSE())</f>
        <v>小6－1</v>
      </c>
      <c r="AE76" s="230" t="str">
        <f aca="false">VLOOKUP(Y76,20230302Data!A:K,7,FALSE())</f>
        <v>松本 大輝</v>
      </c>
      <c r="AF76" s="230" t="n">
        <f aca="false">VLOOKUP(Y76,20230302Data!A:K,8,FALSE())</f>
        <v>0</v>
      </c>
      <c r="AG76" s="230" t="n">
        <f aca="false">VLOOKUP(Y76,20230302Data!A:K,9,FALSE())</f>
        <v>0</v>
      </c>
      <c r="AH76" s="230" t="str">
        <f aca="false">SUBSTITUTE(SUBSTITUTE(SUBSTITUTE(Y76,"-",""),"(",""),")","")</f>
        <v>4709251574</v>
      </c>
      <c r="AI76" s="230" t="str">
        <f aca="false">IFERROR(VLOOKUP(AH76,#REF!,3,FALSE()),"")</f>
        <v/>
      </c>
    </row>
    <row r="77" customFormat="false" ht="12.75" hidden="false" customHeight="true" outlineLevel="0" collapsed="false">
      <c r="A77" s="185" t="s">
        <v>511</v>
      </c>
      <c r="B77" s="186" t="n">
        <v>75</v>
      </c>
      <c r="C77" s="186" t="s">
        <v>250</v>
      </c>
      <c r="D77" s="186" t="s">
        <v>512</v>
      </c>
      <c r="E77" s="186" t="s">
        <v>513</v>
      </c>
      <c r="F77" s="185" t="s">
        <v>511</v>
      </c>
      <c r="G77" s="187" t="s">
        <v>514</v>
      </c>
      <c r="H77" s="186" t="s">
        <v>418</v>
      </c>
      <c r="I77" s="186" t="s">
        <v>515</v>
      </c>
      <c r="J77" s="186" t="s">
        <v>516</v>
      </c>
      <c r="K77" s="186" t="s">
        <v>517</v>
      </c>
      <c r="L77" s="187"/>
      <c r="M77" s="187"/>
      <c r="N77" s="155"/>
      <c r="O77" s="186"/>
      <c r="P77" s="155"/>
      <c r="Q77" s="155"/>
      <c r="R77" s="155"/>
      <c r="S77" s="186"/>
      <c r="T77" s="188"/>
      <c r="U77" s="199"/>
      <c r="V77" s="199"/>
      <c r="W77" s="186" t="s">
        <v>55</v>
      </c>
      <c r="X77" s="187"/>
      <c r="Y77" s="185" t="s">
        <v>511</v>
      </c>
      <c r="Z77" s="190" t="s">
        <v>514</v>
      </c>
      <c r="AA77" s="190" t="str">
        <f aca="false">VLOOKUP(Y77,20230302Data!A:K,2,FALSE())</f>
        <v>小1－3</v>
      </c>
      <c r="AB77" s="190" t="str">
        <f aca="false">VLOOKUP(Y77,20230302Data!A:K,3,FALSE())</f>
        <v>稲森 杏奈</v>
      </c>
      <c r="AC77" s="191" t="str">
        <f aca="false">VLOOKUP(Y77,20230302Data!A:K,4,FALSE())</f>
        <v>礼次郎</v>
      </c>
      <c r="AD77" s="191" t="str">
        <f aca="false">VLOOKUP(Y77,20230302Data!A:K,6,FALSE())</f>
        <v>小6－2</v>
      </c>
      <c r="AE77" s="191" t="str">
        <f aca="false">VLOOKUP(Y77,20230302Data!A:K,7,FALSE())</f>
        <v>稲森 新太郎</v>
      </c>
      <c r="AF77" s="191" t="str">
        <f aca="false">VLOOKUP(Y77,20230302Data!A:K,8,FALSE())</f>
        <v>中3－1</v>
      </c>
      <c r="AG77" s="191" t="str">
        <f aca="false">VLOOKUP(Y77,20230302Data!A:K,9,FALSE())</f>
        <v>稲森 恵理子</v>
      </c>
      <c r="AH77" s="191" t="str">
        <f aca="false">SUBSTITUTE(SUBSTITUTE(SUBSTITUTE(Y77,"-",""),"(",""),")","")</f>
        <v>4049014603</v>
      </c>
      <c r="AI77" s="191" t="str">
        <f aca="false">IFERROR(VLOOKUP(AH77,#REF!,3,FALSE()),"")</f>
        <v/>
      </c>
    </row>
    <row r="78" customFormat="false" ht="12.75" hidden="false" customHeight="true" outlineLevel="0" collapsed="false">
      <c r="A78" s="222" t="s">
        <v>518</v>
      </c>
      <c r="B78" s="223" t="n">
        <v>76</v>
      </c>
      <c r="C78" s="223" t="s">
        <v>250</v>
      </c>
      <c r="D78" s="223" t="s">
        <v>519</v>
      </c>
      <c r="E78" s="223" t="s">
        <v>520</v>
      </c>
      <c r="F78" s="222" t="s">
        <v>518</v>
      </c>
      <c r="G78" s="224" t="s">
        <v>521</v>
      </c>
      <c r="H78" s="223"/>
      <c r="I78" s="223"/>
      <c r="J78" s="223"/>
      <c r="K78" s="223"/>
      <c r="L78" s="223"/>
      <c r="M78" s="223"/>
      <c r="N78" s="225"/>
      <c r="O78" s="225"/>
      <c r="P78" s="225"/>
      <c r="Q78" s="225"/>
      <c r="R78" s="225"/>
      <c r="S78" s="223"/>
      <c r="T78" s="226"/>
      <c r="U78" s="231"/>
      <c r="V78" s="231"/>
      <c r="W78" s="228" t="s">
        <v>510</v>
      </c>
      <c r="X78" s="223" t="s">
        <v>252</v>
      </c>
      <c r="Y78" s="222" t="s">
        <v>518</v>
      </c>
      <c r="Z78" s="229" t="s">
        <v>521</v>
      </c>
      <c r="AA78" s="228" t="str">
        <f aca="false">VLOOKUP(Y78,20230302Data!A:K,2,FALSE())</f>
        <v>小1－3</v>
      </c>
      <c r="AB78" s="228" t="str">
        <f aca="false">VLOOKUP(Y78,20230302Data!A:K,3,FALSE())</f>
        <v>並木 楓</v>
      </c>
      <c r="AC78" s="230" t="str">
        <f aca="false">VLOOKUP(Y78,20230302Data!A:K,4,FALSE())</f>
        <v>ポールジョセフ</v>
      </c>
      <c r="AD78" s="230" t="n">
        <f aca="false">VLOOKUP(Y78,20230302Data!A:K,6,FALSE())</f>
        <v>0</v>
      </c>
      <c r="AE78" s="230" t="n">
        <f aca="false">VLOOKUP(Y78,20230302Data!A:K,7,FALSE())</f>
        <v>0</v>
      </c>
      <c r="AF78" s="230" t="n">
        <f aca="false">VLOOKUP(Y78,20230302Data!A:K,8,FALSE())</f>
        <v>0</v>
      </c>
      <c r="AG78" s="230" t="n">
        <f aca="false">VLOOKUP(Y78,20230302Data!A:K,9,FALSE())</f>
        <v>0</v>
      </c>
      <c r="AH78" s="230" t="str">
        <f aca="false">SUBSTITUTE(SUBSTITUTE(SUBSTITUTE(Y78,"-",""),"(",""),")","")</f>
        <v>6786821604</v>
      </c>
      <c r="AI78" s="230" t="str">
        <f aca="false">IFERROR(VLOOKUP(AH78,#REF!,3,FALSE()),"")</f>
        <v/>
      </c>
    </row>
    <row r="79" customFormat="false" ht="12.75" hidden="false" customHeight="true" outlineLevel="0" collapsed="false">
      <c r="A79" s="170" t="s">
        <v>522</v>
      </c>
      <c r="B79" s="171" t="n">
        <v>77</v>
      </c>
      <c r="C79" s="171" t="s">
        <v>250</v>
      </c>
      <c r="D79" s="171" t="s">
        <v>523</v>
      </c>
      <c r="E79" s="171" t="s">
        <v>524</v>
      </c>
      <c r="F79" s="170" t="s">
        <v>522</v>
      </c>
      <c r="G79" s="170" t="s">
        <v>525</v>
      </c>
      <c r="H79" s="171" t="s">
        <v>183</v>
      </c>
      <c r="I79" s="171" t="s">
        <v>526</v>
      </c>
      <c r="J79" s="111"/>
      <c r="K79" s="111"/>
      <c r="L79" s="111"/>
      <c r="M79" s="111"/>
      <c r="N79" s="172"/>
      <c r="O79" s="171"/>
      <c r="P79" s="172"/>
      <c r="Q79" s="172"/>
      <c r="R79" s="155"/>
      <c r="S79" s="186"/>
      <c r="T79" s="173"/>
      <c r="U79" s="174"/>
      <c r="V79" s="174"/>
      <c r="W79" s="171" t="s">
        <v>152</v>
      </c>
      <c r="X79" s="111"/>
      <c r="Y79" s="170" t="s">
        <v>522</v>
      </c>
      <c r="Z79" s="175" t="s">
        <v>527</v>
      </c>
      <c r="AA79" s="175" t="str">
        <f aca="false">VLOOKUP(Y79,20230302Data!A:K,2,FALSE())</f>
        <v>小1－3</v>
      </c>
      <c r="AB79" s="175" t="str">
        <f aca="false">VLOOKUP(Y79,20230302Data!A:K,3,FALSE())</f>
        <v>松野 海咲</v>
      </c>
      <c r="AC79" s="176" t="str">
        <f aca="false">VLOOKUP(Y79,20230302Data!A:K,4,FALSE())</f>
        <v>雅信</v>
      </c>
      <c r="AD79" s="176" t="str">
        <f aca="false">VLOOKUP(Y79,20230302Data!A:K,6,FALSE())</f>
        <v>小3－2</v>
      </c>
      <c r="AE79" s="176" t="str">
        <f aca="false">VLOOKUP(Y79,20230302Data!A:K,7,FALSE())</f>
        <v>松野 宮臥</v>
      </c>
      <c r="AF79" s="176" t="n">
        <f aca="false">VLOOKUP(Y79,20230302Data!A:K,8,FALSE())</f>
        <v>0</v>
      </c>
      <c r="AG79" s="176" t="n">
        <f aca="false">VLOOKUP(Y79,20230302Data!A:K,9,FALSE())</f>
        <v>0</v>
      </c>
      <c r="AH79" s="176" t="str">
        <f aca="false">SUBSTITUTE(SUBSTITUTE(SUBSTITUTE(Y79,"-",""),"(",""),")","")</f>
        <v>6786229764</v>
      </c>
      <c r="AI79" s="176" t="str">
        <f aca="false">IFERROR(VLOOKUP(AH79,#REF!,3,FALSE()),"")</f>
        <v/>
      </c>
    </row>
    <row r="80" customFormat="false" ht="12.75" hidden="false" customHeight="true" outlineLevel="0" collapsed="false">
      <c r="A80" s="151" t="s">
        <v>528</v>
      </c>
      <c r="B80" s="152" t="n">
        <v>78</v>
      </c>
      <c r="C80" s="152" t="s">
        <v>250</v>
      </c>
      <c r="D80" s="152" t="s">
        <v>529</v>
      </c>
      <c r="E80" s="152" t="s">
        <v>530</v>
      </c>
      <c r="F80" s="151" t="s">
        <v>528</v>
      </c>
      <c r="G80" s="153" t="s">
        <v>531</v>
      </c>
      <c r="H80" s="152" t="s">
        <v>120</v>
      </c>
      <c r="I80" s="152" t="s">
        <v>532</v>
      </c>
      <c r="J80" s="152" t="s">
        <v>533</v>
      </c>
      <c r="K80" s="152" t="s">
        <v>534</v>
      </c>
      <c r="L80" s="153"/>
      <c r="M80" s="153"/>
      <c r="N80" s="151" t="s">
        <v>535</v>
      </c>
      <c r="O80" s="151" t="s">
        <v>536</v>
      </c>
      <c r="P80" s="155"/>
      <c r="Q80" s="155"/>
      <c r="R80" s="154"/>
      <c r="S80" s="154"/>
      <c r="T80" s="156"/>
      <c r="U80" s="157"/>
      <c r="V80" s="157"/>
      <c r="W80" s="152" t="s">
        <v>103</v>
      </c>
      <c r="X80" s="153"/>
      <c r="Y80" s="151" t="s">
        <v>528</v>
      </c>
      <c r="Z80" s="159" t="s">
        <v>531</v>
      </c>
      <c r="AA80" s="160" t="str">
        <f aca="false">VLOOKUP(Y80,20230302Data!A:K,2,FALSE())</f>
        <v>小1－3</v>
      </c>
      <c r="AB80" s="160" t="str">
        <f aca="false">VLOOKUP(Y80,20230302Data!A:K,3,FALSE())</f>
        <v>森川 咲空</v>
      </c>
      <c r="AC80" s="161" t="str">
        <f aca="false">VLOOKUP(Y80,20230302Data!A:K,4,FALSE())</f>
        <v>康一</v>
      </c>
      <c r="AD80" s="161" t="str">
        <f aca="false">VLOOKUP(Y80,20230302Data!A:K,6,FALSE())</f>
        <v>小4－1</v>
      </c>
      <c r="AE80" s="161" t="str">
        <f aca="false">VLOOKUP(Y80,20230302Data!A:K,7,FALSE())</f>
        <v>森川 美桜</v>
      </c>
      <c r="AF80" s="161" t="str">
        <f aca="false">VLOOKUP(Y80,20230302Data!A:K,8,FALSE())</f>
        <v>中1－1</v>
      </c>
      <c r="AG80" s="161" t="str">
        <f aca="false">VLOOKUP(Y80,20230302Data!A:K,9,FALSE())</f>
        <v>森川 礼美</v>
      </c>
      <c r="AH80" s="161" t="str">
        <f aca="false">SUBSTITUTE(SUBSTITUTE(SUBSTITUTE(Y80,"-",""),"(",""),")","")</f>
        <v>4044503671</v>
      </c>
      <c r="AI80" s="161" t="str">
        <f aca="false">IFERROR(VLOOKUP(AH80,#REF!,3,FALSE()),"")</f>
        <v/>
      </c>
    </row>
    <row r="81" customFormat="false" ht="12.75" hidden="false" customHeight="true" outlineLevel="0" collapsed="false">
      <c r="A81" s="162" t="s">
        <v>537</v>
      </c>
      <c r="B81" s="163" t="n">
        <v>79</v>
      </c>
      <c r="C81" s="163" t="s">
        <v>250</v>
      </c>
      <c r="D81" s="163" t="s">
        <v>538</v>
      </c>
      <c r="E81" s="163" t="s">
        <v>539</v>
      </c>
      <c r="F81" s="162" t="s">
        <v>537</v>
      </c>
      <c r="G81" s="116" t="s">
        <v>540</v>
      </c>
      <c r="H81" s="116"/>
      <c r="I81" s="116"/>
      <c r="J81" s="116"/>
      <c r="K81" s="116"/>
      <c r="L81" s="116"/>
      <c r="M81" s="116"/>
      <c r="N81" s="164"/>
      <c r="O81" s="163"/>
      <c r="P81" s="164"/>
      <c r="Q81" s="164"/>
      <c r="R81" s="164" t="n">
        <v>45066</v>
      </c>
      <c r="S81" s="162" t="s">
        <v>67</v>
      </c>
      <c r="T81" s="165"/>
      <c r="U81" s="166"/>
      <c r="V81" s="166"/>
      <c r="W81" s="116"/>
      <c r="X81" s="116"/>
      <c r="Y81" s="162" t="s">
        <v>537</v>
      </c>
      <c r="Z81" s="167" t="s">
        <v>540</v>
      </c>
      <c r="AA81" s="168" t="str">
        <f aca="false">VLOOKUP(Y81,20230302Data!A:K,2,FALSE())</f>
        <v>小1－3</v>
      </c>
      <c r="AB81" s="168" t="str">
        <f aca="false">VLOOKUP(Y81,20230302Data!A:K,3,FALSE())</f>
        <v>二村 美玲</v>
      </c>
      <c r="AC81" s="169" t="str">
        <f aca="false">VLOOKUP(Y81,20230302Data!A:K,4,FALSE())</f>
        <v>公崇</v>
      </c>
      <c r="AD81" s="169" t="n">
        <f aca="false">VLOOKUP(Y81,20230302Data!A:K,6,FALSE())</f>
        <v>0</v>
      </c>
      <c r="AE81" s="169" t="n">
        <f aca="false">VLOOKUP(Y81,20230302Data!A:K,7,FALSE())</f>
        <v>0</v>
      </c>
      <c r="AF81" s="169" t="n">
        <f aca="false">VLOOKUP(Y81,20230302Data!A:K,8,FALSE())</f>
        <v>0</v>
      </c>
      <c r="AG81" s="169" t="n">
        <f aca="false">VLOOKUP(Y81,20230302Data!A:K,9,FALSE())</f>
        <v>0</v>
      </c>
      <c r="AH81" s="169" t="str">
        <f aca="false">SUBSTITUTE(SUBSTITUTE(SUBSTITUTE(Y81,"-",""),"(",""),")","")</f>
        <v>4047640966</v>
      </c>
      <c r="AI81" s="169" t="str">
        <f aca="false">IFERROR(VLOOKUP(AH81,#REF!,3,FALSE()),"")</f>
        <v/>
      </c>
    </row>
    <row r="82" customFormat="false" ht="12.75" hidden="false" customHeight="true" outlineLevel="0" collapsed="false">
      <c r="A82" s="162" t="s">
        <v>541</v>
      </c>
      <c r="B82" s="163" t="n">
        <v>80</v>
      </c>
      <c r="C82" s="163" t="s">
        <v>250</v>
      </c>
      <c r="D82" s="163" t="s">
        <v>542</v>
      </c>
      <c r="E82" s="163" t="s">
        <v>543</v>
      </c>
      <c r="F82" s="162" t="s">
        <v>541</v>
      </c>
      <c r="G82" s="116" t="s">
        <v>544</v>
      </c>
      <c r="H82" s="116"/>
      <c r="I82" s="116"/>
      <c r="J82" s="116"/>
      <c r="K82" s="116"/>
      <c r="L82" s="116"/>
      <c r="M82" s="116"/>
      <c r="N82" s="164"/>
      <c r="O82" s="164"/>
      <c r="P82" s="164"/>
      <c r="Q82" s="163"/>
      <c r="R82" s="164"/>
      <c r="S82" s="163"/>
      <c r="T82" s="165"/>
      <c r="U82" s="166"/>
      <c r="V82" s="166" t="n">
        <v>45073</v>
      </c>
      <c r="W82" s="116"/>
      <c r="X82" s="116"/>
      <c r="Y82" s="162" t="s">
        <v>541</v>
      </c>
      <c r="Z82" s="167" t="s">
        <v>544</v>
      </c>
      <c r="AA82" s="168" t="str">
        <f aca="false">VLOOKUP(Y82,20230302Data!A:K,2,FALSE())</f>
        <v>小1－3</v>
      </c>
      <c r="AB82" s="168" t="str">
        <f aca="false">VLOOKUP(Y82,20230302Data!A:K,3,FALSE())</f>
        <v>繁泉 凪</v>
      </c>
      <c r="AC82" s="169" t="str">
        <f aca="false">VLOOKUP(Y82,20230302Data!A:K,4,FALSE())</f>
        <v>健</v>
      </c>
      <c r="AD82" s="169" t="n">
        <f aca="false">VLOOKUP(Y82,20230302Data!A:K,6,FALSE())</f>
        <v>0</v>
      </c>
      <c r="AE82" s="169" t="n">
        <f aca="false">VLOOKUP(Y82,20230302Data!A:K,7,FALSE())</f>
        <v>0</v>
      </c>
      <c r="AF82" s="169" t="n">
        <f aca="false">VLOOKUP(Y82,20230302Data!A:K,8,FALSE())</f>
        <v>0</v>
      </c>
      <c r="AG82" s="169" t="n">
        <f aca="false">VLOOKUP(Y82,20230302Data!A:K,9,FALSE())</f>
        <v>0</v>
      </c>
      <c r="AH82" s="169" t="str">
        <f aca="false">SUBSTITUTE(SUBSTITUTE(SUBSTITUTE(Y82,"-",""),"(",""),")","")</f>
        <v>4783426818</v>
      </c>
      <c r="AI82" s="169" t="str">
        <f aca="false">IFERROR(VLOOKUP(AH82,#REF!,3,FALSE()),"")</f>
        <v/>
      </c>
    </row>
    <row r="83" customFormat="false" ht="12.75" hidden="false" customHeight="true" outlineLevel="0" collapsed="false">
      <c r="A83" s="111" t="s">
        <v>545</v>
      </c>
      <c r="B83" s="171" t="n">
        <v>81</v>
      </c>
      <c r="C83" s="171" t="s">
        <v>250</v>
      </c>
      <c r="D83" s="171" t="s">
        <v>546</v>
      </c>
      <c r="E83" s="171" t="s">
        <v>547</v>
      </c>
      <c r="F83" s="111" t="s">
        <v>545</v>
      </c>
      <c r="G83" s="111" t="s">
        <v>548</v>
      </c>
      <c r="H83" s="171" t="s">
        <v>183</v>
      </c>
      <c r="I83" s="193" t="s">
        <v>549</v>
      </c>
      <c r="J83" s="171" t="s">
        <v>185</v>
      </c>
      <c r="K83" s="193" t="s">
        <v>550</v>
      </c>
      <c r="L83" s="193"/>
      <c r="M83" s="111"/>
      <c r="N83" s="172"/>
      <c r="O83" s="172"/>
      <c r="P83" s="172"/>
      <c r="Q83" s="171"/>
      <c r="R83" s="155"/>
      <c r="S83" s="186"/>
      <c r="T83" s="173"/>
      <c r="U83" s="174" t="n">
        <v>44660</v>
      </c>
      <c r="V83" s="174"/>
      <c r="W83" s="193" t="s">
        <v>152</v>
      </c>
      <c r="X83" s="111"/>
      <c r="Y83" s="111" t="s">
        <v>545</v>
      </c>
      <c r="Z83" s="175" t="s">
        <v>548</v>
      </c>
      <c r="AA83" s="175" t="str">
        <f aca="false">VLOOKUP(Y83,20230302Data!A:K,2,FALSE())</f>
        <v>小1－3</v>
      </c>
      <c r="AB83" s="175" t="str">
        <f aca="false">VLOOKUP(Y83,20230302Data!A:K,3,FALSE())</f>
        <v>藤田 虹夕</v>
      </c>
      <c r="AC83" s="176" t="str">
        <f aca="false">VLOOKUP(Y83,20230302Data!A:K,4,FALSE())</f>
        <v>俊介</v>
      </c>
      <c r="AD83" s="176" t="str">
        <f aca="false">VLOOKUP(Y83,20230302Data!A:K,6,FALSE())</f>
        <v>小3－2</v>
      </c>
      <c r="AE83" s="176" t="str">
        <f aca="false">VLOOKUP(Y83,20230302Data!A:K,7,FALSE())</f>
        <v>藤田 虹南</v>
      </c>
      <c r="AF83" s="176" t="str">
        <f aca="false">VLOOKUP(Y83,20230302Data!A:K,8,FALSE())</f>
        <v>小5－1</v>
      </c>
      <c r="AG83" s="176" t="str">
        <f aca="false">VLOOKUP(Y83,20230302Data!A:K,9,FALSE())</f>
        <v>藤田 虹光</v>
      </c>
      <c r="AH83" s="176" t="str">
        <f aca="false">SUBSTITUTE(SUBSTITUTE(SUBSTITUTE(Y83,"-",""),"(",""),")","")</f>
        <v>4783193212</v>
      </c>
      <c r="AI83" s="176" t="str">
        <f aca="false">IFERROR(VLOOKUP(AH83,#REF!,3,FALSE()),"")</f>
        <v/>
      </c>
    </row>
    <row r="84" customFormat="false" ht="12.75" hidden="false" customHeight="true" outlineLevel="0" collapsed="false">
      <c r="A84" s="162" t="s">
        <v>551</v>
      </c>
      <c r="B84" s="163" t="n">
        <v>82</v>
      </c>
      <c r="C84" s="163" t="s">
        <v>250</v>
      </c>
      <c r="D84" s="163" t="s">
        <v>552</v>
      </c>
      <c r="E84" s="163" t="s">
        <v>553</v>
      </c>
      <c r="F84" s="162" t="s">
        <v>551</v>
      </c>
      <c r="G84" s="116" t="s">
        <v>554</v>
      </c>
      <c r="H84" s="163" t="s">
        <v>183</v>
      </c>
      <c r="I84" s="220" t="s">
        <v>555</v>
      </c>
      <c r="J84" s="163"/>
      <c r="K84" s="116"/>
      <c r="L84" s="116"/>
      <c r="M84" s="116"/>
      <c r="N84" s="164"/>
      <c r="O84" s="163"/>
      <c r="P84" s="164"/>
      <c r="Q84" s="164"/>
      <c r="R84" s="164"/>
      <c r="S84" s="163"/>
      <c r="T84" s="165"/>
      <c r="U84" s="166" t="n">
        <v>44779</v>
      </c>
      <c r="V84" s="166"/>
      <c r="W84" s="116"/>
      <c r="X84" s="116"/>
      <c r="Y84" s="162" t="s">
        <v>551</v>
      </c>
      <c r="Z84" s="168"/>
      <c r="AA84" s="168" t="str">
        <f aca="false">VLOOKUP(Y84,20230302Data!A:K,2,FALSE())</f>
        <v>小1－3</v>
      </c>
      <c r="AB84" s="168" t="str">
        <f aca="false">VLOOKUP(Y84,20230302Data!A:K,3,FALSE())</f>
        <v>橋本 彩月</v>
      </c>
      <c r="AC84" s="169" t="str">
        <f aca="false">VLOOKUP(Y84,20230302Data!A:K,4,FALSE())</f>
        <v>佳周</v>
      </c>
      <c r="AD84" s="169" t="str">
        <f aca="false">VLOOKUP(Y84,20230302Data!A:K,6,FALSE())</f>
        <v>小3－2</v>
      </c>
      <c r="AE84" s="169" t="str">
        <f aca="false">VLOOKUP(Y84,20230302Data!A:K,7,FALSE())</f>
        <v>橋本 典沙</v>
      </c>
      <c r="AF84" s="169" t="n">
        <f aca="false">VLOOKUP(Y84,20230302Data!A:K,8,FALSE())</f>
        <v>0</v>
      </c>
      <c r="AG84" s="169" t="n">
        <f aca="false">VLOOKUP(Y84,20230302Data!A:K,9,FALSE())</f>
        <v>0</v>
      </c>
      <c r="AH84" s="169" t="str">
        <f aca="false">SUBSTITUTE(SUBSTITUTE(SUBSTITUTE(Y84,"-",""),"(",""),")","")</f>
        <v>4043973762</v>
      </c>
      <c r="AI84" s="169" t="str">
        <f aca="false">IFERROR(VLOOKUP(AH84,#REF!,3,FALSE()),"")</f>
        <v/>
      </c>
    </row>
    <row r="85" customFormat="false" ht="12.75" hidden="false" customHeight="true" outlineLevel="0" collapsed="false">
      <c r="A85" s="170" t="s">
        <v>556</v>
      </c>
      <c r="B85" s="171" t="n">
        <v>83</v>
      </c>
      <c r="C85" s="171" t="s">
        <v>250</v>
      </c>
      <c r="D85" s="171" t="s">
        <v>557</v>
      </c>
      <c r="E85" s="171" t="s">
        <v>558</v>
      </c>
      <c r="F85" s="170" t="s">
        <v>556</v>
      </c>
      <c r="G85" s="111" t="s">
        <v>559</v>
      </c>
      <c r="H85" s="171"/>
      <c r="I85" s="111"/>
      <c r="J85" s="171"/>
      <c r="K85" s="111"/>
      <c r="L85" s="111"/>
      <c r="M85" s="111"/>
      <c r="N85" s="172"/>
      <c r="O85" s="172"/>
      <c r="P85" s="172"/>
      <c r="Q85" s="171"/>
      <c r="R85" s="155"/>
      <c r="S85" s="186"/>
      <c r="T85" s="173"/>
      <c r="U85" s="174" t="n">
        <v>44779</v>
      </c>
      <c r="V85" s="174"/>
      <c r="W85" s="193" t="s">
        <v>152</v>
      </c>
      <c r="X85" s="111"/>
      <c r="Y85" s="170" t="s">
        <v>556</v>
      </c>
      <c r="Z85" s="175"/>
      <c r="AA85" s="175" t="str">
        <f aca="false">VLOOKUP(Y85,20230302Data!A:K,2,FALSE())</f>
        <v>小1－3</v>
      </c>
      <c r="AB85" s="175" t="str">
        <f aca="false">VLOOKUP(Y85,20230302Data!A:K,3,FALSE())</f>
        <v>ハチンズ 桜華</v>
      </c>
      <c r="AC85" s="176" t="str">
        <f aca="false">VLOOKUP(Y85,20230302Data!A:K,4,FALSE())</f>
        <v>カール</v>
      </c>
      <c r="AD85" s="176" t="n">
        <f aca="false">VLOOKUP(Y85,20230302Data!A:K,6,FALSE())</f>
        <v>0</v>
      </c>
      <c r="AE85" s="176" t="n">
        <f aca="false">VLOOKUP(Y85,20230302Data!A:K,7,FALSE())</f>
        <v>0</v>
      </c>
      <c r="AF85" s="176" t="n">
        <f aca="false">VLOOKUP(Y85,20230302Data!A:K,8,FALSE())</f>
        <v>0</v>
      </c>
      <c r="AG85" s="176" t="n">
        <f aca="false">VLOOKUP(Y85,20230302Data!A:K,9,FALSE())</f>
        <v>0</v>
      </c>
      <c r="AH85" s="176" t="str">
        <f aca="false">SUBSTITUTE(SUBSTITUTE(SUBSTITUTE(Y85,"-",""),"(",""),")","")</f>
        <v>4044994949</v>
      </c>
      <c r="AI85" s="176" t="str">
        <f aca="false">IFERROR(VLOOKUP(AH85,#REF!,3,FALSE()),"")</f>
        <v/>
      </c>
    </row>
    <row r="86" customFormat="false" ht="12.75" hidden="false" customHeight="true" outlineLevel="0" collapsed="false">
      <c r="A86" s="116" t="s">
        <v>560</v>
      </c>
      <c r="B86" s="163" t="n">
        <v>84</v>
      </c>
      <c r="C86" s="163" t="s">
        <v>250</v>
      </c>
      <c r="D86" s="163" t="s">
        <v>561</v>
      </c>
      <c r="E86" s="163" t="s">
        <v>333</v>
      </c>
      <c r="F86" s="162" t="s">
        <v>560</v>
      </c>
      <c r="G86" s="116" t="s">
        <v>562</v>
      </c>
      <c r="H86" s="163" t="s">
        <v>101</v>
      </c>
      <c r="I86" s="220" t="s">
        <v>563</v>
      </c>
      <c r="J86" s="163"/>
      <c r="K86" s="116"/>
      <c r="L86" s="116"/>
      <c r="M86" s="116"/>
      <c r="N86" s="164" t="n">
        <v>45045</v>
      </c>
      <c r="O86" s="162" t="s">
        <v>49</v>
      </c>
      <c r="P86" s="164"/>
      <c r="Q86" s="164"/>
      <c r="R86" s="164"/>
      <c r="S86" s="163"/>
      <c r="T86" s="165"/>
      <c r="U86" s="166" t="n">
        <v>44800</v>
      </c>
      <c r="V86" s="166"/>
      <c r="W86" s="116"/>
      <c r="X86" s="116"/>
      <c r="Y86" s="116" t="s">
        <v>560</v>
      </c>
      <c r="Z86" s="168"/>
      <c r="AA86" s="168" t="str">
        <f aca="false">VLOOKUP(Y86,20230302Data!A:K,2,FALSE())</f>
        <v>小1－3</v>
      </c>
      <c r="AB86" s="168" t="str">
        <f aca="false">VLOOKUP(Y86,20230302Data!A:K,3,FALSE())</f>
        <v>中村 詩</v>
      </c>
      <c r="AC86" s="169" t="str">
        <f aca="false">VLOOKUP(Y86,20230302Data!A:K,4,FALSE())</f>
        <v>陽介</v>
      </c>
      <c r="AD86" s="169" t="str">
        <f aca="false">VLOOKUP(Y86,20230302Data!A:K,6,FALSE())</f>
        <v>小3－1</v>
      </c>
      <c r="AE86" s="169" t="str">
        <f aca="false">VLOOKUP(Y86,20230302Data!A:K,7,FALSE())</f>
        <v>中村 色</v>
      </c>
      <c r="AF86" s="169" t="n">
        <f aca="false">VLOOKUP(Y86,20230302Data!A:K,8,FALSE())</f>
        <v>0</v>
      </c>
      <c r="AG86" s="169" t="n">
        <f aca="false">VLOOKUP(Y86,20230302Data!A:K,9,FALSE())</f>
        <v>0</v>
      </c>
      <c r="AH86" s="169" t="str">
        <f aca="false">SUBSTITUTE(SUBSTITUTE(SUBSTITUTE(Y86,"-",""),"(",""),")","")</f>
        <v>4236372242</v>
      </c>
      <c r="AI86" s="169" t="str">
        <f aca="false">IFERROR(VLOOKUP(AH86,#REF!,3,FALSE()),"")</f>
        <v/>
      </c>
    </row>
    <row r="87" customFormat="false" ht="12.75" hidden="false" customHeight="true" outlineLevel="0" collapsed="false">
      <c r="A87" s="162" t="s">
        <v>564</v>
      </c>
      <c r="B87" s="163" t="n">
        <v>85</v>
      </c>
      <c r="C87" s="163" t="s">
        <v>131</v>
      </c>
      <c r="D87" s="163" t="s">
        <v>565</v>
      </c>
      <c r="E87" s="163" t="s">
        <v>566</v>
      </c>
      <c r="F87" s="162" t="s">
        <v>564</v>
      </c>
      <c r="G87" s="116" t="s">
        <v>567</v>
      </c>
      <c r="H87" s="116"/>
      <c r="I87" s="116"/>
      <c r="J87" s="116"/>
      <c r="K87" s="116"/>
      <c r="L87" s="116"/>
      <c r="M87" s="116"/>
      <c r="N87" s="164"/>
      <c r="O87" s="164"/>
      <c r="P87" s="164"/>
      <c r="Q87" s="164"/>
      <c r="R87" s="164"/>
      <c r="S87" s="163"/>
      <c r="T87" s="165"/>
      <c r="U87" s="166"/>
      <c r="V87" s="166" t="n">
        <v>45094</v>
      </c>
      <c r="W87" s="116"/>
      <c r="X87" s="116"/>
      <c r="Y87" s="162" t="s">
        <v>564</v>
      </c>
      <c r="Z87" s="167" t="s">
        <v>567</v>
      </c>
      <c r="AA87" s="168" t="str">
        <f aca="false">VLOOKUP(Y87,20230302Data!A:K,2,FALSE())</f>
        <v>小2－1</v>
      </c>
      <c r="AB87" s="168" t="str">
        <f aca="false">VLOOKUP(Y87,20230302Data!A:K,3,FALSE())</f>
        <v>牟田 悠人</v>
      </c>
      <c r="AC87" s="169" t="str">
        <f aca="false">VLOOKUP(Y87,20230302Data!A:K,4,FALSE())</f>
        <v>隆平</v>
      </c>
      <c r="AD87" s="169" t="n">
        <f aca="false">VLOOKUP(Y87,20230302Data!A:K,6,FALSE())</f>
        <v>0</v>
      </c>
      <c r="AE87" s="169" t="n">
        <f aca="false">VLOOKUP(Y87,20230302Data!A:K,7,FALSE())</f>
        <v>0</v>
      </c>
      <c r="AF87" s="169" t="n">
        <f aca="false">VLOOKUP(Y87,20230302Data!A:K,8,FALSE())</f>
        <v>0</v>
      </c>
      <c r="AG87" s="169" t="n">
        <f aca="false">VLOOKUP(Y87,20230302Data!A:K,9,FALSE())</f>
        <v>0</v>
      </c>
      <c r="AH87" s="169" t="str">
        <f aca="false">SUBSTITUTE(SUBSTITUTE(SUBSTITUTE(Y87,"-",""),"(",""),")","")</f>
        <v>4703633036</v>
      </c>
      <c r="AI87" s="169" t="str">
        <f aca="false">IFERROR(VLOOKUP(AH87,#REF!,3,FALSE()),"")</f>
        <v/>
      </c>
    </row>
    <row r="88" customFormat="false" ht="12.75" hidden="false" customHeight="true" outlineLevel="0" collapsed="false">
      <c r="A88" s="162" t="s">
        <v>568</v>
      </c>
      <c r="B88" s="163" t="n">
        <v>86</v>
      </c>
      <c r="C88" s="163" t="s">
        <v>131</v>
      </c>
      <c r="D88" s="163" t="s">
        <v>569</v>
      </c>
      <c r="E88" s="163" t="s">
        <v>570</v>
      </c>
      <c r="F88" s="162" t="s">
        <v>568</v>
      </c>
      <c r="G88" s="116" t="s">
        <v>571</v>
      </c>
      <c r="H88" s="163" t="s">
        <v>322</v>
      </c>
      <c r="I88" s="163" t="s">
        <v>572</v>
      </c>
      <c r="J88" s="163"/>
      <c r="K88" s="163"/>
      <c r="L88" s="163"/>
      <c r="M88" s="163"/>
      <c r="N88" s="164"/>
      <c r="O88" s="164"/>
      <c r="P88" s="164"/>
      <c r="Q88" s="163"/>
      <c r="R88" s="164" t="n">
        <v>45031</v>
      </c>
      <c r="S88" s="162" t="s">
        <v>49</v>
      </c>
      <c r="T88" s="165"/>
      <c r="U88" s="219"/>
      <c r="V88" s="219"/>
      <c r="W88" s="163"/>
      <c r="X88" s="163" t="s">
        <v>171</v>
      </c>
      <c r="Y88" s="162" t="s">
        <v>568</v>
      </c>
      <c r="Z88" s="162" t="s">
        <v>571</v>
      </c>
      <c r="AA88" s="168" t="str">
        <f aca="false">VLOOKUP(Y88,20230302Data!A:K,2,FALSE())</f>
        <v>小2－1</v>
      </c>
      <c r="AB88" s="168" t="str">
        <f aca="false">VLOOKUP(Y88,20230302Data!A:K,3,FALSE())</f>
        <v>中村 一覚</v>
      </c>
      <c r="AC88" s="169" t="str">
        <f aca="false">VLOOKUP(Y88,20230302Data!A:K,4,FALSE())</f>
        <v>一公</v>
      </c>
      <c r="AD88" s="169" t="str">
        <f aca="false">VLOOKUP(Y88,20230302Data!A:K,6,FALSE())</f>
        <v>小4－2</v>
      </c>
      <c r="AE88" s="169" t="str">
        <f aca="false">VLOOKUP(Y88,20230302Data!A:K,7,FALSE())</f>
        <v>中村 慧</v>
      </c>
      <c r="AF88" s="169" t="n">
        <f aca="false">VLOOKUP(Y88,20230302Data!A:K,8,FALSE())</f>
        <v>0</v>
      </c>
      <c r="AG88" s="169" t="n">
        <f aca="false">VLOOKUP(Y88,20230302Data!A:K,9,FALSE())</f>
        <v>0</v>
      </c>
      <c r="AH88" s="169" t="str">
        <f aca="false">SUBSTITUTE(SUBSTITUTE(SUBSTITUTE(Y88,"-",""),"(",""),")","")</f>
        <v>4046491474</v>
      </c>
      <c r="AI88" s="169" t="str">
        <f aca="false">IFERROR(VLOOKUP(AH88,#REF!,3,FALSE()),"")</f>
        <v/>
      </c>
    </row>
    <row r="89" customFormat="false" ht="12.75" hidden="false" customHeight="true" outlineLevel="0" collapsed="false">
      <c r="A89" s="162" t="s">
        <v>573</v>
      </c>
      <c r="B89" s="163" t="n">
        <v>87</v>
      </c>
      <c r="C89" s="163" t="s">
        <v>131</v>
      </c>
      <c r="D89" s="163" t="s">
        <v>574</v>
      </c>
      <c r="E89" s="163" t="s">
        <v>575</v>
      </c>
      <c r="F89" s="167" t="s">
        <v>573</v>
      </c>
      <c r="G89" s="116" t="s">
        <v>576</v>
      </c>
      <c r="H89" s="116"/>
      <c r="I89" s="116"/>
      <c r="J89" s="116"/>
      <c r="K89" s="116"/>
      <c r="L89" s="116"/>
      <c r="M89" s="116"/>
      <c r="N89" s="164"/>
      <c r="O89" s="163"/>
      <c r="P89" s="164"/>
      <c r="Q89" s="164"/>
      <c r="R89" s="164"/>
      <c r="S89" s="163"/>
      <c r="T89" s="165"/>
      <c r="U89" s="166"/>
      <c r="V89" s="166"/>
      <c r="W89" s="116"/>
      <c r="X89" s="116"/>
      <c r="Y89" s="162" t="s">
        <v>573</v>
      </c>
      <c r="Z89" s="162" t="s">
        <v>576</v>
      </c>
      <c r="AA89" s="168" t="str">
        <f aca="false">VLOOKUP(Y89,20230302Data!A:K,2,FALSE())</f>
        <v>小2－1</v>
      </c>
      <c r="AB89" s="168" t="str">
        <f aca="false">VLOOKUP(Y89,20230302Data!A:K,3,FALSE())</f>
        <v>山田 梅</v>
      </c>
      <c r="AC89" s="169" t="str">
        <f aca="false">VLOOKUP(Y89,20230302Data!A:K,4,FALSE())</f>
        <v>パルンガオ</v>
      </c>
      <c r="AD89" s="169" t="n">
        <f aca="false">VLOOKUP(Y89,20230302Data!A:K,6,FALSE())</f>
        <v>0</v>
      </c>
      <c r="AE89" s="169" t="n">
        <f aca="false">VLOOKUP(Y89,20230302Data!A:K,7,FALSE())</f>
        <v>0</v>
      </c>
      <c r="AF89" s="169" t="n">
        <f aca="false">VLOOKUP(Y89,20230302Data!A:K,8,FALSE())</f>
        <v>0</v>
      </c>
      <c r="AG89" s="169" t="n">
        <f aca="false">VLOOKUP(Y89,20230302Data!A:K,9,FALSE())</f>
        <v>0</v>
      </c>
      <c r="AH89" s="169" t="str">
        <f aca="false">SUBSTITUTE(SUBSTITUTE(SUBSTITUTE(Y89,"-",""),"(",""),")","")</f>
        <v>6783137184</v>
      </c>
      <c r="AI89" s="169" t="str">
        <f aca="false">IFERROR(VLOOKUP(AH89,#REF!,3,FALSE()),"")</f>
        <v/>
      </c>
    </row>
    <row r="90" customFormat="false" ht="12.75" hidden="false" customHeight="true" outlineLevel="0" collapsed="false">
      <c r="A90" s="162" t="s">
        <v>577</v>
      </c>
      <c r="B90" s="163" t="n">
        <v>88</v>
      </c>
      <c r="C90" s="163" t="s">
        <v>131</v>
      </c>
      <c r="D90" s="163" t="s">
        <v>578</v>
      </c>
      <c r="E90" s="163" t="s">
        <v>579</v>
      </c>
      <c r="F90" s="162" t="s">
        <v>577</v>
      </c>
      <c r="G90" s="116" t="s">
        <v>580</v>
      </c>
      <c r="H90" s="116"/>
      <c r="I90" s="116"/>
      <c r="J90" s="116"/>
      <c r="K90" s="116"/>
      <c r="L90" s="116"/>
      <c r="M90" s="116"/>
      <c r="N90" s="164"/>
      <c r="O90" s="163"/>
      <c r="P90" s="164"/>
      <c r="Q90" s="164"/>
      <c r="R90" s="164"/>
      <c r="S90" s="164"/>
      <c r="T90" s="165"/>
      <c r="U90" s="166"/>
      <c r="V90" s="166"/>
      <c r="W90" s="116"/>
      <c r="X90" s="116"/>
      <c r="Y90" s="162" t="s">
        <v>577</v>
      </c>
      <c r="Z90" s="167" t="s">
        <v>580</v>
      </c>
      <c r="AA90" s="168" t="str">
        <f aca="false">VLOOKUP(Y90,20230302Data!A:K,2,FALSE())</f>
        <v>小2－1</v>
      </c>
      <c r="AB90" s="168" t="str">
        <f aca="false">VLOOKUP(Y90,20230302Data!A:K,3,FALSE())</f>
        <v>持田 莉子</v>
      </c>
      <c r="AC90" s="169" t="str">
        <f aca="false">VLOOKUP(Y90,20230302Data!A:K,4,FALSE())</f>
        <v>紘徳</v>
      </c>
      <c r="AD90" s="169" t="n">
        <f aca="false">VLOOKUP(Y90,20230302Data!A:K,6,FALSE())</f>
        <v>0</v>
      </c>
      <c r="AE90" s="169" t="n">
        <f aca="false">VLOOKUP(Y90,20230302Data!A:K,7,FALSE())</f>
        <v>0</v>
      </c>
      <c r="AF90" s="169" t="n">
        <f aca="false">VLOOKUP(Y90,20230302Data!A:K,8,FALSE())</f>
        <v>0</v>
      </c>
      <c r="AG90" s="169" t="n">
        <f aca="false">VLOOKUP(Y90,20230302Data!A:K,9,FALSE())</f>
        <v>0</v>
      </c>
      <c r="AH90" s="169" t="str">
        <f aca="false">SUBSTITUTE(SUBSTITUTE(SUBSTITUTE(Y90,"-",""),"(",""),")","")</f>
        <v>6783083389</v>
      </c>
      <c r="AI90" s="169" t="str">
        <f aca="false">IFERROR(VLOOKUP(AH90,#REF!,3,FALSE()),"")</f>
        <v/>
      </c>
    </row>
    <row r="91" customFormat="false" ht="12.75" hidden="false" customHeight="true" outlineLevel="0" collapsed="false">
      <c r="A91" s="162" t="s">
        <v>581</v>
      </c>
      <c r="B91" s="163" t="n">
        <v>89</v>
      </c>
      <c r="C91" s="163" t="s">
        <v>131</v>
      </c>
      <c r="D91" s="163" t="s">
        <v>582</v>
      </c>
      <c r="E91" s="163" t="s">
        <v>583</v>
      </c>
      <c r="F91" s="162" t="s">
        <v>581</v>
      </c>
      <c r="G91" s="116" t="s">
        <v>584</v>
      </c>
      <c r="H91" s="116"/>
      <c r="I91" s="116"/>
      <c r="J91" s="116"/>
      <c r="K91" s="116"/>
      <c r="L91" s="20"/>
      <c r="M91" s="116"/>
      <c r="N91" s="164"/>
      <c r="O91" s="163"/>
      <c r="P91" s="164" t="n">
        <v>45052</v>
      </c>
      <c r="Q91" s="162" t="s">
        <v>32</v>
      </c>
      <c r="R91" s="164"/>
      <c r="S91" s="164"/>
      <c r="T91" s="165"/>
      <c r="U91" s="166"/>
      <c r="V91" s="166"/>
      <c r="W91" s="116"/>
      <c r="X91" s="116"/>
      <c r="Y91" s="162" t="s">
        <v>581</v>
      </c>
      <c r="Z91" s="167" t="s">
        <v>584</v>
      </c>
      <c r="AA91" s="168" t="str">
        <f aca="false">VLOOKUP(Y91,20230302Data!A:K,2,FALSE())</f>
        <v>小2－1</v>
      </c>
      <c r="AB91" s="168" t="str">
        <f aca="false">VLOOKUP(Y91,20230302Data!A:K,3,FALSE())</f>
        <v>渡辺 日加里</v>
      </c>
      <c r="AC91" s="169" t="str">
        <f aca="false">VLOOKUP(Y91,20230302Data!A:K,4,FALSE())</f>
        <v>亮</v>
      </c>
      <c r="AD91" s="169" t="n">
        <f aca="false">VLOOKUP(Y91,20230302Data!A:K,6,FALSE())</f>
        <v>0</v>
      </c>
      <c r="AE91" s="169" t="n">
        <f aca="false">VLOOKUP(Y91,20230302Data!A:K,7,FALSE())</f>
        <v>0</v>
      </c>
      <c r="AF91" s="169" t="n">
        <f aca="false">VLOOKUP(Y91,20230302Data!A:K,8,FALSE())</f>
        <v>0</v>
      </c>
      <c r="AG91" s="169" t="n">
        <f aca="false">VLOOKUP(Y91,20230302Data!A:K,9,FALSE())</f>
        <v>0</v>
      </c>
      <c r="AH91" s="169" t="str">
        <f aca="false">SUBSTITUTE(SUBSTITUTE(SUBSTITUTE(Y91,"-",""),"(",""),")","")</f>
        <v>7705472230</v>
      </c>
      <c r="AI91" s="169" t="str">
        <f aca="false">IFERROR(VLOOKUP(AH91,#REF!,3,FALSE()),"")</f>
        <v/>
      </c>
    </row>
    <row r="92" customFormat="false" ht="12.75" hidden="false" customHeight="true" outlineLevel="0" collapsed="false">
      <c r="A92" s="162" t="s">
        <v>585</v>
      </c>
      <c r="B92" s="163" t="n">
        <v>90</v>
      </c>
      <c r="C92" s="163" t="s">
        <v>131</v>
      </c>
      <c r="D92" s="163" t="s">
        <v>586</v>
      </c>
      <c r="E92" s="163" t="s">
        <v>587</v>
      </c>
      <c r="F92" s="162" t="s">
        <v>585</v>
      </c>
      <c r="G92" s="116" t="s">
        <v>588</v>
      </c>
      <c r="H92" s="116"/>
      <c r="I92" s="116"/>
      <c r="J92" s="116"/>
      <c r="K92" s="116"/>
      <c r="L92" s="116"/>
      <c r="M92" s="116"/>
      <c r="N92" s="164"/>
      <c r="O92" s="163"/>
      <c r="P92" s="164"/>
      <c r="Q92" s="163"/>
      <c r="R92" s="164"/>
      <c r="S92" s="164"/>
      <c r="T92" s="165"/>
      <c r="U92" s="166"/>
      <c r="V92" s="166" t="n">
        <v>45038</v>
      </c>
      <c r="W92" s="116"/>
      <c r="X92" s="116"/>
      <c r="Y92" s="162" t="s">
        <v>585</v>
      </c>
      <c r="Z92" s="167" t="s">
        <v>588</v>
      </c>
      <c r="AA92" s="168" t="str">
        <f aca="false">VLOOKUP(Y92,20230302Data!A:K,2,FALSE())</f>
        <v>小2－1</v>
      </c>
      <c r="AB92" s="168" t="str">
        <f aca="false">VLOOKUP(Y92,20230302Data!A:K,3,FALSE())</f>
        <v>福田 光希</v>
      </c>
      <c r="AC92" s="169" t="str">
        <f aca="false">VLOOKUP(Y92,20230302Data!A:K,4,FALSE())</f>
        <v>孝志</v>
      </c>
      <c r="AD92" s="169" t="n">
        <f aca="false">VLOOKUP(Y92,20230302Data!A:K,6,FALSE())</f>
        <v>0</v>
      </c>
      <c r="AE92" s="169" t="n">
        <f aca="false">VLOOKUP(Y92,20230302Data!A:K,7,FALSE())</f>
        <v>0</v>
      </c>
      <c r="AF92" s="169" t="n">
        <f aca="false">VLOOKUP(Y92,20230302Data!A:K,8,FALSE())</f>
        <v>0</v>
      </c>
      <c r="AG92" s="169" t="n">
        <f aca="false">VLOOKUP(Y92,20230302Data!A:K,9,FALSE())</f>
        <v>0</v>
      </c>
      <c r="AH92" s="169" t="str">
        <f aca="false">SUBSTITUTE(SUBSTITUTE(SUBSTITUTE(Y92,"-",""),"(",""),")","")</f>
        <v>4043242239</v>
      </c>
      <c r="AI92" s="169" t="str">
        <f aca="false">IFERROR(VLOOKUP(AH92,#REF!,3,FALSE()),"")</f>
        <v/>
      </c>
    </row>
    <row r="93" customFormat="false" ht="12.75" hidden="false" customHeight="true" outlineLevel="0" collapsed="false">
      <c r="A93" s="170" t="s">
        <v>589</v>
      </c>
      <c r="B93" s="171" t="n">
        <v>91</v>
      </c>
      <c r="C93" s="171" t="s">
        <v>131</v>
      </c>
      <c r="D93" s="171" t="s">
        <v>590</v>
      </c>
      <c r="E93" s="171" t="s">
        <v>591</v>
      </c>
      <c r="F93" s="170" t="s">
        <v>589</v>
      </c>
      <c r="G93" s="111" t="s">
        <v>592</v>
      </c>
      <c r="H93" s="111"/>
      <c r="I93" s="111"/>
      <c r="J93" s="111"/>
      <c r="K93" s="111"/>
      <c r="L93" s="111"/>
      <c r="M93" s="111"/>
      <c r="N93" s="172" t="n">
        <v>45073</v>
      </c>
      <c r="O93" s="170" t="s">
        <v>335</v>
      </c>
      <c r="P93" s="172"/>
      <c r="Q93" s="171"/>
      <c r="R93" s="172"/>
      <c r="S93" s="171"/>
      <c r="T93" s="173"/>
      <c r="U93" s="174"/>
      <c r="V93" s="174"/>
      <c r="W93" s="193" t="s">
        <v>152</v>
      </c>
      <c r="X93" s="111"/>
      <c r="Y93" s="170" t="s">
        <v>589</v>
      </c>
      <c r="Z93" s="175" t="s">
        <v>592</v>
      </c>
      <c r="AA93" s="175" t="str">
        <f aca="false">VLOOKUP(Y93,20230302Data!A:K,2,FALSE())</f>
        <v>小2－1</v>
      </c>
      <c r="AB93" s="175" t="str">
        <f aca="false">VLOOKUP(Y93,20230302Data!A:K,3,FALSE())</f>
        <v>鈴木 蘭</v>
      </c>
      <c r="AC93" s="176" t="str">
        <f aca="false">VLOOKUP(Y93,20230302Data!A:K,4,FALSE())</f>
        <v>壮平</v>
      </c>
      <c r="AD93" s="176" t="n">
        <f aca="false">VLOOKUP(Y93,20230302Data!A:K,6,FALSE())</f>
        <v>0</v>
      </c>
      <c r="AE93" s="176" t="n">
        <f aca="false">VLOOKUP(Y93,20230302Data!A:K,7,FALSE())</f>
        <v>0</v>
      </c>
      <c r="AF93" s="176" t="n">
        <f aca="false">VLOOKUP(Y93,20230302Data!A:K,8,FALSE())</f>
        <v>0</v>
      </c>
      <c r="AG93" s="176" t="n">
        <f aca="false">VLOOKUP(Y93,20230302Data!A:K,9,FALSE())</f>
        <v>0</v>
      </c>
      <c r="AH93" s="176" t="str">
        <f aca="false">SUBSTITUTE(SUBSTITUTE(SUBSTITUTE(Y93,"-",""),"(",""),")","")</f>
        <v>8596199062</v>
      </c>
      <c r="AI93" s="176" t="str">
        <f aca="false">IFERROR(VLOOKUP(AH93,#REF!,3,FALSE()),"")</f>
        <v/>
      </c>
    </row>
    <row r="94" customFormat="false" ht="12.75" hidden="false" customHeight="true" outlineLevel="0" collapsed="false">
      <c r="A94" s="151" t="s">
        <v>593</v>
      </c>
      <c r="B94" s="152" t="n">
        <v>92</v>
      </c>
      <c r="C94" s="152" t="s">
        <v>131</v>
      </c>
      <c r="D94" s="152" t="s">
        <v>594</v>
      </c>
      <c r="E94" s="151" t="s">
        <v>595</v>
      </c>
      <c r="F94" s="151" t="s">
        <v>593</v>
      </c>
      <c r="G94" s="153" t="s">
        <v>596</v>
      </c>
      <c r="H94" s="152"/>
      <c r="I94" s="152"/>
      <c r="J94" s="152"/>
      <c r="K94" s="152"/>
      <c r="L94" s="152"/>
      <c r="M94" s="152"/>
      <c r="N94" s="154" t="n">
        <v>45052</v>
      </c>
      <c r="O94" s="151" t="s">
        <v>32</v>
      </c>
      <c r="P94" s="155"/>
      <c r="Q94" s="155"/>
      <c r="R94" s="154"/>
      <c r="S94" s="154"/>
      <c r="T94" s="232"/>
      <c r="U94" s="198"/>
      <c r="V94" s="198"/>
      <c r="W94" s="152" t="s">
        <v>103</v>
      </c>
      <c r="X94" s="152" t="s">
        <v>171</v>
      </c>
      <c r="Y94" s="151" t="s">
        <v>593</v>
      </c>
      <c r="Z94" s="159" t="s">
        <v>596</v>
      </c>
      <c r="AA94" s="160" t="str">
        <f aca="false">VLOOKUP(Y94,20230302Data!A:K,2,FALSE())</f>
        <v>小2－1</v>
      </c>
      <c r="AB94" s="160" t="str">
        <f aca="false">VLOOKUP(Y94,20230302Data!A:K,3,FALSE())</f>
        <v>大竹 愛子</v>
      </c>
      <c r="AC94" s="161" t="str">
        <f aca="false">VLOOKUP(Y94,20230302Data!A:K,4,FALSE())</f>
        <v>MABRY</v>
      </c>
      <c r="AD94" s="161" t="n">
        <f aca="false">VLOOKUP(Y94,20230302Data!A:K,6,FALSE())</f>
        <v>0</v>
      </c>
      <c r="AE94" s="161" t="n">
        <f aca="false">VLOOKUP(Y94,20230302Data!A:K,7,FALSE())</f>
        <v>0</v>
      </c>
      <c r="AF94" s="161" t="n">
        <f aca="false">VLOOKUP(Y94,20230302Data!A:K,8,FALSE())</f>
        <v>0</v>
      </c>
      <c r="AG94" s="161" t="n">
        <f aca="false">VLOOKUP(Y94,20230302Data!A:K,9,FALSE())</f>
        <v>0</v>
      </c>
      <c r="AH94" s="161" t="str">
        <f aca="false">SUBSTITUTE(SUBSTITUTE(SUBSTITUTE(Y94,"-",""),"(",""),")","")</f>
        <v>4048613735</v>
      </c>
      <c r="AI94" s="161" t="str">
        <f aca="false">IFERROR(VLOOKUP(AH94,#REF!,3,FALSE()),"")</f>
        <v/>
      </c>
    </row>
    <row r="95" customFormat="false" ht="12.75" hidden="false" customHeight="true" outlineLevel="0" collapsed="false">
      <c r="A95" s="162" t="s">
        <v>597</v>
      </c>
      <c r="B95" s="163" t="n">
        <v>93</v>
      </c>
      <c r="C95" s="163" t="s">
        <v>131</v>
      </c>
      <c r="D95" s="163" t="s">
        <v>598</v>
      </c>
      <c r="E95" s="163" t="s">
        <v>599</v>
      </c>
      <c r="F95" s="162" t="s">
        <v>597</v>
      </c>
      <c r="G95" s="116" t="s">
        <v>600</v>
      </c>
      <c r="H95" s="163" t="s">
        <v>322</v>
      </c>
      <c r="I95" s="220" t="s">
        <v>601</v>
      </c>
      <c r="J95" s="116"/>
      <c r="K95" s="116"/>
      <c r="L95" s="20"/>
      <c r="M95" s="116"/>
      <c r="N95" s="164"/>
      <c r="O95" s="163"/>
      <c r="P95" s="164"/>
      <c r="Q95" s="164"/>
      <c r="R95" s="164"/>
      <c r="S95" s="163"/>
      <c r="T95" s="165"/>
      <c r="U95" s="166" t="n">
        <v>44695</v>
      </c>
      <c r="V95" s="166"/>
      <c r="W95" s="116"/>
      <c r="X95" s="116"/>
      <c r="Y95" s="162" t="s">
        <v>597</v>
      </c>
      <c r="Z95" s="162" t="s">
        <v>600</v>
      </c>
      <c r="AA95" s="168" t="str">
        <f aca="false">VLOOKUP(Y95,20230302Data!A:K,2,FALSE())</f>
        <v>小2－1</v>
      </c>
      <c r="AB95" s="168" t="str">
        <f aca="false">VLOOKUP(Y95,20230302Data!A:K,3,FALSE())</f>
        <v>鈴木 梨央</v>
      </c>
      <c r="AC95" s="169" t="str">
        <f aca="false">VLOOKUP(Y95,20230302Data!A:K,4,FALSE())</f>
        <v>弘樹</v>
      </c>
      <c r="AD95" s="169" t="str">
        <f aca="false">VLOOKUP(Y95,20230302Data!A:K,6,FALSE())</f>
        <v>小4－2</v>
      </c>
      <c r="AE95" s="169" t="str">
        <f aca="false">VLOOKUP(Y95,20230302Data!A:K,7,FALSE())</f>
        <v>鈴木 煌生</v>
      </c>
      <c r="AF95" s="169" t="n">
        <f aca="false">VLOOKUP(Y95,20230302Data!A:K,8,FALSE())</f>
        <v>0</v>
      </c>
      <c r="AG95" s="169" t="n">
        <f aca="false">VLOOKUP(Y95,20230302Data!A:K,9,FALSE())</f>
        <v>0</v>
      </c>
      <c r="AH95" s="169" t="str">
        <f aca="false">SUBSTITUTE(SUBSTITUTE(SUBSTITUTE(Y95,"-",""),"(",""),")","")</f>
        <v>4232374248</v>
      </c>
      <c r="AI95" s="169" t="str">
        <f aca="false">IFERROR(VLOOKUP(AH95,#REF!,3,FALSE()),"")</f>
        <v/>
      </c>
    </row>
    <row r="96" customFormat="false" ht="12.75" hidden="false" customHeight="true" outlineLevel="0" collapsed="false">
      <c r="A96" s="179" t="s">
        <v>602</v>
      </c>
      <c r="B96" s="178" t="n">
        <v>94</v>
      </c>
      <c r="C96" s="178" t="s">
        <v>131</v>
      </c>
      <c r="D96" s="178" t="s">
        <v>603</v>
      </c>
      <c r="E96" s="178" t="s">
        <v>604</v>
      </c>
      <c r="F96" s="183" t="s">
        <v>602</v>
      </c>
      <c r="G96" s="179" t="s">
        <v>605</v>
      </c>
      <c r="H96" s="178" t="s">
        <v>120</v>
      </c>
      <c r="I96" s="201" t="s">
        <v>606</v>
      </c>
      <c r="J96" s="179"/>
      <c r="K96" s="179"/>
      <c r="L96" s="179"/>
      <c r="M96" s="179"/>
      <c r="N96" s="180"/>
      <c r="O96" s="178"/>
      <c r="P96" s="180"/>
      <c r="Q96" s="180"/>
      <c r="R96" s="155"/>
      <c r="S96" s="155"/>
      <c r="T96" s="181"/>
      <c r="U96" s="200" t="n">
        <v>44807</v>
      </c>
      <c r="V96" s="200"/>
      <c r="W96" s="178" t="s">
        <v>60</v>
      </c>
      <c r="X96" s="179"/>
      <c r="Y96" s="179" t="s">
        <v>602</v>
      </c>
      <c r="Z96" s="178"/>
      <c r="AA96" s="183" t="str">
        <f aca="false">VLOOKUP(Y96,20230302Data!A:K,2,FALSE())</f>
        <v>小2－1</v>
      </c>
      <c r="AB96" s="183" t="str">
        <f aca="false">VLOOKUP(Y96,20230302Data!A:K,3,FALSE())</f>
        <v>大嶋 希海</v>
      </c>
      <c r="AC96" s="184" t="str">
        <f aca="false">VLOOKUP(Y96,20230302Data!A:K,4,FALSE())</f>
        <v>仁海</v>
      </c>
      <c r="AD96" s="184" t="str">
        <f aca="false">VLOOKUP(Y96,20230302Data!A:K,6,FALSE())</f>
        <v>小4－1</v>
      </c>
      <c r="AE96" s="184" t="str">
        <f aca="false">VLOOKUP(Y96,20230302Data!A:K,7,FALSE())</f>
        <v>大嶋 七海</v>
      </c>
      <c r="AF96" s="184" t="n">
        <f aca="false">VLOOKUP(Y96,20230302Data!A:K,8,FALSE())</f>
        <v>0</v>
      </c>
      <c r="AG96" s="184" t="n">
        <f aca="false">VLOOKUP(Y96,20230302Data!A:K,9,FALSE())</f>
        <v>0</v>
      </c>
      <c r="AH96" s="184" t="str">
        <f aca="false">SUBSTITUTE(SUBSTITUTE(SUBSTITUTE(Y96,"-",""),"(",""),")","")</f>
        <v>4046409700</v>
      </c>
      <c r="AI96" s="184" t="str">
        <f aca="false">IFERROR(VLOOKUP(AH96,#REF!,3,FALSE()),"")</f>
        <v/>
      </c>
    </row>
    <row r="97" customFormat="false" ht="12.75" hidden="false" customHeight="true" outlineLevel="0" collapsed="false">
      <c r="A97" s="185" t="s">
        <v>607</v>
      </c>
      <c r="B97" s="186" t="n">
        <v>95</v>
      </c>
      <c r="C97" s="186" t="s">
        <v>114</v>
      </c>
      <c r="D97" s="186" t="s">
        <v>608</v>
      </c>
      <c r="E97" s="186" t="s">
        <v>609</v>
      </c>
      <c r="F97" s="185" t="s">
        <v>607</v>
      </c>
      <c r="G97" s="187" t="s">
        <v>610</v>
      </c>
      <c r="H97" s="186" t="s">
        <v>120</v>
      </c>
      <c r="I97" s="186" t="s">
        <v>611</v>
      </c>
      <c r="J97" s="186"/>
      <c r="K97" s="186"/>
      <c r="L97" s="186"/>
      <c r="M97" s="186"/>
      <c r="N97" s="155"/>
      <c r="O97" s="155"/>
      <c r="P97" s="155"/>
      <c r="Q97" s="155"/>
      <c r="R97" s="155"/>
      <c r="S97" s="155"/>
      <c r="T97" s="188"/>
      <c r="U97" s="189"/>
      <c r="V97" s="189"/>
      <c r="W97" s="186" t="s">
        <v>55</v>
      </c>
      <c r="X97" s="186" t="s">
        <v>612</v>
      </c>
      <c r="Y97" s="185" t="s">
        <v>607</v>
      </c>
      <c r="Z97" s="190" t="s">
        <v>610</v>
      </c>
      <c r="AA97" s="190" t="str">
        <f aca="false">VLOOKUP(Y97,20230302Data!A:K,2,FALSE())</f>
        <v>小2－2</v>
      </c>
      <c r="AB97" s="190" t="str">
        <f aca="false">VLOOKUP(Y97,20230302Data!A:K,3,FALSE())</f>
        <v>髙木 武蔵</v>
      </c>
      <c r="AC97" s="191" t="str">
        <f aca="false">VLOOKUP(Y97,20230302Data!A:K,4,FALSE())</f>
        <v>慶一郎</v>
      </c>
      <c r="AD97" s="191" t="str">
        <f aca="false">VLOOKUP(Y97,20230302Data!A:K,6,FALSE())</f>
        <v>小4－1</v>
      </c>
      <c r="AE97" s="191" t="str">
        <f aca="false">VLOOKUP(Y97,20230302Data!A:K,7,FALSE())</f>
        <v>髙木 凌磨</v>
      </c>
      <c r="AF97" s="191" t="n">
        <f aca="false">VLOOKUP(Y97,20230302Data!A:K,8,FALSE())</f>
        <v>0</v>
      </c>
      <c r="AG97" s="191" t="n">
        <f aca="false">VLOOKUP(Y97,20230302Data!A:K,9,FALSE())</f>
        <v>0</v>
      </c>
      <c r="AH97" s="191" t="str">
        <f aca="false">SUBSTITUTE(SUBSTITUTE(SUBSTITUTE(Y97,"-",""),"(",""),")","")</f>
        <v>7342338911</v>
      </c>
      <c r="AI97" s="191" t="str">
        <f aca="false">IFERROR(VLOOKUP(AH97,#REF!,3,FALSE()),"")</f>
        <v/>
      </c>
    </row>
    <row r="98" customFormat="false" ht="12.75" hidden="false" customHeight="true" outlineLevel="0" collapsed="false">
      <c r="A98" s="162" t="s">
        <v>613</v>
      </c>
      <c r="B98" s="163" t="n">
        <v>96</v>
      </c>
      <c r="C98" s="163" t="s">
        <v>114</v>
      </c>
      <c r="D98" s="163" t="s">
        <v>614</v>
      </c>
      <c r="E98" s="163" t="s">
        <v>615</v>
      </c>
      <c r="F98" s="162" t="s">
        <v>613</v>
      </c>
      <c r="G98" s="116" t="s">
        <v>616</v>
      </c>
      <c r="H98" s="163" t="s">
        <v>185</v>
      </c>
      <c r="I98" s="163" t="s">
        <v>617</v>
      </c>
      <c r="J98" s="163" t="s">
        <v>516</v>
      </c>
      <c r="K98" s="163" t="s">
        <v>618</v>
      </c>
      <c r="L98" s="116"/>
      <c r="M98" s="116"/>
      <c r="N98" s="164"/>
      <c r="O98" s="163"/>
      <c r="P98" s="164"/>
      <c r="Q98" s="163"/>
      <c r="R98" s="164"/>
      <c r="S98" s="164"/>
      <c r="T98" s="165"/>
      <c r="U98" s="166"/>
      <c r="V98" s="166"/>
      <c r="W98" s="116"/>
      <c r="X98" s="116"/>
      <c r="Y98" s="162" t="s">
        <v>613</v>
      </c>
      <c r="Z98" s="167" t="s">
        <v>619</v>
      </c>
      <c r="AA98" s="168" t="str">
        <f aca="false">VLOOKUP(Y98,20230302Data!A:K,2,FALSE())</f>
        <v>小2－2</v>
      </c>
      <c r="AB98" s="168" t="str">
        <f aca="false">VLOOKUP(Y98,20230302Data!A:K,3,FALSE())</f>
        <v>川西 哲人</v>
      </c>
      <c r="AC98" s="169" t="str">
        <f aca="false">VLOOKUP(Y98,20230302Data!A:K,4,FALSE())</f>
        <v>洋平</v>
      </c>
      <c r="AD98" s="169" t="str">
        <f aca="false">VLOOKUP(Y98,20230302Data!A:K,6,FALSE())</f>
        <v>小5－1</v>
      </c>
      <c r="AE98" s="169" t="str">
        <f aca="false">VLOOKUP(Y98,20230302Data!A:K,7,FALSE())</f>
        <v>川西 悠斗</v>
      </c>
      <c r="AF98" s="169" t="str">
        <f aca="false">VLOOKUP(Y98,20230302Data!A:K,8,FALSE())</f>
        <v>中3－1</v>
      </c>
      <c r="AG98" s="169" t="str">
        <f aca="false">VLOOKUP(Y98,20230302Data!A:K,9,FALSE())</f>
        <v>川西 葵</v>
      </c>
      <c r="AH98" s="169" t="str">
        <f aca="false">SUBSTITUTE(SUBSTITUTE(SUBSTITUTE(Y98,"-",""),"(",""),")","")</f>
        <v>7706899122</v>
      </c>
      <c r="AI98" s="169" t="str">
        <f aca="false">IFERROR(VLOOKUP(AH98,#REF!,3,FALSE()),"")</f>
        <v/>
      </c>
    </row>
    <row r="99" customFormat="false" ht="12.75" hidden="false" customHeight="true" outlineLevel="0" collapsed="false">
      <c r="A99" s="185" t="s">
        <v>620</v>
      </c>
      <c r="B99" s="186" t="n">
        <v>97</v>
      </c>
      <c r="C99" s="186" t="s">
        <v>114</v>
      </c>
      <c r="D99" s="186" t="s">
        <v>621</v>
      </c>
      <c r="E99" s="186" t="s">
        <v>622</v>
      </c>
      <c r="F99" s="185" t="s">
        <v>620</v>
      </c>
      <c r="G99" s="187" t="s">
        <v>623</v>
      </c>
      <c r="H99" s="186" t="s">
        <v>533</v>
      </c>
      <c r="I99" s="186" t="s">
        <v>624</v>
      </c>
      <c r="J99" s="186"/>
      <c r="K99" s="186"/>
      <c r="L99" s="186"/>
      <c r="M99" s="186"/>
      <c r="N99" s="155"/>
      <c r="O99" s="155"/>
      <c r="P99" s="155"/>
      <c r="Q99" s="155"/>
      <c r="R99" s="155"/>
      <c r="S99" s="155"/>
      <c r="T99" s="188"/>
      <c r="U99" s="189"/>
      <c r="V99" s="189"/>
      <c r="W99" s="186" t="s">
        <v>55</v>
      </c>
      <c r="X99" s="186" t="s">
        <v>625</v>
      </c>
      <c r="Y99" s="185" t="s">
        <v>620</v>
      </c>
      <c r="Z99" s="190" t="s">
        <v>623</v>
      </c>
      <c r="AA99" s="190" t="str">
        <f aca="false">VLOOKUP(Y99,20230302Data!A:K,2,FALSE())</f>
        <v>小2－2</v>
      </c>
      <c r="AB99" s="190" t="str">
        <f aca="false">VLOOKUP(Y99,20230302Data!A:K,3,FALSE())</f>
        <v>重久 睦斉</v>
      </c>
      <c r="AC99" s="191" t="str">
        <f aca="false">VLOOKUP(Y99,20230302Data!A:K,4,FALSE())</f>
        <v>義幸</v>
      </c>
      <c r="AD99" s="191" t="str">
        <f aca="false">VLOOKUP(Y99,20230302Data!A:K,6,FALSE())</f>
        <v>中1－1</v>
      </c>
      <c r="AE99" s="191" t="str">
        <f aca="false">VLOOKUP(Y99,20230302Data!A:K,7,FALSE())</f>
        <v>重久 瑚奈</v>
      </c>
      <c r="AF99" s="191" t="str">
        <f aca="false">VLOOKUP(Y99,20230302Data!A:K,8,FALSE())</f>
        <v>高1</v>
      </c>
      <c r="AG99" s="191" t="str">
        <f aca="false">VLOOKUP(Y99,20230302Data!A:K,9,FALSE())</f>
        <v>重久 凜乃</v>
      </c>
      <c r="AH99" s="191" t="str">
        <f aca="false">SUBSTITUTE(SUBSTITUTE(SUBSTITUTE(Y99,"-",""),"(",""),")","")</f>
        <v>4704094230</v>
      </c>
      <c r="AI99" s="191" t="str">
        <f aca="false">IFERROR(VLOOKUP(AH99,#REF!,3,FALSE()),"")</f>
        <v/>
      </c>
    </row>
    <row r="100" customFormat="false" ht="12" hidden="false" customHeight="true" outlineLevel="0" collapsed="false">
      <c r="A100" s="185" t="s">
        <v>626</v>
      </c>
      <c r="B100" s="186" t="n">
        <v>98</v>
      </c>
      <c r="C100" s="186" t="s">
        <v>114</v>
      </c>
      <c r="D100" s="186" t="s">
        <v>627</v>
      </c>
      <c r="E100" s="186" t="s">
        <v>628</v>
      </c>
      <c r="F100" s="185" t="s">
        <v>626</v>
      </c>
      <c r="G100" s="187" t="s">
        <v>629</v>
      </c>
      <c r="H100" s="186" t="s">
        <v>150</v>
      </c>
      <c r="I100" s="186" t="s">
        <v>630</v>
      </c>
      <c r="J100" s="186" t="s">
        <v>533</v>
      </c>
      <c r="K100" s="186" t="s">
        <v>631</v>
      </c>
      <c r="L100" s="186"/>
      <c r="M100" s="186"/>
      <c r="N100" s="155"/>
      <c r="O100" s="155"/>
      <c r="P100" s="155"/>
      <c r="Q100" s="186"/>
      <c r="R100" s="155"/>
      <c r="S100" s="155"/>
      <c r="T100" s="188"/>
      <c r="U100" s="189"/>
      <c r="V100" s="189"/>
      <c r="W100" s="186" t="s">
        <v>55</v>
      </c>
      <c r="X100" s="186" t="s">
        <v>632</v>
      </c>
      <c r="Y100" s="185" t="s">
        <v>626</v>
      </c>
      <c r="Z100" s="190" t="s">
        <v>629</v>
      </c>
      <c r="AA100" s="190" t="str">
        <f aca="false">VLOOKUP(Y100,20230302Data!A:K,2,FALSE())</f>
        <v>小2－2</v>
      </c>
      <c r="AB100" s="190" t="str">
        <f aca="false">VLOOKUP(Y100,20230302Data!A:K,3,FALSE())</f>
        <v>田中 宏弥</v>
      </c>
      <c r="AC100" s="191" t="str">
        <f aca="false">VLOOKUP(Y100,20230302Data!A:K,4,FALSE())</f>
        <v>正則</v>
      </c>
      <c r="AD100" s="191" t="str">
        <f aca="false">VLOOKUP(Y100,20230302Data!A:K,6,FALSE())</f>
        <v>小2－3</v>
      </c>
      <c r="AE100" s="191" t="str">
        <f aca="false">VLOOKUP(Y100,20230302Data!A:K,7,FALSE())</f>
        <v>田中 伸弥</v>
      </c>
      <c r="AF100" s="191" t="str">
        <f aca="false">VLOOKUP(Y100,20230302Data!A:K,8,FALSE())</f>
        <v>中1－1</v>
      </c>
      <c r="AG100" s="191" t="str">
        <f aca="false">VLOOKUP(Y100,20230302Data!A:K,9,FALSE())</f>
        <v>田中 孝治</v>
      </c>
      <c r="AH100" s="191" t="str">
        <f aca="false">SUBSTITUTE(SUBSTITUTE(SUBSTITUTE(Y100,"-",""),"(",""),")","")</f>
        <v>7705739604</v>
      </c>
      <c r="AI100" s="191" t="str">
        <f aca="false">IFERROR(VLOOKUP(AH100,#REF!,3,FALSE()),"")</f>
        <v/>
      </c>
    </row>
    <row r="101" customFormat="false" ht="12.75" hidden="false" customHeight="true" outlineLevel="0" collapsed="false">
      <c r="A101" s="162" t="s">
        <v>633</v>
      </c>
      <c r="B101" s="163" t="n">
        <v>99</v>
      </c>
      <c r="C101" s="163" t="s">
        <v>114</v>
      </c>
      <c r="D101" s="163" t="s">
        <v>634</v>
      </c>
      <c r="E101" s="163" t="s">
        <v>635</v>
      </c>
      <c r="F101" s="162" t="s">
        <v>633</v>
      </c>
      <c r="G101" s="116" t="s">
        <v>636</v>
      </c>
      <c r="H101" s="163" t="s">
        <v>120</v>
      </c>
      <c r="I101" s="163" t="s">
        <v>637</v>
      </c>
      <c r="J101" s="163"/>
      <c r="K101" s="163"/>
      <c r="L101" s="163"/>
      <c r="M101" s="163"/>
      <c r="N101" s="164" t="n">
        <v>45073</v>
      </c>
      <c r="O101" s="162" t="s">
        <v>49</v>
      </c>
      <c r="P101" s="164"/>
      <c r="Q101" s="163"/>
      <c r="R101" s="164"/>
      <c r="S101" s="164"/>
      <c r="T101" s="165"/>
      <c r="U101" s="219"/>
      <c r="V101" s="219"/>
      <c r="W101" s="163"/>
      <c r="X101" s="163" t="s">
        <v>638</v>
      </c>
      <c r="Y101" s="162" t="s">
        <v>633</v>
      </c>
      <c r="Z101" s="167" t="s">
        <v>636</v>
      </c>
      <c r="AA101" s="168" t="str">
        <f aca="false">VLOOKUP(Y101,20230302Data!A:K,2,FALSE())</f>
        <v>小2－2</v>
      </c>
      <c r="AB101" s="168" t="str">
        <f aca="false">VLOOKUP(Y101,20230302Data!A:K,3,FALSE())</f>
        <v>矢田 遥花</v>
      </c>
      <c r="AC101" s="169" t="str">
        <f aca="false">VLOOKUP(Y101,20230302Data!A:K,4,FALSE())</f>
        <v>裕一</v>
      </c>
      <c r="AD101" s="169" t="str">
        <f aca="false">VLOOKUP(Y101,20230302Data!A:K,6,FALSE())</f>
        <v>小4－1</v>
      </c>
      <c r="AE101" s="169" t="str">
        <f aca="false">VLOOKUP(Y101,20230302Data!A:K,7,FALSE())</f>
        <v>矢田 夏樹</v>
      </c>
      <c r="AF101" s="169" t="n">
        <f aca="false">VLOOKUP(Y101,20230302Data!A:K,8,FALSE())</f>
        <v>0</v>
      </c>
      <c r="AG101" s="169" t="n">
        <f aca="false">VLOOKUP(Y101,20230302Data!A:K,9,FALSE())</f>
        <v>0</v>
      </c>
      <c r="AH101" s="169" t="str">
        <f aca="false">SUBSTITUTE(SUBSTITUTE(SUBSTITUTE(Y101,"-",""),"(",""),")","")</f>
        <v>7709466929</v>
      </c>
      <c r="AI101" s="169" t="str">
        <f aca="false">IFERROR(VLOOKUP(AH101,#REF!,3,FALSE()),"")</f>
        <v/>
      </c>
    </row>
    <row r="102" customFormat="false" ht="12.75" hidden="false" customHeight="true" outlineLevel="0" collapsed="false">
      <c r="A102" s="170" t="s">
        <v>639</v>
      </c>
      <c r="B102" s="171" t="n">
        <v>100</v>
      </c>
      <c r="C102" s="171" t="s">
        <v>114</v>
      </c>
      <c r="D102" s="171" t="s">
        <v>640</v>
      </c>
      <c r="E102" s="171" t="s">
        <v>641</v>
      </c>
      <c r="F102" s="170" t="s">
        <v>642</v>
      </c>
      <c r="G102" s="111" t="s">
        <v>643</v>
      </c>
      <c r="H102" s="111"/>
      <c r="I102" s="111"/>
      <c r="J102" s="111"/>
      <c r="K102" s="111"/>
      <c r="L102" s="111"/>
      <c r="M102" s="111"/>
      <c r="N102" s="172"/>
      <c r="O102" s="172"/>
      <c r="P102" s="172"/>
      <c r="Q102" s="172"/>
      <c r="R102" s="155"/>
      <c r="S102" s="186"/>
      <c r="T102" s="173"/>
      <c r="U102" s="174"/>
      <c r="V102" s="174"/>
      <c r="W102" s="193" t="s">
        <v>33</v>
      </c>
      <c r="X102" s="111"/>
      <c r="Y102" s="170" t="s">
        <v>639</v>
      </c>
      <c r="Z102" s="175" t="s">
        <v>643</v>
      </c>
      <c r="AA102" s="175" t="str">
        <f aca="false">VLOOKUP(Y102,20230302Data!A:K,2,FALSE())</f>
        <v>小2－2</v>
      </c>
      <c r="AB102" s="175" t="str">
        <f aca="false">VLOOKUP(Y102,20230302Data!A:K,3,FALSE())</f>
        <v>中井 美晴</v>
      </c>
      <c r="AC102" s="176" t="str">
        <f aca="false">VLOOKUP(Y102,20230302Data!A:K,4,FALSE())</f>
        <v>孝</v>
      </c>
      <c r="AD102" s="176" t="n">
        <f aca="false">VLOOKUP(Y102,20230302Data!A:K,6,FALSE())</f>
        <v>0</v>
      </c>
      <c r="AE102" s="176" t="n">
        <f aca="false">VLOOKUP(Y102,20230302Data!A:K,7,FALSE())</f>
        <v>0</v>
      </c>
      <c r="AF102" s="176" t="n">
        <f aca="false">VLOOKUP(Y102,20230302Data!A:K,8,FALSE())</f>
        <v>0</v>
      </c>
      <c r="AG102" s="176" t="n">
        <f aca="false">VLOOKUP(Y102,20230302Data!A:K,9,FALSE())</f>
        <v>0</v>
      </c>
      <c r="AH102" s="176" t="str">
        <f aca="false">SUBSTITUTE(SUBSTITUTE(SUBSTITUTE(Y102,"-",""),"(",""),")","")</f>
        <v>4785388206</v>
      </c>
      <c r="AI102" s="176" t="str">
        <f aca="false">IFERROR(VLOOKUP(AH102,#REF!,3,FALSE()),"")</f>
        <v/>
      </c>
    </row>
    <row r="103" customFormat="false" ht="12.75" hidden="false" customHeight="true" outlineLevel="0" collapsed="false">
      <c r="A103" s="162" t="s">
        <v>644</v>
      </c>
      <c r="B103" s="163" t="n">
        <v>101</v>
      </c>
      <c r="C103" s="163" t="s">
        <v>114</v>
      </c>
      <c r="D103" s="163" t="s">
        <v>645</v>
      </c>
      <c r="E103" s="163" t="s">
        <v>646</v>
      </c>
      <c r="F103" s="162" t="s">
        <v>644</v>
      </c>
      <c r="G103" s="116" t="s">
        <v>647</v>
      </c>
      <c r="H103" s="116"/>
      <c r="I103" s="116"/>
      <c r="J103" s="116"/>
      <c r="K103" s="116"/>
      <c r="L103" s="116"/>
      <c r="M103" s="116"/>
      <c r="N103" s="164"/>
      <c r="O103" s="164"/>
      <c r="P103" s="164"/>
      <c r="Q103" s="164"/>
      <c r="R103" s="164"/>
      <c r="S103" s="163"/>
      <c r="T103" s="165"/>
      <c r="U103" s="166"/>
      <c r="V103" s="166"/>
      <c r="W103" s="116"/>
      <c r="X103" s="116"/>
      <c r="Y103" s="162" t="s">
        <v>644</v>
      </c>
      <c r="Z103" s="167" t="s">
        <v>647</v>
      </c>
      <c r="AA103" s="168" t="str">
        <f aca="false">VLOOKUP(Y103,20230302Data!A:K,2,FALSE())</f>
        <v>小2－2</v>
      </c>
      <c r="AB103" s="168" t="str">
        <f aca="false">VLOOKUP(Y103,20230302Data!A:K,3,FALSE())</f>
        <v>岡崎 文香</v>
      </c>
      <c r="AC103" s="169" t="str">
        <f aca="false">VLOOKUP(Y103,20230302Data!A:K,4,FALSE())</f>
        <v>博行</v>
      </c>
      <c r="AD103" s="169" t="n">
        <f aca="false">VLOOKUP(Y103,20230302Data!A:K,6,FALSE())</f>
        <v>0</v>
      </c>
      <c r="AE103" s="169" t="n">
        <f aca="false">VLOOKUP(Y103,20230302Data!A:K,7,FALSE())</f>
        <v>0</v>
      </c>
      <c r="AF103" s="169" t="n">
        <f aca="false">VLOOKUP(Y103,20230302Data!A:K,8,FALSE())</f>
        <v>0</v>
      </c>
      <c r="AG103" s="169" t="n">
        <f aca="false">VLOOKUP(Y103,20230302Data!A:K,9,FALSE())</f>
        <v>0</v>
      </c>
      <c r="AH103" s="169" t="str">
        <f aca="false">SUBSTITUTE(SUBSTITUTE(SUBSTITUTE(Y103,"-",""),"(",""),")","")</f>
        <v>7702382781</v>
      </c>
      <c r="AI103" s="169" t="str">
        <f aca="false">IFERROR(VLOOKUP(AH103,#REF!,3,FALSE()),"")</f>
        <v/>
      </c>
    </row>
    <row r="104" customFormat="false" ht="12.75" hidden="false" customHeight="true" outlineLevel="0" collapsed="false">
      <c r="A104" s="162" t="s">
        <v>648</v>
      </c>
      <c r="B104" s="163" t="n">
        <v>102</v>
      </c>
      <c r="C104" s="163" t="s">
        <v>114</v>
      </c>
      <c r="D104" s="163" t="s">
        <v>649</v>
      </c>
      <c r="E104" s="163" t="s">
        <v>429</v>
      </c>
      <c r="F104" s="162" t="s">
        <v>648</v>
      </c>
      <c r="G104" s="116" t="s">
        <v>650</v>
      </c>
      <c r="H104" s="163"/>
      <c r="I104" s="163"/>
      <c r="J104" s="163"/>
      <c r="K104" s="163"/>
      <c r="L104" s="163"/>
      <c r="M104" s="163"/>
      <c r="N104" s="164"/>
      <c r="O104" s="164"/>
      <c r="P104" s="164"/>
      <c r="Q104" s="163"/>
      <c r="R104" s="164" t="n">
        <v>45066</v>
      </c>
      <c r="S104" s="162" t="s">
        <v>126</v>
      </c>
      <c r="T104" s="165"/>
      <c r="U104" s="219"/>
      <c r="V104" s="219"/>
      <c r="W104" s="163"/>
      <c r="X104" s="163" t="s">
        <v>651</v>
      </c>
      <c r="Y104" s="162" t="s">
        <v>648</v>
      </c>
      <c r="Z104" s="167" t="s">
        <v>650</v>
      </c>
      <c r="AA104" s="168" t="str">
        <f aca="false">VLOOKUP(Y104,20230302Data!A:K,2,FALSE())</f>
        <v>小2－2</v>
      </c>
      <c r="AB104" s="168" t="str">
        <f aca="false">VLOOKUP(Y104,20230302Data!A:K,3,FALSE())</f>
        <v>菅 陽詩</v>
      </c>
      <c r="AC104" s="169" t="str">
        <f aca="false">VLOOKUP(Y104,20230302Data!A:K,4,FALSE())</f>
        <v>剛</v>
      </c>
      <c r="AD104" s="169" t="n">
        <f aca="false">VLOOKUP(Y104,20230302Data!A:K,6,FALSE())</f>
        <v>0</v>
      </c>
      <c r="AE104" s="169" t="n">
        <f aca="false">VLOOKUP(Y104,20230302Data!A:K,7,FALSE())</f>
        <v>0</v>
      </c>
      <c r="AF104" s="169" t="n">
        <f aca="false">VLOOKUP(Y104,20230302Data!A:K,8,FALSE())</f>
        <v>0</v>
      </c>
      <c r="AG104" s="169" t="n">
        <f aca="false">VLOOKUP(Y104,20230302Data!A:K,9,FALSE())</f>
        <v>0</v>
      </c>
      <c r="AH104" s="169" t="str">
        <f aca="false">SUBSTITUTE(SUBSTITUTE(SUBSTITUTE(Y104,"-",""),"(",""),")","")</f>
        <v>6788004316</v>
      </c>
      <c r="AI104" s="169" t="str">
        <f aca="false">IFERROR(VLOOKUP(AH104,#REF!,3,FALSE()),"")</f>
        <v/>
      </c>
    </row>
    <row r="105" customFormat="false" ht="12.75" hidden="false" customHeight="true" outlineLevel="0" collapsed="false">
      <c r="A105" s="170" t="s">
        <v>652</v>
      </c>
      <c r="B105" s="171" t="n">
        <v>103</v>
      </c>
      <c r="C105" s="171" t="s">
        <v>114</v>
      </c>
      <c r="D105" s="171" t="s">
        <v>653</v>
      </c>
      <c r="E105" s="171" t="s">
        <v>654</v>
      </c>
      <c r="F105" s="170" t="s">
        <v>655</v>
      </c>
      <c r="G105" s="111" t="s">
        <v>656</v>
      </c>
      <c r="H105" s="111"/>
      <c r="I105" s="111"/>
      <c r="J105" s="111"/>
      <c r="K105" s="111"/>
      <c r="L105" s="111"/>
      <c r="M105" s="111"/>
      <c r="N105" s="172"/>
      <c r="O105" s="172"/>
      <c r="P105" s="172"/>
      <c r="Q105" s="172"/>
      <c r="R105" s="155"/>
      <c r="S105" s="186"/>
      <c r="T105" s="173"/>
      <c r="U105" s="174"/>
      <c r="V105" s="174"/>
      <c r="W105" s="171" t="s">
        <v>152</v>
      </c>
      <c r="X105" s="111"/>
      <c r="Y105" s="170" t="s">
        <v>652</v>
      </c>
      <c r="Z105" s="175" t="s">
        <v>656</v>
      </c>
      <c r="AA105" s="175" t="str">
        <f aca="false">VLOOKUP(Y105,20230302Data!A:K,2,FALSE())</f>
        <v>小2－2</v>
      </c>
      <c r="AB105" s="175" t="str">
        <f aca="false">VLOOKUP(Y105,20230302Data!A:K,3,FALSE())</f>
        <v>多胡 綾乃</v>
      </c>
      <c r="AC105" s="176" t="str">
        <f aca="false">VLOOKUP(Y105,20230302Data!A:K,4,FALSE())</f>
        <v>文彰</v>
      </c>
      <c r="AD105" s="176" t="n">
        <f aca="false">VLOOKUP(Y105,20230302Data!A:K,6,FALSE())</f>
        <v>0</v>
      </c>
      <c r="AE105" s="176" t="n">
        <f aca="false">VLOOKUP(Y105,20230302Data!A:K,7,FALSE())</f>
        <v>0</v>
      </c>
      <c r="AF105" s="176" t="n">
        <f aca="false">VLOOKUP(Y105,20230302Data!A:K,8,FALSE())</f>
        <v>0</v>
      </c>
      <c r="AG105" s="176" t="n">
        <f aca="false">VLOOKUP(Y105,20230302Data!A:K,9,FALSE())</f>
        <v>0</v>
      </c>
      <c r="AH105" s="176" t="str">
        <f aca="false">SUBSTITUTE(SUBSTITUTE(SUBSTITUTE(Y105,"-",""),"(",""),")","")</f>
        <v>7703132094</v>
      </c>
      <c r="AI105" s="176" t="str">
        <f aca="false">IFERROR(VLOOKUP(AH105,#REF!,3,FALSE()),"")</f>
        <v/>
      </c>
    </row>
    <row r="106" customFormat="false" ht="12.75" hidden="false" customHeight="true" outlineLevel="0" collapsed="false">
      <c r="A106" s="162" t="s">
        <v>657</v>
      </c>
      <c r="B106" s="163" t="n">
        <v>104</v>
      </c>
      <c r="C106" s="163" t="s">
        <v>114</v>
      </c>
      <c r="D106" s="163" t="s">
        <v>658</v>
      </c>
      <c r="E106" s="163" t="s">
        <v>659</v>
      </c>
      <c r="F106" s="162" t="s">
        <v>657</v>
      </c>
      <c r="G106" s="116" t="s">
        <v>660</v>
      </c>
      <c r="H106" s="116"/>
      <c r="I106" s="116"/>
      <c r="J106" s="116"/>
      <c r="K106" s="116"/>
      <c r="L106" s="116"/>
      <c r="M106" s="116"/>
      <c r="N106" s="164"/>
      <c r="O106" s="163"/>
      <c r="P106" s="164"/>
      <c r="Q106" s="164"/>
      <c r="R106" s="164"/>
      <c r="S106" s="163"/>
      <c r="T106" s="165"/>
      <c r="U106" s="166"/>
      <c r="V106" s="166"/>
      <c r="W106" s="116"/>
      <c r="X106" s="116"/>
      <c r="Y106" s="162" t="s">
        <v>657</v>
      </c>
      <c r="Z106" s="167" t="s">
        <v>660</v>
      </c>
      <c r="AA106" s="168" t="str">
        <f aca="false">VLOOKUP(Y106,20230302Data!A:K,2,FALSE())</f>
        <v>小2－2</v>
      </c>
      <c r="AB106" s="168" t="str">
        <f aca="false">VLOOKUP(Y106,20230302Data!A:K,3,FALSE())</f>
        <v>松本 美月</v>
      </c>
      <c r="AC106" s="169" t="str">
        <f aca="false">VLOOKUP(Y106,20230302Data!A:K,4,FALSE())</f>
        <v>ルーク</v>
      </c>
      <c r="AD106" s="169" t="n">
        <f aca="false">VLOOKUP(Y106,20230302Data!A:K,6,FALSE())</f>
        <v>0</v>
      </c>
      <c r="AE106" s="169" t="n">
        <f aca="false">VLOOKUP(Y106,20230302Data!A:K,7,FALSE())</f>
        <v>0</v>
      </c>
      <c r="AF106" s="169" t="n">
        <f aca="false">VLOOKUP(Y106,20230302Data!A:K,8,FALSE())</f>
        <v>0</v>
      </c>
      <c r="AG106" s="169" t="n">
        <f aca="false">VLOOKUP(Y106,20230302Data!A:K,9,FALSE())</f>
        <v>0</v>
      </c>
      <c r="AH106" s="169" t="str">
        <f aca="false">SUBSTITUTE(SUBSTITUTE(SUBSTITUTE(Y106,"-",""),"(",""),")","")</f>
        <v>6782354278</v>
      </c>
      <c r="AI106" s="169" t="str">
        <f aca="false">IFERROR(VLOOKUP(AH106,#REF!,3,FALSE()),"")</f>
        <v/>
      </c>
    </row>
    <row r="107" customFormat="false" ht="12.75" hidden="false" customHeight="true" outlineLevel="0" collapsed="false">
      <c r="A107" s="116" t="s">
        <v>661</v>
      </c>
      <c r="B107" s="163" t="n">
        <v>105</v>
      </c>
      <c r="C107" s="220" t="s">
        <v>662</v>
      </c>
      <c r="D107" s="163" t="s">
        <v>663</v>
      </c>
      <c r="E107" s="220" t="s">
        <v>664</v>
      </c>
      <c r="F107" s="116" t="s">
        <v>661</v>
      </c>
      <c r="G107" s="116" t="s">
        <v>665</v>
      </c>
      <c r="H107" s="163"/>
      <c r="I107" s="116"/>
      <c r="J107" s="116"/>
      <c r="K107" s="116"/>
      <c r="L107" s="116"/>
      <c r="M107" s="116"/>
      <c r="N107" s="164"/>
      <c r="O107" s="163"/>
      <c r="P107" s="163"/>
      <c r="Q107" s="163"/>
      <c r="R107" s="164" t="n">
        <v>45073</v>
      </c>
      <c r="S107" s="162" t="s">
        <v>67</v>
      </c>
      <c r="T107" s="116"/>
      <c r="U107" s="166" t="n">
        <v>44933</v>
      </c>
      <c r="V107" s="166"/>
      <c r="W107" s="116"/>
      <c r="X107" s="116"/>
      <c r="Y107" s="116" t="s">
        <v>661</v>
      </c>
      <c r="Z107" s="116"/>
      <c r="AA107" s="168" t="str">
        <f aca="false">VLOOKUP(Y107,20230302Data!A:K,2,FALSE())</f>
        <v>小2－2</v>
      </c>
      <c r="AB107" s="168" t="str">
        <f aca="false">VLOOKUP(Y107,20230302Data!A:K,3,FALSE())</f>
        <v>太田 恵麻</v>
      </c>
      <c r="AC107" s="169" t="str">
        <f aca="false">VLOOKUP(Y107,20230302Data!A:K,4,FALSE())</f>
        <v>美和</v>
      </c>
      <c r="AD107" s="169" t="n">
        <f aca="false">VLOOKUP(Y107,20230302Data!A:K,6,FALSE())</f>
        <v>0</v>
      </c>
      <c r="AE107" s="169" t="n">
        <f aca="false">VLOOKUP(Y107,20230302Data!A:K,7,FALSE())</f>
        <v>0</v>
      </c>
      <c r="AF107" s="169" t="n">
        <f aca="false">VLOOKUP(Y107,20230302Data!A:K,8,FALSE())</f>
        <v>0</v>
      </c>
      <c r="AG107" s="169" t="n">
        <f aca="false">VLOOKUP(Y107,20230302Data!A:K,9,FALSE())</f>
        <v>0</v>
      </c>
      <c r="AH107" s="169" t="str">
        <f aca="false">SUBSTITUTE(SUBSTITUTE(SUBSTITUTE(Y107,"-",""),"(",""),")","")</f>
        <v>7705332343</v>
      </c>
      <c r="AI107" s="169" t="str">
        <f aca="false">IFERROR(VLOOKUP(AH107,#REF!,3,FALSE()),"")</f>
        <v/>
      </c>
    </row>
    <row r="108" customFormat="false" ht="12.75" hidden="false" customHeight="true" outlineLevel="0" collapsed="false">
      <c r="A108" s="116" t="s">
        <v>666</v>
      </c>
      <c r="B108" s="163" t="n">
        <v>106</v>
      </c>
      <c r="C108" s="220" t="s">
        <v>662</v>
      </c>
      <c r="D108" s="163" t="s">
        <v>667</v>
      </c>
      <c r="E108" s="220" t="s">
        <v>668</v>
      </c>
      <c r="F108" s="116" t="s">
        <v>666</v>
      </c>
      <c r="G108" s="116" t="s">
        <v>669</v>
      </c>
      <c r="H108" s="163"/>
      <c r="I108" s="163"/>
      <c r="J108" s="116"/>
      <c r="K108" s="116"/>
      <c r="L108" s="116"/>
      <c r="M108" s="116"/>
      <c r="N108" s="163"/>
      <c r="O108" s="163"/>
      <c r="P108" s="164" t="n">
        <v>45073</v>
      </c>
      <c r="Q108" s="162" t="s">
        <v>67</v>
      </c>
      <c r="R108" s="163"/>
      <c r="S108" s="163"/>
      <c r="T108" s="116"/>
      <c r="U108" s="166" t="n">
        <v>44961</v>
      </c>
      <c r="V108" s="166"/>
      <c r="W108" s="116"/>
      <c r="X108" s="116"/>
      <c r="Y108" s="116" t="s">
        <v>666</v>
      </c>
      <c r="Z108" s="116"/>
      <c r="AA108" s="168" t="str">
        <f aca="false">VLOOKUP(Y108,20230302Data!A:K,2,FALSE())</f>
        <v>小2－2</v>
      </c>
      <c r="AB108" s="168" t="str">
        <f aca="false">VLOOKUP(Y108,20230302Data!A:K,3,FALSE())</f>
        <v>丹羽 駿輔</v>
      </c>
      <c r="AC108" s="169" t="str">
        <f aca="false">VLOOKUP(Y108,20230302Data!A:K,4,FALSE())</f>
        <v>駿輔</v>
      </c>
      <c r="AD108" s="169" t="n">
        <f aca="false">VLOOKUP(Y108,20230302Data!A:K,6,FALSE())</f>
        <v>0</v>
      </c>
      <c r="AE108" s="169" t="n">
        <f aca="false">VLOOKUP(Y108,20230302Data!A:K,7,FALSE())</f>
        <v>0</v>
      </c>
      <c r="AF108" s="169" t="n">
        <f aca="false">VLOOKUP(Y108,20230302Data!A:K,8,FALSE())</f>
        <v>0</v>
      </c>
      <c r="AG108" s="169" t="n">
        <f aca="false">VLOOKUP(Y108,20230302Data!A:K,9,FALSE())</f>
        <v>0</v>
      </c>
      <c r="AH108" s="169" t="str">
        <f aca="false">SUBSTITUTE(SUBSTITUTE(SUBSTITUTE(Y108,"-",""),"(",""),")","")</f>
        <v>6786753950</v>
      </c>
      <c r="AI108" s="169" t="str">
        <f aca="false">IFERROR(VLOOKUP(AH108,#REF!,3,FALSE()),"")</f>
        <v/>
      </c>
    </row>
    <row r="109" customFormat="false" ht="12.75" hidden="false" customHeight="true" outlineLevel="0" collapsed="false">
      <c r="A109" s="202" t="s">
        <v>670</v>
      </c>
      <c r="B109" s="203" t="n">
        <v>107</v>
      </c>
      <c r="C109" s="203" t="s">
        <v>150</v>
      </c>
      <c r="D109" s="203" t="s">
        <v>671</v>
      </c>
      <c r="E109" s="203" t="s">
        <v>672</v>
      </c>
      <c r="F109" s="202" t="s">
        <v>670</v>
      </c>
      <c r="G109" s="204" t="s">
        <v>673</v>
      </c>
      <c r="H109" s="204"/>
      <c r="I109" s="204"/>
      <c r="J109" s="204"/>
      <c r="K109" s="204"/>
      <c r="L109" s="204"/>
      <c r="M109" s="204"/>
      <c r="N109" s="155"/>
      <c r="O109" s="186"/>
      <c r="P109" s="155"/>
      <c r="Q109" s="155"/>
      <c r="R109" s="205" t="n">
        <v>45052</v>
      </c>
      <c r="S109" s="202" t="s">
        <v>32</v>
      </c>
      <c r="T109" s="206"/>
      <c r="U109" s="215"/>
      <c r="V109" s="215"/>
      <c r="W109" s="216" t="s">
        <v>240</v>
      </c>
      <c r="X109" s="204"/>
      <c r="Y109" s="202" t="s">
        <v>670</v>
      </c>
      <c r="Z109" s="202" t="s">
        <v>673</v>
      </c>
      <c r="AA109" s="208" t="str">
        <f aca="false">VLOOKUP(Y109,20230302Data!A:K,2,FALSE())</f>
        <v>小2－3</v>
      </c>
      <c r="AB109" s="208" t="str">
        <f aca="false">VLOOKUP(Y109,20230302Data!A:K,3,FALSE())</f>
        <v>市橋 優治</v>
      </c>
      <c r="AC109" s="209" t="str">
        <f aca="false">VLOOKUP(Y109,20230302Data!A:K,4,FALSE())</f>
        <v>尚</v>
      </c>
      <c r="AD109" s="209" t="n">
        <f aca="false">VLOOKUP(Y109,20230302Data!A:K,6,FALSE())</f>
        <v>0</v>
      </c>
      <c r="AE109" s="209" t="n">
        <f aca="false">VLOOKUP(Y109,20230302Data!A:K,7,FALSE())</f>
        <v>0</v>
      </c>
      <c r="AF109" s="209" t="n">
        <f aca="false">VLOOKUP(Y109,20230302Data!A:K,8,FALSE())</f>
        <v>0</v>
      </c>
      <c r="AG109" s="209" t="n">
        <f aca="false">VLOOKUP(Y109,20230302Data!A:K,9,FALSE())</f>
        <v>0</v>
      </c>
      <c r="AH109" s="209" t="str">
        <f aca="false">SUBSTITUTE(SUBSTITUTE(SUBSTITUTE(Y109,"-",""),"(",""),")","")</f>
        <v>4703992304</v>
      </c>
      <c r="AI109" s="209" t="str">
        <f aca="false">IFERROR(VLOOKUP(AH109,#REF!,3,FALSE()),"")</f>
        <v/>
      </c>
    </row>
    <row r="110" customFormat="false" ht="12.75" hidden="false" customHeight="true" outlineLevel="0" collapsed="false">
      <c r="A110" s="151" t="s">
        <v>674</v>
      </c>
      <c r="B110" s="152" t="n">
        <v>108</v>
      </c>
      <c r="C110" s="152" t="s">
        <v>150</v>
      </c>
      <c r="D110" s="152" t="s">
        <v>675</v>
      </c>
      <c r="E110" s="152" t="s">
        <v>676</v>
      </c>
      <c r="F110" s="151" t="s">
        <v>674</v>
      </c>
      <c r="G110" s="153" t="s">
        <v>677</v>
      </c>
      <c r="H110" s="152" t="s">
        <v>114</v>
      </c>
      <c r="I110" s="152" t="s">
        <v>678</v>
      </c>
      <c r="J110" s="152"/>
      <c r="K110" s="152"/>
      <c r="L110" s="233"/>
      <c r="M110" s="152"/>
      <c r="N110" s="154" t="n">
        <v>45045</v>
      </c>
      <c r="O110" s="151" t="s">
        <v>126</v>
      </c>
      <c r="P110" s="155"/>
      <c r="Q110" s="155"/>
      <c r="R110" s="154"/>
      <c r="S110" s="154"/>
      <c r="T110" s="156"/>
      <c r="U110" s="198"/>
      <c r="V110" s="198"/>
      <c r="W110" s="152" t="s">
        <v>103</v>
      </c>
      <c r="X110" s="152" t="s">
        <v>651</v>
      </c>
      <c r="Y110" s="151" t="s">
        <v>674</v>
      </c>
      <c r="Z110" s="151" t="s">
        <v>677</v>
      </c>
      <c r="AA110" s="160" t="str">
        <f aca="false">VLOOKUP(Y110,20230302Data!A:K,2,FALSE())</f>
        <v>小2－3</v>
      </c>
      <c r="AB110" s="160" t="str">
        <f aca="false">VLOOKUP(Y110,20230302Data!A:K,3,FALSE())</f>
        <v>村見 蒼空</v>
      </c>
      <c r="AC110" s="161" t="str">
        <f aca="false">VLOOKUP(Y110,20230302Data!A:K,4,FALSE())</f>
        <v>拓哉</v>
      </c>
      <c r="AD110" s="161" t="str">
        <f aca="false">VLOOKUP(Y110,20230302Data!A:K,6,FALSE())</f>
        <v>小2－2</v>
      </c>
      <c r="AE110" s="161" t="str">
        <f aca="false">VLOOKUP(Y110,20230302Data!A:K,7,FALSE())</f>
        <v>村見 晴琉</v>
      </c>
      <c r="AF110" s="161" t="n">
        <f aca="false">VLOOKUP(Y110,20230302Data!A:K,8,FALSE())</f>
        <v>0</v>
      </c>
      <c r="AG110" s="161" t="n">
        <f aca="false">VLOOKUP(Y110,20230302Data!A:K,9,FALSE())</f>
        <v>0</v>
      </c>
      <c r="AH110" s="161" t="str">
        <f aca="false">SUBSTITUTE(SUBSTITUTE(SUBSTITUTE(Y110,"-",""),"(",""),")","")</f>
        <v>7707768390</v>
      </c>
      <c r="AI110" s="161" t="str">
        <f aca="false">IFERROR(VLOOKUP(AH110,#REF!,3,FALSE()),"")</f>
        <v/>
      </c>
    </row>
    <row r="111" customFormat="false" ht="12.75" hidden="false" customHeight="true" outlineLevel="0" collapsed="false">
      <c r="A111" s="177" t="s">
        <v>679</v>
      </c>
      <c r="B111" s="178" t="n">
        <v>109</v>
      </c>
      <c r="C111" s="178" t="s">
        <v>150</v>
      </c>
      <c r="D111" s="178" t="s">
        <v>680</v>
      </c>
      <c r="E111" s="178" t="s">
        <v>681</v>
      </c>
      <c r="F111" s="177" t="s">
        <v>679</v>
      </c>
      <c r="G111" s="179" t="s">
        <v>682</v>
      </c>
      <c r="H111" s="179"/>
      <c r="I111" s="179"/>
      <c r="J111" s="179"/>
      <c r="K111" s="179"/>
      <c r="L111" s="179"/>
      <c r="M111" s="179"/>
      <c r="N111" s="180"/>
      <c r="O111" s="180"/>
      <c r="P111" s="180"/>
      <c r="Q111" s="180"/>
      <c r="R111" s="155"/>
      <c r="S111" s="186"/>
      <c r="T111" s="181"/>
      <c r="U111" s="200"/>
      <c r="V111" s="200"/>
      <c r="W111" s="201" t="s">
        <v>60</v>
      </c>
      <c r="X111" s="179"/>
      <c r="Y111" s="177" t="s">
        <v>679</v>
      </c>
      <c r="Z111" s="177" t="s">
        <v>682</v>
      </c>
      <c r="AA111" s="183" t="str">
        <f aca="false">VLOOKUP(Y111,20230302Data!A:K,2,FALSE())</f>
        <v>小2－3</v>
      </c>
      <c r="AB111" s="183" t="str">
        <f aca="false">VLOOKUP(Y111,20230302Data!A:K,3,FALSE())</f>
        <v>金野 慧一朗</v>
      </c>
      <c r="AC111" s="184" t="str">
        <f aca="false">VLOOKUP(Y111,20230302Data!A:K,4,FALSE())</f>
        <v>翔太</v>
      </c>
      <c r="AD111" s="184" t="n">
        <f aca="false">VLOOKUP(Y111,20230302Data!A:K,6,FALSE())</f>
        <v>0</v>
      </c>
      <c r="AE111" s="184" t="n">
        <f aca="false">VLOOKUP(Y111,20230302Data!A:K,7,FALSE())</f>
        <v>0</v>
      </c>
      <c r="AF111" s="184" t="n">
        <f aca="false">VLOOKUP(Y111,20230302Data!A:K,8,FALSE())</f>
        <v>0</v>
      </c>
      <c r="AG111" s="184" t="n">
        <f aca="false">VLOOKUP(Y111,20230302Data!A:K,9,FALSE())</f>
        <v>0</v>
      </c>
      <c r="AH111" s="184" t="str">
        <f aca="false">SUBSTITUTE(SUBSTITUTE(SUBSTITUTE(Y111,"-",""),"(",""),")","")</f>
        <v>4708369121</v>
      </c>
      <c r="AI111" s="184" t="str">
        <f aca="false">IFERROR(VLOOKUP(AH111,#REF!,3,FALSE()),"")</f>
        <v/>
      </c>
    </row>
    <row r="112" customFormat="false" ht="12.75" hidden="false" customHeight="true" outlineLevel="0" collapsed="false">
      <c r="A112" s="162" t="s">
        <v>683</v>
      </c>
      <c r="B112" s="163" t="n">
        <v>110</v>
      </c>
      <c r="C112" s="163" t="s">
        <v>150</v>
      </c>
      <c r="D112" s="163" t="s">
        <v>684</v>
      </c>
      <c r="E112" s="163" t="s">
        <v>685</v>
      </c>
      <c r="F112" s="162" t="s">
        <v>683</v>
      </c>
      <c r="G112" s="116" t="s">
        <v>686</v>
      </c>
      <c r="H112" s="116"/>
      <c r="I112" s="116"/>
      <c r="J112" s="116"/>
      <c r="K112" s="116"/>
      <c r="L112" s="116"/>
      <c r="M112" s="116"/>
      <c r="N112" s="164"/>
      <c r="O112" s="163"/>
      <c r="P112" s="164"/>
      <c r="Q112" s="164"/>
      <c r="R112" s="164" t="n">
        <v>45052</v>
      </c>
      <c r="S112" s="162" t="s">
        <v>49</v>
      </c>
      <c r="T112" s="165"/>
      <c r="U112" s="166"/>
      <c r="V112" s="166"/>
      <c r="W112" s="116"/>
      <c r="X112" s="116"/>
      <c r="Y112" s="162" t="s">
        <v>683</v>
      </c>
      <c r="Z112" s="162" t="s">
        <v>686</v>
      </c>
      <c r="AA112" s="168" t="str">
        <f aca="false">VLOOKUP(Y112,20230302Data!A:K,2,FALSE())</f>
        <v>小2－3</v>
      </c>
      <c r="AB112" s="168" t="str">
        <f aca="false">VLOOKUP(Y112,20230302Data!A:K,3,FALSE())</f>
        <v>大西 芽生</v>
      </c>
      <c r="AC112" s="169" t="str">
        <f aca="false">VLOOKUP(Y112,20230302Data!A:K,4,FALSE())</f>
        <v>純</v>
      </c>
      <c r="AD112" s="169" t="n">
        <f aca="false">VLOOKUP(Y112,20230302Data!A:K,6,FALSE())</f>
        <v>0</v>
      </c>
      <c r="AE112" s="169" t="n">
        <f aca="false">VLOOKUP(Y112,20230302Data!A:K,7,FALSE())</f>
        <v>0</v>
      </c>
      <c r="AF112" s="169" t="n">
        <f aca="false">VLOOKUP(Y112,20230302Data!A:K,8,FALSE())</f>
        <v>0</v>
      </c>
      <c r="AG112" s="169" t="n">
        <f aca="false">VLOOKUP(Y112,20230302Data!A:K,9,FALSE())</f>
        <v>0</v>
      </c>
      <c r="AH112" s="169" t="str">
        <f aca="false">SUBSTITUTE(SUBSTITUTE(SUBSTITUTE(Y112,"-",""),"(",""),")","")</f>
        <v>7815520458</v>
      </c>
      <c r="AI112" s="169" t="str">
        <f aca="false">IFERROR(VLOOKUP(AH112,#REF!,3,FALSE()),"")</f>
        <v/>
      </c>
    </row>
    <row r="113" customFormat="false" ht="12.75" hidden="false" customHeight="true" outlineLevel="0" collapsed="false">
      <c r="A113" s="162" t="s">
        <v>687</v>
      </c>
      <c r="B113" s="163" t="n">
        <v>111</v>
      </c>
      <c r="C113" s="163" t="s">
        <v>150</v>
      </c>
      <c r="D113" s="163" t="s">
        <v>688</v>
      </c>
      <c r="E113" s="163" t="s">
        <v>689</v>
      </c>
      <c r="F113" s="162" t="s">
        <v>687</v>
      </c>
      <c r="G113" s="116" t="s">
        <v>690</v>
      </c>
      <c r="H113" s="163" t="s">
        <v>114</v>
      </c>
      <c r="I113" s="163" t="s">
        <v>691</v>
      </c>
      <c r="J113" s="163" t="s">
        <v>286</v>
      </c>
      <c r="K113" s="163" t="s">
        <v>692</v>
      </c>
      <c r="L113" s="163"/>
      <c r="M113" s="163"/>
      <c r="N113" s="164"/>
      <c r="O113" s="164"/>
      <c r="P113" s="164" t="n">
        <v>45038</v>
      </c>
      <c r="Q113" s="162" t="s">
        <v>32</v>
      </c>
      <c r="R113" s="164"/>
      <c r="S113" s="164"/>
      <c r="T113" s="165"/>
      <c r="U113" s="219"/>
      <c r="V113" s="219" t="n">
        <v>45073</v>
      </c>
      <c r="W113" s="163"/>
      <c r="X113" s="163" t="s">
        <v>693</v>
      </c>
      <c r="Y113" s="162" t="s">
        <v>687</v>
      </c>
      <c r="Z113" s="162" t="s">
        <v>690</v>
      </c>
      <c r="AA113" s="168" t="str">
        <f aca="false">VLOOKUP(Y113,20230302Data!A:K,2,FALSE())</f>
        <v>小2－3</v>
      </c>
      <c r="AB113" s="168" t="str">
        <f aca="false">VLOOKUP(Y113,20230302Data!A:K,3,FALSE())</f>
        <v>難波 寿羽</v>
      </c>
      <c r="AC113" s="169" t="str">
        <f aca="false">VLOOKUP(Y113,20230302Data!A:K,4,FALSE())</f>
        <v>孝洋</v>
      </c>
      <c r="AD113" s="169" t="str">
        <f aca="false">VLOOKUP(Y113,20230302Data!A:K,6,FALSE())</f>
        <v>小2－2</v>
      </c>
      <c r="AE113" s="169" t="str">
        <f aca="false">VLOOKUP(Y113,20230302Data!A:K,7,FALSE())</f>
        <v>難波 香羽</v>
      </c>
      <c r="AF113" s="169" t="str">
        <f aca="false">VLOOKUP(Y113,20230302Data!A:K,8,FALSE())</f>
        <v>小5－2</v>
      </c>
      <c r="AG113" s="169" t="str">
        <f aca="false">VLOOKUP(Y113,20230302Data!A:K,9,FALSE())</f>
        <v>難波 孝太朗</v>
      </c>
      <c r="AH113" s="169" t="str">
        <f aca="false">SUBSTITUTE(SUBSTITUTE(SUBSTITUTE(Y113,"-",""),"(",""),")","")</f>
        <v>4042728018</v>
      </c>
      <c r="AI113" s="169" t="str">
        <f aca="false">IFERROR(VLOOKUP(AH113,#REF!,3,FALSE()),"")</f>
        <v/>
      </c>
    </row>
    <row r="114" customFormat="false" ht="12.75" hidden="false" customHeight="true" outlineLevel="0" collapsed="false">
      <c r="A114" s="170" t="s">
        <v>694</v>
      </c>
      <c r="B114" s="171" t="n">
        <v>112</v>
      </c>
      <c r="C114" s="171" t="s">
        <v>150</v>
      </c>
      <c r="D114" s="171" t="s">
        <v>695</v>
      </c>
      <c r="E114" s="171" t="s">
        <v>672</v>
      </c>
      <c r="F114" s="170" t="s">
        <v>694</v>
      </c>
      <c r="G114" s="111" t="s">
        <v>696</v>
      </c>
      <c r="H114" s="171" t="s">
        <v>183</v>
      </c>
      <c r="I114" s="171" t="s">
        <v>697</v>
      </c>
      <c r="J114" s="111"/>
      <c r="K114" s="111"/>
      <c r="L114" s="111"/>
      <c r="M114" s="111"/>
      <c r="N114" s="172"/>
      <c r="O114" s="172"/>
      <c r="P114" s="172"/>
      <c r="Q114" s="171"/>
      <c r="R114" s="155"/>
      <c r="S114" s="155"/>
      <c r="T114" s="173"/>
      <c r="U114" s="174"/>
      <c r="V114" s="174"/>
      <c r="W114" s="171" t="s">
        <v>152</v>
      </c>
      <c r="X114" s="111"/>
      <c r="Y114" s="170" t="s">
        <v>694</v>
      </c>
      <c r="Z114" s="170" t="s">
        <v>696</v>
      </c>
      <c r="AA114" s="175" t="str">
        <f aca="false">VLOOKUP(Y114,20230302Data!A:K,2,FALSE())</f>
        <v>小2－3</v>
      </c>
      <c r="AB114" s="175" t="str">
        <f aca="false">VLOOKUP(Y114,20230302Data!A:K,3,FALSE())</f>
        <v>山中 萌衣</v>
      </c>
      <c r="AC114" s="176" t="str">
        <f aca="false">VLOOKUP(Y114,20230302Data!A:K,4,FALSE())</f>
        <v>尚</v>
      </c>
      <c r="AD114" s="176" t="str">
        <f aca="false">VLOOKUP(Y114,20230302Data!A:K,6,FALSE())</f>
        <v>小3－2</v>
      </c>
      <c r="AE114" s="176" t="str">
        <f aca="false">VLOOKUP(Y114,20230302Data!A:K,7,FALSE())</f>
        <v>山中 嵩</v>
      </c>
      <c r="AF114" s="176" t="n">
        <f aca="false">VLOOKUP(Y114,20230302Data!A:K,8,FALSE())</f>
        <v>0</v>
      </c>
      <c r="AG114" s="176" t="n">
        <f aca="false">VLOOKUP(Y114,20230302Data!A:K,9,FALSE())</f>
        <v>0</v>
      </c>
      <c r="AH114" s="176" t="str">
        <f aca="false">SUBSTITUTE(SUBSTITUTE(SUBSTITUTE(Y114,"-",""),"(",""),")","")</f>
        <v>4042459767</v>
      </c>
      <c r="AI114" s="176" t="str">
        <f aca="false">IFERROR(VLOOKUP(AH114,#REF!,3,FALSE()),"")</f>
        <v/>
      </c>
    </row>
    <row r="115" customFormat="false" ht="12.75" hidden="false" customHeight="true" outlineLevel="0" collapsed="false">
      <c r="A115" s="170" t="s">
        <v>698</v>
      </c>
      <c r="B115" s="171" t="n">
        <v>113</v>
      </c>
      <c r="C115" s="171" t="s">
        <v>150</v>
      </c>
      <c r="D115" s="171" t="s">
        <v>699</v>
      </c>
      <c r="E115" s="171" t="s">
        <v>599</v>
      </c>
      <c r="F115" s="170" t="s">
        <v>698</v>
      </c>
      <c r="G115" s="111" t="s">
        <v>700</v>
      </c>
      <c r="H115" s="171" t="s">
        <v>418</v>
      </c>
      <c r="I115" s="171" t="s">
        <v>701</v>
      </c>
      <c r="J115" s="171" t="s">
        <v>215</v>
      </c>
      <c r="K115" s="193" t="s">
        <v>702</v>
      </c>
      <c r="L115" s="193"/>
      <c r="M115" s="111"/>
      <c r="N115" s="171"/>
      <c r="O115" s="171"/>
      <c r="P115" s="172"/>
      <c r="Q115" s="171"/>
      <c r="R115" s="186"/>
      <c r="S115" s="186"/>
      <c r="T115" s="234"/>
      <c r="U115" s="174" t="n">
        <v>44674</v>
      </c>
      <c r="V115" s="174"/>
      <c r="W115" s="193" t="s">
        <v>152</v>
      </c>
      <c r="X115" s="111"/>
      <c r="Y115" s="170" t="s">
        <v>698</v>
      </c>
      <c r="Z115" s="170" t="s">
        <v>700</v>
      </c>
      <c r="AA115" s="175" t="str">
        <f aca="false">VLOOKUP(Y115,20230302Data!A:K,2,FALSE())</f>
        <v>小2－3</v>
      </c>
      <c r="AB115" s="175" t="str">
        <f aca="false">VLOOKUP(Y115,20230302Data!A:K,3,FALSE())</f>
        <v>佐久間 一嘉</v>
      </c>
      <c r="AC115" s="176" t="str">
        <f aca="false">VLOOKUP(Y115,20230302Data!A:K,4,FALSE())</f>
        <v>弘樹</v>
      </c>
      <c r="AD115" s="176" t="str">
        <f aca="false">VLOOKUP(Y115,20230302Data!A:K,6,FALSE())</f>
        <v>小6－2</v>
      </c>
      <c r="AE115" s="176" t="str">
        <f aca="false">VLOOKUP(Y115,20230302Data!A:K,7,FALSE())</f>
        <v>佐久間 瑛心</v>
      </c>
      <c r="AF115" s="176" t="str">
        <f aca="false">VLOOKUP(Y115,20230302Data!A:K,8,FALSE())</f>
        <v>中2－1</v>
      </c>
      <c r="AG115" s="176" t="str">
        <f aca="false">VLOOKUP(Y115,20230302Data!A:K,9,FALSE())</f>
        <v>佐久間 千智</v>
      </c>
      <c r="AH115" s="176" t="str">
        <f aca="false">SUBSTITUTE(SUBSTITUTE(SUBSTITUTE(Y115,"-",""),"(",""),")","")</f>
        <v>4708835900</v>
      </c>
      <c r="AI115" s="176" t="str">
        <f aca="false">IFERROR(VLOOKUP(AH115,#REF!,3,FALSE()),"")</f>
        <v/>
      </c>
    </row>
    <row r="116" customFormat="false" ht="12.75" hidden="false" customHeight="true" outlineLevel="0" collapsed="false">
      <c r="A116" s="162" t="s">
        <v>703</v>
      </c>
      <c r="B116" s="163" t="n">
        <v>114</v>
      </c>
      <c r="C116" s="163" t="s">
        <v>150</v>
      </c>
      <c r="D116" s="163" t="s">
        <v>704</v>
      </c>
      <c r="E116" s="163" t="s">
        <v>705</v>
      </c>
      <c r="F116" s="162" t="s">
        <v>703</v>
      </c>
      <c r="G116" s="116" t="s">
        <v>706</v>
      </c>
      <c r="H116" s="163"/>
      <c r="I116" s="163"/>
      <c r="J116" s="163"/>
      <c r="K116" s="116"/>
      <c r="L116" s="116"/>
      <c r="M116" s="116"/>
      <c r="N116" s="163"/>
      <c r="O116" s="163"/>
      <c r="P116" s="164"/>
      <c r="Q116" s="163"/>
      <c r="R116" s="164"/>
      <c r="S116" s="164"/>
      <c r="T116" s="235"/>
      <c r="U116" s="166" t="n">
        <v>44779</v>
      </c>
      <c r="V116" s="166"/>
      <c r="W116" s="116"/>
      <c r="X116" s="116"/>
      <c r="Y116" s="162" t="s">
        <v>703</v>
      </c>
      <c r="Z116" s="163"/>
      <c r="AA116" s="168" t="str">
        <f aca="false">VLOOKUP(Y116,20230302Data!A:K,2,FALSE())</f>
        <v>小2－3</v>
      </c>
      <c r="AB116" s="168" t="str">
        <f aca="false">VLOOKUP(Y116,20230302Data!A:K,3,FALSE())</f>
        <v>黒岩 和真</v>
      </c>
      <c r="AC116" s="169" t="str">
        <f aca="false">VLOOKUP(Y116,20230302Data!A:K,4,FALSE())</f>
        <v>洋佑</v>
      </c>
      <c r="AD116" s="169" t="n">
        <f aca="false">VLOOKUP(Y116,20230302Data!A:K,6,FALSE())</f>
        <v>0</v>
      </c>
      <c r="AE116" s="169" t="n">
        <f aca="false">VLOOKUP(Y116,20230302Data!A:K,7,FALSE())</f>
        <v>0</v>
      </c>
      <c r="AF116" s="169" t="n">
        <f aca="false">VLOOKUP(Y116,20230302Data!A:K,8,FALSE())</f>
        <v>0</v>
      </c>
      <c r="AG116" s="169" t="n">
        <f aca="false">VLOOKUP(Y116,20230302Data!A:K,9,FALSE())</f>
        <v>0</v>
      </c>
      <c r="AH116" s="169" t="str">
        <f aca="false">SUBSTITUTE(SUBSTITUTE(SUBSTITUTE(Y116,"-",""),"(",""),")","")</f>
        <v>4706278145</v>
      </c>
      <c r="AI116" s="169" t="str">
        <f aca="false">IFERROR(VLOOKUP(AH116,#REF!,3,FALSE()),"")</f>
        <v/>
      </c>
    </row>
    <row r="117" customFormat="false" ht="12.75" hidden="false" customHeight="true" outlineLevel="0" collapsed="false">
      <c r="A117" s="111" t="s">
        <v>707</v>
      </c>
      <c r="B117" s="171" t="n">
        <v>115</v>
      </c>
      <c r="C117" s="171" t="s">
        <v>150</v>
      </c>
      <c r="D117" s="171" t="s">
        <v>708</v>
      </c>
      <c r="E117" s="171" t="s">
        <v>709</v>
      </c>
      <c r="F117" s="175" t="s">
        <v>707</v>
      </c>
      <c r="G117" s="111" t="s">
        <v>710</v>
      </c>
      <c r="H117" s="171" t="s">
        <v>418</v>
      </c>
      <c r="I117" s="171" t="s">
        <v>711</v>
      </c>
      <c r="J117" s="171"/>
      <c r="K117" s="111"/>
      <c r="L117" s="111"/>
      <c r="M117" s="111"/>
      <c r="N117" s="171"/>
      <c r="O117" s="171"/>
      <c r="P117" s="172"/>
      <c r="Q117" s="171"/>
      <c r="R117" s="155"/>
      <c r="S117" s="155"/>
      <c r="T117" s="234"/>
      <c r="U117" s="236" t="n">
        <v>44793</v>
      </c>
      <c r="V117" s="174"/>
      <c r="W117" s="193" t="s">
        <v>152</v>
      </c>
      <c r="X117" s="111"/>
      <c r="Y117" s="111" t="s">
        <v>707</v>
      </c>
      <c r="Z117" s="171"/>
      <c r="AA117" s="175" t="str">
        <f aca="false">VLOOKUP(Y117,20230302Data!A:K,2,FALSE())</f>
        <v>小2－3</v>
      </c>
      <c r="AB117" s="175" t="str">
        <f aca="false">VLOOKUP(Y117,20230302Data!A:K,3,FALSE())</f>
        <v>鈴木 可偉</v>
      </c>
      <c r="AC117" s="176" t="str">
        <f aca="false">VLOOKUP(Y117,20230302Data!A:K,4,FALSE())</f>
        <v>篤士</v>
      </c>
      <c r="AD117" s="176" t="str">
        <f aca="false">VLOOKUP(Y117,20230302Data!A:K,6,FALSE())</f>
        <v>小6－2</v>
      </c>
      <c r="AE117" s="176" t="str">
        <f aca="false">VLOOKUP(Y117,20230302Data!A:K,7,FALSE())</f>
        <v>鈴木 莉央</v>
      </c>
      <c r="AF117" s="176" t="n">
        <f aca="false">VLOOKUP(Y117,20230302Data!A:K,8,FALSE())</f>
        <v>0</v>
      </c>
      <c r="AG117" s="176" t="n">
        <f aca="false">VLOOKUP(Y117,20230302Data!A:K,9,FALSE())</f>
        <v>0</v>
      </c>
      <c r="AH117" s="176" t="str">
        <f aca="false">SUBSTITUTE(SUBSTITUTE(SUBSTITUTE(Y117,"-",""),"(",""),")","")</f>
        <v>7708662376</v>
      </c>
      <c r="AI117" s="176" t="str">
        <f aca="false">IFERROR(VLOOKUP(AH117,#REF!,3,FALSE()),"")</f>
        <v/>
      </c>
    </row>
    <row r="118" customFormat="false" ht="12.75" hidden="false" customHeight="true" outlineLevel="0" collapsed="false">
      <c r="A118" s="111" t="s">
        <v>712</v>
      </c>
      <c r="B118" s="171" t="n">
        <v>116</v>
      </c>
      <c r="C118" s="193" t="s">
        <v>713</v>
      </c>
      <c r="D118" s="193" t="s">
        <v>714</v>
      </c>
      <c r="E118" s="193" t="s">
        <v>715</v>
      </c>
      <c r="F118" s="111" t="s">
        <v>712</v>
      </c>
      <c r="G118" s="111" t="s">
        <v>716</v>
      </c>
      <c r="H118" s="111"/>
      <c r="I118" s="111"/>
      <c r="J118" s="111"/>
      <c r="K118" s="111"/>
      <c r="L118" s="111"/>
      <c r="M118" s="111"/>
      <c r="N118" s="171"/>
      <c r="O118" s="171"/>
      <c r="P118" s="171"/>
      <c r="Q118" s="171"/>
      <c r="R118" s="155"/>
      <c r="S118" s="186"/>
      <c r="T118" s="111"/>
      <c r="U118" s="174" t="n">
        <v>44835</v>
      </c>
      <c r="V118" s="174"/>
      <c r="W118" s="193" t="s">
        <v>33</v>
      </c>
      <c r="X118" s="111"/>
      <c r="Y118" s="111" t="s">
        <v>712</v>
      </c>
      <c r="Z118" s="111"/>
      <c r="AA118" s="175" t="str">
        <f aca="false">VLOOKUP(Y118,20230302Data!A:K,2,FALSE())</f>
        <v>小2－3</v>
      </c>
      <c r="AB118" s="175" t="str">
        <f aca="false">VLOOKUP(Y118,20230302Data!A:K,3,FALSE())</f>
        <v>日尾野 美桜</v>
      </c>
      <c r="AC118" s="176" t="str">
        <f aca="false">VLOOKUP(Y118,20230302Data!A:K,4,FALSE())</f>
        <v>誠</v>
      </c>
      <c r="AD118" s="176" t="n">
        <f aca="false">VLOOKUP(Y118,20230302Data!A:K,6,FALSE())</f>
        <v>0</v>
      </c>
      <c r="AE118" s="176" t="n">
        <f aca="false">VLOOKUP(Y118,20230302Data!A:K,7,FALSE())</f>
        <v>0</v>
      </c>
      <c r="AF118" s="176" t="n">
        <f aca="false">VLOOKUP(Y118,20230302Data!A:K,8,FALSE())</f>
        <v>0</v>
      </c>
      <c r="AG118" s="176" t="n">
        <f aca="false">VLOOKUP(Y118,20230302Data!A:K,9,FALSE())</f>
        <v>0</v>
      </c>
      <c r="AH118" s="176" t="str">
        <f aca="false">SUBSTITUTE(SUBSTITUTE(SUBSTITUTE(Y118,"-",""),"(",""),")","")</f>
        <v>4709540038</v>
      </c>
      <c r="AI118" s="176" t="str">
        <f aca="false">IFERROR(VLOOKUP(AH118,#REF!,3,FALSE()),"")</f>
        <v/>
      </c>
    </row>
    <row r="119" customFormat="false" ht="12.75" hidden="false" customHeight="true" outlineLevel="0" collapsed="false">
      <c r="A119" s="151" t="s">
        <v>717</v>
      </c>
      <c r="B119" s="152" t="n">
        <v>117</v>
      </c>
      <c r="C119" s="152" t="s">
        <v>101</v>
      </c>
      <c r="D119" s="152" t="s">
        <v>718</v>
      </c>
      <c r="E119" s="151" t="s">
        <v>719</v>
      </c>
      <c r="F119" s="151" t="s">
        <v>717</v>
      </c>
      <c r="G119" s="153" t="s">
        <v>720</v>
      </c>
      <c r="H119" s="152" t="s">
        <v>286</v>
      </c>
      <c r="I119" s="152" t="s">
        <v>721</v>
      </c>
      <c r="J119" s="153"/>
      <c r="K119" s="153"/>
      <c r="L119" s="153"/>
      <c r="M119" s="153"/>
      <c r="N119" s="154" t="n">
        <v>45031</v>
      </c>
      <c r="O119" s="151" t="s">
        <v>67</v>
      </c>
      <c r="P119" s="155"/>
      <c r="Q119" s="155"/>
      <c r="R119" s="154"/>
      <c r="S119" s="154"/>
      <c r="T119" s="156"/>
      <c r="U119" s="157"/>
      <c r="V119" s="157"/>
      <c r="W119" s="152" t="s">
        <v>103</v>
      </c>
      <c r="X119" s="158" t="s">
        <v>722</v>
      </c>
      <c r="Y119" s="151" t="s">
        <v>717</v>
      </c>
      <c r="Z119" s="159" t="s">
        <v>720</v>
      </c>
      <c r="AA119" s="160" t="str">
        <f aca="false">VLOOKUP(Y119,20230302Data!A:K,2,FALSE())</f>
        <v>小3－1</v>
      </c>
      <c r="AB119" s="160" t="str">
        <f aca="false">VLOOKUP(Y119,20230302Data!A:K,3,FALSE())</f>
        <v>パニシバタナ 憲汰</v>
      </c>
      <c r="AC119" s="161" t="str">
        <f aca="false">VLOOKUP(Y119,20230302Data!A:K,4,FALSE())</f>
        <v>AEK</v>
      </c>
      <c r="AD119" s="161" t="str">
        <f aca="false">VLOOKUP(Y119,20230302Data!A:K,6,FALSE())</f>
        <v>小5－2</v>
      </c>
      <c r="AE119" s="161" t="str">
        <f aca="false">VLOOKUP(Y119,20230302Data!A:K,7,FALSE())</f>
        <v>パニシバタナ 果憐</v>
      </c>
      <c r="AF119" s="161" t="n">
        <f aca="false">VLOOKUP(Y119,20230302Data!A:K,8,FALSE())</f>
        <v>0</v>
      </c>
      <c r="AG119" s="161" t="n">
        <f aca="false">VLOOKUP(Y119,20230302Data!A:K,9,FALSE())</f>
        <v>0</v>
      </c>
      <c r="AH119" s="161" t="str">
        <f aca="false">SUBSTITUTE(SUBSTITUTE(SUBSTITUTE(Y119,"-",""),"(",""),")","")</f>
        <v>4047971975</v>
      </c>
      <c r="AI119" s="161" t="str">
        <f aca="false">IFERROR(VLOOKUP(AH119,#REF!,3,FALSE()),"")</f>
        <v/>
      </c>
    </row>
    <row r="120" customFormat="false" ht="12.75" hidden="false" customHeight="true" outlineLevel="0" collapsed="false">
      <c r="A120" s="185" t="s">
        <v>723</v>
      </c>
      <c r="B120" s="186" t="n">
        <v>118</v>
      </c>
      <c r="C120" s="186" t="s">
        <v>101</v>
      </c>
      <c r="D120" s="186" t="s">
        <v>724</v>
      </c>
      <c r="E120" s="186" t="s">
        <v>725</v>
      </c>
      <c r="F120" s="185" t="s">
        <v>723</v>
      </c>
      <c r="G120" s="187" t="s">
        <v>726</v>
      </c>
      <c r="H120" s="186"/>
      <c r="I120" s="186"/>
      <c r="J120" s="186"/>
      <c r="K120" s="186"/>
      <c r="L120" s="237"/>
      <c r="M120" s="186"/>
      <c r="N120" s="155"/>
      <c r="O120" s="186"/>
      <c r="P120" s="155"/>
      <c r="Q120" s="155"/>
      <c r="R120" s="155"/>
      <c r="S120" s="155"/>
      <c r="T120" s="188"/>
      <c r="U120" s="189"/>
      <c r="V120" s="189"/>
      <c r="W120" s="186" t="s">
        <v>55</v>
      </c>
      <c r="X120" s="186"/>
      <c r="Y120" s="185" t="s">
        <v>723</v>
      </c>
      <c r="Z120" s="190" t="s">
        <v>726</v>
      </c>
      <c r="AA120" s="190" t="str">
        <f aca="false">VLOOKUP(Y120,20230302Data!A:K,2,FALSE())</f>
        <v>小3－1</v>
      </c>
      <c r="AB120" s="190" t="str">
        <f aca="false">VLOOKUP(Y120,20230302Data!A:K,3,FALSE())</f>
        <v>菊地 正光</v>
      </c>
      <c r="AC120" s="191" t="str">
        <f aca="false">VLOOKUP(Y120,20230302Data!A:K,4,FALSE())</f>
        <v>光伸</v>
      </c>
      <c r="AD120" s="191" t="n">
        <f aca="false">VLOOKUP(Y120,20230302Data!A:K,6,FALSE())</f>
        <v>0</v>
      </c>
      <c r="AE120" s="191" t="n">
        <f aca="false">VLOOKUP(Y120,20230302Data!A:K,7,FALSE())</f>
        <v>0</v>
      </c>
      <c r="AF120" s="191" t="n">
        <f aca="false">VLOOKUP(Y120,20230302Data!A:K,8,FALSE())</f>
        <v>0</v>
      </c>
      <c r="AG120" s="191" t="n">
        <f aca="false">VLOOKUP(Y120,20230302Data!A:K,9,FALSE())</f>
        <v>0</v>
      </c>
      <c r="AH120" s="191" t="str">
        <f aca="false">SUBSTITUTE(SUBSTITUTE(SUBSTITUTE(Y120,"-",""),"(",""),")","")</f>
        <v>4703281225</v>
      </c>
      <c r="AI120" s="191" t="str">
        <f aca="false">IFERROR(VLOOKUP(AH120,#REF!,3,FALSE()),"")</f>
        <v/>
      </c>
    </row>
    <row r="121" customFormat="false" ht="12.75" hidden="false" customHeight="true" outlineLevel="0" collapsed="false">
      <c r="A121" s="162" t="s">
        <v>727</v>
      </c>
      <c r="B121" s="163" t="n">
        <v>119</v>
      </c>
      <c r="C121" s="163" t="s">
        <v>101</v>
      </c>
      <c r="D121" s="163" t="s">
        <v>728</v>
      </c>
      <c r="E121" s="163" t="s">
        <v>729</v>
      </c>
      <c r="F121" s="162" t="s">
        <v>727</v>
      </c>
      <c r="G121" s="211" t="s">
        <v>730</v>
      </c>
      <c r="H121" s="116"/>
      <c r="I121" s="116"/>
      <c r="J121" s="116"/>
      <c r="K121" s="116"/>
      <c r="L121" s="116"/>
      <c r="M121" s="116"/>
      <c r="N121" s="164"/>
      <c r="O121" s="164"/>
      <c r="P121" s="164"/>
      <c r="Q121" s="164"/>
      <c r="R121" s="164"/>
      <c r="S121" s="163"/>
      <c r="T121" s="165"/>
      <c r="U121" s="166"/>
      <c r="V121" s="166"/>
      <c r="W121" s="116"/>
      <c r="X121" s="116"/>
      <c r="Y121" s="162" t="s">
        <v>727</v>
      </c>
      <c r="Z121" s="167" t="s">
        <v>731</v>
      </c>
      <c r="AA121" s="168" t="str">
        <f aca="false">VLOOKUP(Y121,20230302Data!A:K,2,FALSE())</f>
        <v>小3－1</v>
      </c>
      <c r="AB121" s="168" t="str">
        <f aca="false">VLOOKUP(Y121,20230302Data!A:K,3,FALSE())</f>
        <v>藤沢 怜生</v>
      </c>
      <c r="AC121" s="169" t="str">
        <f aca="false">VLOOKUP(Y121,20230302Data!A:K,4,FALSE())</f>
        <v>達也</v>
      </c>
      <c r="AD121" s="169" t="n">
        <f aca="false">VLOOKUP(Y121,20230302Data!A:K,6,FALSE())</f>
        <v>0</v>
      </c>
      <c r="AE121" s="169" t="n">
        <f aca="false">VLOOKUP(Y121,20230302Data!A:K,7,FALSE())</f>
        <v>0</v>
      </c>
      <c r="AF121" s="169" t="n">
        <f aca="false">VLOOKUP(Y121,20230302Data!A:K,8,FALSE())</f>
        <v>0</v>
      </c>
      <c r="AG121" s="169" t="n">
        <f aca="false">VLOOKUP(Y121,20230302Data!A:K,9,FALSE())</f>
        <v>0</v>
      </c>
      <c r="AH121" s="169" t="str">
        <f aca="false">SUBSTITUTE(SUBSTITUTE(SUBSTITUTE(Y121,"-",""),"(",""),")","")</f>
        <v>6784887692</v>
      </c>
      <c r="AI121" s="169" t="str">
        <f aca="false">IFERROR(VLOOKUP(AH121,#REF!,3,FALSE()),"")</f>
        <v/>
      </c>
    </row>
    <row r="122" customFormat="false" ht="12.75" hidden="false" customHeight="true" outlineLevel="0" collapsed="false">
      <c r="A122" s="170" t="s">
        <v>732</v>
      </c>
      <c r="B122" s="171" t="n">
        <v>120</v>
      </c>
      <c r="C122" s="171" t="s">
        <v>101</v>
      </c>
      <c r="D122" s="171" t="s">
        <v>733</v>
      </c>
      <c r="E122" s="171" t="s">
        <v>734</v>
      </c>
      <c r="F122" s="170" t="s">
        <v>732</v>
      </c>
      <c r="G122" s="111" t="s">
        <v>735</v>
      </c>
      <c r="H122" s="171" t="s">
        <v>215</v>
      </c>
      <c r="I122" s="171" t="s">
        <v>736</v>
      </c>
      <c r="J122" s="171"/>
      <c r="K122" s="171"/>
      <c r="L122" s="171"/>
      <c r="M122" s="171"/>
      <c r="N122" s="172"/>
      <c r="O122" s="172"/>
      <c r="P122" s="172"/>
      <c r="Q122" s="172"/>
      <c r="R122" s="186"/>
      <c r="S122" s="155"/>
      <c r="T122" s="173"/>
      <c r="U122" s="195"/>
      <c r="V122" s="195"/>
      <c r="W122" s="171" t="s">
        <v>152</v>
      </c>
      <c r="X122" s="171" t="s">
        <v>346</v>
      </c>
      <c r="Y122" s="170" t="s">
        <v>732</v>
      </c>
      <c r="Z122" s="175" t="s">
        <v>735</v>
      </c>
      <c r="AA122" s="175" t="str">
        <f aca="false">VLOOKUP(Y122,20230302Data!A:K,2,FALSE())</f>
        <v>小3－1</v>
      </c>
      <c r="AB122" s="175" t="str">
        <f aca="false">VLOOKUP(Y122,20230302Data!A:K,3,FALSE())</f>
        <v>矢島 敬士</v>
      </c>
      <c r="AC122" s="176" t="str">
        <f aca="false">VLOOKUP(Y122,20230302Data!A:K,4,FALSE())</f>
        <v>敬朗</v>
      </c>
      <c r="AD122" s="176" t="str">
        <f aca="false">VLOOKUP(Y122,20230302Data!A:K,6,FALSE())</f>
        <v>中2－1</v>
      </c>
      <c r="AE122" s="176" t="str">
        <f aca="false">VLOOKUP(Y122,20230302Data!A:K,7,FALSE())</f>
        <v>矢島 真理恵</v>
      </c>
      <c r="AF122" s="176" t="n">
        <f aca="false">VLOOKUP(Y122,20230302Data!A:K,8,FALSE())</f>
        <v>0</v>
      </c>
      <c r="AG122" s="176" t="n">
        <f aca="false">VLOOKUP(Y122,20230302Data!A:K,9,FALSE())</f>
        <v>0</v>
      </c>
      <c r="AH122" s="176" t="str">
        <f aca="false">SUBSTITUTE(SUBSTITUTE(SUBSTITUTE(Y122,"-",""),"(",""),")","")</f>
        <v>7577532303</v>
      </c>
      <c r="AI122" s="176" t="str">
        <f aca="false">IFERROR(VLOOKUP(AH122,#REF!,3,FALSE()),"")</f>
        <v/>
      </c>
    </row>
    <row r="123" customFormat="false" ht="12.75" hidden="false" customHeight="true" outlineLevel="0" collapsed="false">
      <c r="A123" s="162" t="s">
        <v>737</v>
      </c>
      <c r="B123" s="163" t="n">
        <v>121</v>
      </c>
      <c r="C123" s="163" t="s">
        <v>101</v>
      </c>
      <c r="D123" s="163" t="s">
        <v>738</v>
      </c>
      <c r="E123" s="163" t="s">
        <v>739</v>
      </c>
      <c r="F123" s="162" t="s">
        <v>737</v>
      </c>
      <c r="G123" s="211" t="s">
        <v>740</v>
      </c>
      <c r="H123" s="116"/>
      <c r="I123" s="116"/>
      <c r="J123" s="116"/>
      <c r="K123" s="116"/>
      <c r="L123" s="116"/>
      <c r="M123" s="116"/>
      <c r="N123" s="164"/>
      <c r="O123" s="163"/>
      <c r="P123" s="164"/>
      <c r="Q123" s="164"/>
      <c r="R123" s="164"/>
      <c r="S123" s="163"/>
      <c r="T123" s="165"/>
      <c r="U123" s="166"/>
      <c r="V123" s="166"/>
      <c r="W123" s="116"/>
      <c r="X123" s="116"/>
      <c r="Y123" s="162" t="s">
        <v>737</v>
      </c>
      <c r="Z123" s="167" t="s">
        <v>741</v>
      </c>
      <c r="AA123" s="168" t="str">
        <f aca="false">VLOOKUP(Y123,20230302Data!A:K,2,FALSE())</f>
        <v>小3－1</v>
      </c>
      <c r="AB123" s="168" t="str">
        <f aca="false">VLOOKUP(Y123,20230302Data!A:K,3,FALSE())</f>
        <v>竹内 遥希</v>
      </c>
      <c r="AC123" s="169" t="str">
        <f aca="false">VLOOKUP(Y123,20230302Data!A:K,4,FALSE())</f>
        <v>裕喜</v>
      </c>
      <c r="AD123" s="169" t="n">
        <f aca="false">VLOOKUP(Y123,20230302Data!A:K,6,FALSE())</f>
        <v>0</v>
      </c>
      <c r="AE123" s="169" t="n">
        <f aca="false">VLOOKUP(Y123,20230302Data!A:K,7,FALSE())</f>
        <v>0</v>
      </c>
      <c r="AF123" s="169" t="n">
        <f aca="false">VLOOKUP(Y123,20230302Data!A:K,8,FALSE())</f>
        <v>0</v>
      </c>
      <c r="AG123" s="169" t="n">
        <f aca="false">VLOOKUP(Y123,20230302Data!A:K,9,FALSE())</f>
        <v>0</v>
      </c>
      <c r="AH123" s="169" t="str">
        <f aca="false">SUBSTITUTE(SUBSTITUTE(SUBSTITUTE(Y123,"-",""),"(",""),")","")</f>
        <v>4046952367</v>
      </c>
      <c r="AI123" s="169" t="str">
        <f aca="false">IFERROR(VLOOKUP(AH123,#REF!,3,FALSE()),"")</f>
        <v/>
      </c>
    </row>
    <row r="124" customFormat="false" ht="12.75" hidden="false" customHeight="true" outlineLevel="0" collapsed="false">
      <c r="A124" s="185" t="s">
        <v>742</v>
      </c>
      <c r="B124" s="186" t="n">
        <v>122</v>
      </c>
      <c r="C124" s="186" t="s">
        <v>101</v>
      </c>
      <c r="D124" s="186" t="s">
        <v>743</v>
      </c>
      <c r="E124" s="186" t="s">
        <v>744</v>
      </c>
      <c r="F124" s="185" t="s">
        <v>742</v>
      </c>
      <c r="G124" s="187" t="s">
        <v>745</v>
      </c>
      <c r="H124" s="187"/>
      <c r="I124" s="187"/>
      <c r="J124" s="187"/>
      <c r="K124" s="187"/>
      <c r="L124" s="238"/>
      <c r="M124" s="187"/>
      <c r="N124" s="155"/>
      <c r="O124" s="155"/>
      <c r="P124" s="155"/>
      <c r="Q124" s="186"/>
      <c r="R124" s="155"/>
      <c r="S124" s="155"/>
      <c r="T124" s="188"/>
      <c r="U124" s="199"/>
      <c r="V124" s="199"/>
      <c r="W124" s="186" t="s">
        <v>55</v>
      </c>
      <c r="X124" s="187"/>
      <c r="Y124" s="185" t="s">
        <v>742</v>
      </c>
      <c r="Z124" s="190" t="s">
        <v>745</v>
      </c>
      <c r="AA124" s="190" t="str">
        <f aca="false">VLOOKUP(Y124,20230302Data!A:K,2,FALSE())</f>
        <v>小3－1</v>
      </c>
      <c r="AB124" s="190" t="str">
        <f aca="false">VLOOKUP(Y124,20230302Data!A:K,3,FALSE())</f>
        <v>張 友和</v>
      </c>
      <c r="AC124" s="191" t="str">
        <f aca="false">VLOOKUP(Y124,20230302Data!A:K,4,FALSE())</f>
        <v>チーチェン</v>
      </c>
      <c r="AD124" s="191" t="n">
        <f aca="false">VLOOKUP(Y124,20230302Data!A:K,6,FALSE())</f>
        <v>0</v>
      </c>
      <c r="AE124" s="191" t="n">
        <f aca="false">VLOOKUP(Y124,20230302Data!A:K,7,FALSE())</f>
        <v>0</v>
      </c>
      <c r="AF124" s="191" t="n">
        <f aca="false">VLOOKUP(Y124,20230302Data!A:K,8,FALSE())</f>
        <v>0</v>
      </c>
      <c r="AG124" s="191" t="n">
        <f aca="false">VLOOKUP(Y124,20230302Data!A:K,9,FALSE())</f>
        <v>0</v>
      </c>
      <c r="AH124" s="191" t="str">
        <f aca="false">SUBSTITUTE(SUBSTITUTE(SUBSTITUTE(Y124,"-",""),"(",""),")","")</f>
        <v>4705803403</v>
      </c>
      <c r="AI124" s="191" t="str">
        <f aca="false">IFERROR(VLOOKUP(AH124,#REF!,3,FALSE()),"")</f>
        <v/>
      </c>
    </row>
    <row r="125" customFormat="false" ht="12.75" hidden="false" customHeight="true" outlineLevel="0" collapsed="false">
      <c r="A125" s="162" t="s">
        <v>746</v>
      </c>
      <c r="B125" s="163" t="n">
        <v>123</v>
      </c>
      <c r="C125" s="163" t="s">
        <v>101</v>
      </c>
      <c r="D125" s="163" t="s">
        <v>747</v>
      </c>
      <c r="E125" s="163" t="s">
        <v>748</v>
      </c>
      <c r="F125" s="162" t="s">
        <v>746</v>
      </c>
      <c r="G125" s="116" t="s">
        <v>749</v>
      </c>
      <c r="H125" s="163" t="s">
        <v>286</v>
      </c>
      <c r="I125" s="163" t="s">
        <v>750</v>
      </c>
      <c r="J125" s="116"/>
      <c r="K125" s="116"/>
      <c r="L125" s="116"/>
      <c r="M125" s="116"/>
      <c r="N125" s="164"/>
      <c r="O125" s="163"/>
      <c r="P125" s="164"/>
      <c r="Q125" s="164"/>
      <c r="R125" s="164"/>
      <c r="S125" s="164"/>
      <c r="T125" s="165"/>
      <c r="U125" s="166"/>
      <c r="V125" s="166"/>
      <c r="W125" s="116"/>
      <c r="X125" s="116"/>
      <c r="Y125" s="162" t="s">
        <v>746</v>
      </c>
      <c r="Z125" s="167" t="s">
        <v>749</v>
      </c>
      <c r="AA125" s="168" t="str">
        <f aca="false">VLOOKUP(Y125,20230302Data!A:K,2,FALSE())</f>
        <v>小3－1</v>
      </c>
      <c r="AB125" s="168" t="str">
        <f aca="false">VLOOKUP(Y125,20230302Data!A:K,3,FALSE())</f>
        <v>武藤 寛太朗</v>
      </c>
      <c r="AC125" s="169" t="str">
        <f aca="false">VLOOKUP(Y125,20230302Data!A:K,4,FALSE())</f>
        <v>庸平</v>
      </c>
      <c r="AD125" s="169" t="str">
        <f aca="false">VLOOKUP(Y125,20230302Data!A:K,6,FALSE())</f>
        <v>小5－2</v>
      </c>
      <c r="AE125" s="169" t="str">
        <f aca="false">VLOOKUP(Y125,20230302Data!A:K,7,FALSE())</f>
        <v>武藤 直太朗</v>
      </c>
      <c r="AF125" s="169" t="n">
        <f aca="false">VLOOKUP(Y125,20230302Data!A:K,8,FALSE())</f>
        <v>0</v>
      </c>
      <c r="AG125" s="169" t="n">
        <f aca="false">VLOOKUP(Y125,20230302Data!A:K,9,FALSE())</f>
        <v>0</v>
      </c>
      <c r="AH125" s="169" t="str">
        <f aca="false">SUBSTITUTE(SUBSTITUTE(SUBSTITUTE(Y125,"-",""),"(",""),")","")</f>
        <v>7702987551</v>
      </c>
      <c r="AI125" s="169" t="str">
        <f aca="false">IFERROR(VLOOKUP(AH125,#REF!,3,FALSE()),"")</f>
        <v/>
      </c>
    </row>
    <row r="126" customFormat="false" ht="12.75" hidden="false" customHeight="true" outlineLevel="0" collapsed="false">
      <c r="A126" s="222" t="s">
        <v>751</v>
      </c>
      <c r="B126" s="223" t="n">
        <v>124</v>
      </c>
      <c r="C126" s="223" t="s">
        <v>101</v>
      </c>
      <c r="D126" s="223" t="s">
        <v>752</v>
      </c>
      <c r="E126" s="223" t="s">
        <v>753</v>
      </c>
      <c r="F126" s="222" t="s">
        <v>751</v>
      </c>
      <c r="G126" s="224" t="s">
        <v>754</v>
      </c>
      <c r="H126" s="223" t="s">
        <v>286</v>
      </c>
      <c r="I126" s="223" t="s">
        <v>755</v>
      </c>
      <c r="J126" s="224"/>
      <c r="K126" s="224"/>
      <c r="L126" s="224"/>
      <c r="M126" s="224"/>
      <c r="N126" s="225"/>
      <c r="O126" s="223"/>
      <c r="P126" s="225"/>
      <c r="Q126" s="225"/>
      <c r="R126" s="225"/>
      <c r="S126" s="223"/>
      <c r="T126" s="226"/>
      <c r="U126" s="227"/>
      <c r="V126" s="227"/>
      <c r="W126" s="228" t="s">
        <v>510</v>
      </c>
      <c r="X126" s="224"/>
      <c r="Y126" s="222" t="s">
        <v>751</v>
      </c>
      <c r="Z126" s="229" t="s">
        <v>754</v>
      </c>
      <c r="AA126" s="228" t="str">
        <f aca="false">VLOOKUP(Y126,20230302Data!A:K,2,FALSE())</f>
        <v>小3－1</v>
      </c>
      <c r="AB126" s="228" t="str">
        <f aca="false">VLOOKUP(Y126,20230302Data!A:K,3,FALSE())</f>
        <v>朝西 美結</v>
      </c>
      <c r="AC126" s="230" t="str">
        <f aca="false">VLOOKUP(Y126,20230302Data!A:K,4,FALSE())</f>
        <v>英文</v>
      </c>
      <c r="AD126" s="230" t="str">
        <f aca="false">VLOOKUP(Y126,20230302Data!A:K,6,FALSE())</f>
        <v>小5－2</v>
      </c>
      <c r="AE126" s="230" t="str">
        <f aca="false">VLOOKUP(Y126,20230302Data!A:K,7,FALSE())</f>
        <v>朝西 崇文</v>
      </c>
      <c r="AF126" s="230" t="n">
        <f aca="false">VLOOKUP(Y126,20230302Data!A:K,8,FALSE())</f>
        <v>0</v>
      </c>
      <c r="AG126" s="230" t="n">
        <f aca="false">VLOOKUP(Y126,20230302Data!A:K,9,FALSE())</f>
        <v>0</v>
      </c>
      <c r="AH126" s="230" t="str">
        <f aca="false">SUBSTITUTE(SUBSTITUTE(SUBSTITUTE(Y126,"-",""),"(",""),")","")</f>
        <v>4704370780</v>
      </c>
      <c r="AI126" s="230" t="str">
        <f aca="false">IFERROR(VLOOKUP(AH126,#REF!,3,FALSE()),"")</f>
        <v/>
      </c>
    </row>
    <row r="127" customFormat="false" ht="12.75" hidden="false" customHeight="true" outlineLevel="0" collapsed="false">
      <c r="A127" s="162" t="s">
        <v>756</v>
      </c>
      <c r="B127" s="163" t="n">
        <v>125</v>
      </c>
      <c r="C127" s="163" t="s">
        <v>101</v>
      </c>
      <c r="D127" s="163" t="s">
        <v>757</v>
      </c>
      <c r="E127" s="163" t="s">
        <v>758</v>
      </c>
      <c r="F127" s="162" t="s">
        <v>756</v>
      </c>
      <c r="G127" s="116" t="s">
        <v>759</v>
      </c>
      <c r="H127" s="116"/>
      <c r="I127" s="116"/>
      <c r="J127" s="116"/>
      <c r="K127" s="116"/>
      <c r="L127" s="116"/>
      <c r="M127" s="116"/>
      <c r="N127" s="164"/>
      <c r="O127" s="164"/>
      <c r="P127" s="164" t="n">
        <v>45066</v>
      </c>
      <c r="Q127" s="162" t="s">
        <v>32</v>
      </c>
      <c r="R127" s="164"/>
      <c r="S127" s="164"/>
      <c r="T127" s="165"/>
      <c r="U127" s="166"/>
      <c r="V127" s="166"/>
      <c r="W127" s="116"/>
      <c r="X127" s="116"/>
      <c r="Y127" s="162" t="s">
        <v>756</v>
      </c>
      <c r="Z127" s="167" t="s">
        <v>759</v>
      </c>
      <c r="AA127" s="168" t="str">
        <f aca="false">VLOOKUP(Y127,20230302Data!A:K,2,FALSE())</f>
        <v>小3－1</v>
      </c>
      <c r="AB127" s="168" t="str">
        <f aca="false">VLOOKUP(Y127,20230302Data!A:K,3,FALSE())</f>
        <v>柳川 七愛</v>
      </c>
      <c r="AC127" s="169" t="str">
        <f aca="false">VLOOKUP(Y127,20230302Data!A:K,4,FALSE())</f>
        <v>スケリー</v>
      </c>
      <c r="AD127" s="169" t="n">
        <f aca="false">VLOOKUP(Y127,20230302Data!A:K,6,FALSE())</f>
        <v>0</v>
      </c>
      <c r="AE127" s="169" t="n">
        <f aca="false">VLOOKUP(Y127,20230302Data!A:K,7,FALSE())</f>
        <v>0</v>
      </c>
      <c r="AF127" s="169" t="n">
        <f aca="false">VLOOKUP(Y127,20230302Data!A:K,8,FALSE())</f>
        <v>0</v>
      </c>
      <c r="AG127" s="169" t="n">
        <f aca="false">VLOOKUP(Y127,20230302Data!A:K,9,FALSE())</f>
        <v>0</v>
      </c>
      <c r="AH127" s="169" t="str">
        <f aca="false">SUBSTITUTE(SUBSTITUTE(SUBSTITUTE(Y127,"-",""),"(",""),")","")</f>
        <v>7624488329</v>
      </c>
      <c r="AI127" s="169" t="str">
        <f aca="false">IFERROR(VLOOKUP(AH127,#REF!,3,FALSE()),"")</f>
        <v/>
      </c>
    </row>
    <row r="128" customFormat="false" ht="12.75" hidden="false" customHeight="true" outlineLevel="0" collapsed="false">
      <c r="A128" s="177" t="s">
        <v>760</v>
      </c>
      <c r="B128" s="178" t="n">
        <v>126</v>
      </c>
      <c r="C128" s="178" t="s">
        <v>101</v>
      </c>
      <c r="D128" s="178" t="s">
        <v>761</v>
      </c>
      <c r="E128" s="178" t="s">
        <v>762</v>
      </c>
      <c r="F128" s="177" t="s">
        <v>760</v>
      </c>
      <c r="G128" s="179" t="s">
        <v>763</v>
      </c>
      <c r="H128" s="178"/>
      <c r="I128" s="178"/>
      <c r="J128" s="178"/>
      <c r="K128" s="178"/>
      <c r="L128" s="178"/>
      <c r="M128" s="178"/>
      <c r="N128" s="180"/>
      <c r="O128" s="180"/>
      <c r="P128" s="180"/>
      <c r="Q128" s="180"/>
      <c r="R128" s="155"/>
      <c r="S128" s="155"/>
      <c r="T128" s="181"/>
      <c r="U128" s="182"/>
      <c r="V128" s="182"/>
      <c r="W128" s="178" t="s">
        <v>60</v>
      </c>
      <c r="X128" s="178" t="s">
        <v>346</v>
      </c>
      <c r="Y128" s="177" t="s">
        <v>760</v>
      </c>
      <c r="Z128" s="183" t="s">
        <v>763</v>
      </c>
      <c r="AA128" s="183" t="str">
        <f aca="false">VLOOKUP(Y128,20230302Data!A:K,2,FALSE())</f>
        <v>小3－1</v>
      </c>
      <c r="AB128" s="183" t="str">
        <f aca="false">VLOOKUP(Y128,20230302Data!A:K,3,FALSE())</f>
        <v>ヴェントゥラ ゼナ</v>
      </c>
      <c r="AC128" s="184" t="str">
        <f aca="false">VLOOKUP(Y128,20230302Data!A:K,4,FALSE())</f>
        <v>イスラエル</v>
      </c>
      <c r="AD128" s="184" t="n">
        <f aca="false">VLOOKUP(Y128,20230302Data!A:K,6,FALSE())</f>
        <v>0</v>
      </c>
      <c r="AE128" s="184" t="n">
        <f aca="false">VLOOKUP(Y128,20230302Data!A:K,7,FALSE())</f>
        <v>0</v>
      </c>
      <c r="AF128" s="184" t="n">
        <f aca="false">VLOOKUP(Y128,20230302Data!A:K,8,FALSE())</f>
        <v>0</v>
      </c>
      <c r="AG128" s="184" t="n">
        <f aca="false">VLOOKUP(Y128,20230302Data!A:K,9,FALSE())</f>
        <v>0</v>
      </c>
      <c r="AH128" s="184" t="str">
        <f aca="false">SUBSTITUTE(SUBSTITUTE(SUBSTITUTE(Y128,"-",""),"(",""),")","")</f>
        <v>4047299933</v>
      </c>
      <c r="AI128" s="184" t="str">
        <f aca="false">IFERROR(VLOOKUP(AH128,#REF!,3,FALSE()),"")</f>
        <v/>
      </c>
    </row>
    <row r="129" customFormat="false" ht="12.75" hidden="false" customHeight="true" outlineLevel="0" collapsed="false">
      <c r="A129" s="162" t="s">
        <v>764</v>
      </c>
      <c r="B129" s="163" t="n">
        <v>127</v>
      </c>
      <c r="C129" s="163" t="s">
        <v>101</v>
      </c>
      <c r="D129" s="163" t="s">
        <v>765</v>
      </c>
      <c r="E129" s="163" t="s">
        <v>766</v>
      </c>
      <c r="F129" s="162" t="s">
        <v>764</v>
      </c>
      <c r="G129" s="116" t="s">
        <v>767</v>
      </c>
      <c r="H129" s="116"/>
      <c r="I129" s="116"/>
      <c r="J129" s="116"/>
      <c r="K129" s="116"/>
      <c r="L129" s="116"/>
      <c r="M129" s="116"/>
      <c r="N129" s="164" t="n">
        <v>45045</v>
      </c>
      <c r="O129" s="162" t="s">
        <v>335</v>
      </c>
      <c r="P129" s="164"/>
      <c r="Q129" s="163"/>
      <c r="R129" s="164"/>
      <c r="S129" s="164"/>
      <c r="T129" s="165"/>
      <c r="U129" s="166"/>
      <c r="V129" s="166"/>
      <c r="W129" s="116"/>
      <c r="X129" s="116"/>
      <c r="Y129" s="162" t="s">
        <v>764</v>
      </c>
      <c r="Z129" s="167" t="s">
        <v>767</v>
      </c>
      <c r="AA129" s="168" t="str">
        <f aca="false">VLOOKUP(Y129,20230302Data!A:K,2,FALSE())</f>
        <v>小3－1</v>
      </c>
      <c r="AB129" s="168" t="str">
        <f aca="false">VLOOKUP(Y129,20230302Data!A:K,3,FALSE())</f>
        <v>吉澤 希海</v>
      </c>
      <c r="AC129" s="169" t="str">
        <f aca="false">VLOOKUP(Y129,20230302Data!A:K,4,FALSE())</f>
        <v>満</v>
      </c>
      <c r="AD129" s="169" t="n">
        <f aca="false">VLOOKUP(Y129,20230302Data!A:K,6,FALSE())</f>
        <v>0</v>
      </c>
      <c r="AE129" s="169" t="n">
        <f aca="false">VLOOKUP(Y129,20230302Data!A:K,7,FALSE())</f>
        <v>0</v>
      </c>
      <c r="AF129" s="169" t="n">
        <f aca="false">VLOOKUP(Y129,20230302Data!A:K,8,FALSE())</f>
        <v>0</v>
      </c>
      <c r="AG129" s="169" t="n">
        <f aca="false">VLOOKUP(Y129,20230302Data!A:K,9,FALSE())</f>
        <v>0</v>
      </c>
      <c r="AH129" s="169" t="str">
        <f aca="false">SUBSTITUTE(SUBSTITUTE(SUBSTITUTE(Y129,"-",""),"(",""),")","")</f>
        <v>4788410681</v>
      </c>
      <c r="AI129" s="169" t="str">
        <f aca="false">IFERROR(VLOOKUP(AH129,#REF!,3,FALSE()),"")</f>
        <v/>
      </c>
    </row>
    <row r="130" customFormat="false" ht="12.75" hidden="false" customHeight="true" outlineLevel="0" collapsed="false">
      <c r="A130" s="202" t="s">
        <v>768</v>
      </c>
      <c r="B130" s="203" t="n">
        <v>128</v>
      </c>
      <c r="C130" s="203" t="s">
        <v>101</v>
      </c>
      <c r="D130" s="203" t="s">
        <v>769</v>
      </c>
      <c r="E130" s="203" t="s">
        <v>770</v>
      </c>
      <c r="F130" s="202" t="s">
        <v>768</v>
      </c>
      <c r="G130" s="204" t="s">
        <v>771</v>
      </c>
      <c r="H130" s="203" t="s">
        <v>185</v>
      </c>
      <c r="I130" s="203" t="s">
        <v>772</v>
      </c>
      <c r="J130" s="203" t="s">
        <v>533</v>
      </c>
      <c r="K130" s="203" t="s">
        <v>773</v>
      </c>
      <c r="L130" s="203"/>
      <c r="M130" s="203"/>
      <c r="N130" s="186"/>
      <c r="O130" s="186"/>
      <c r="P130" s="155"/>
      <c r="Q130" s="155"/>
      <c r="R130" s="205"/>
      <c r="S130" s="205"/>
      <c r="T130" s="206"/>
      <c r="U130" s="207"/>
      <c r="V130" s="207"/>
      <c r="W130" s="203" t="s">
        <v>240</v>
      </c>
      <c r="X130" s="203" t="s">
        <v>774</v>
      </c>
      <c r="Y130" s="202" t="s">
        <v>768</v>
      </c>
      <c r="Z130" s="217" t="s">
        <v>771</v>
      </c>
      <c r="AA130" s="208" t="str">
        <f aca="false">VLOOKUP(Y130,20230302Data!A:K,2,FALSE())</f>
        <v>小3－1</v>
      </c>
      <c r="AB130" s="208" t="str">
        <f aca="false">VLOOKUP(Y130,20230302Data!A:K,3,FALSE())</f>
        <v>ジョーンズ 芹愛</v>
      </c>
      <c r="AC130" s="209" t="str">
        <f aca="false">VLOOKUP(Y130,20230302Data!A:K,4,FALSE())</f>
        <v>ジェファーソン</v>
      </c>
      <c r="AD130" s="209" t="str">
        <f aca="false">VLOOKUP(Y130,20230302Data!A:K,6,FALSE())</f>
        <v>小5－1</v>
      </c>
      <c r="AE130" s="209" t="str">
        <f aca="false">VLOOKUP(Y130,20230302Data!A:K,7,FALSE())</f>
        <v>ジョーンズ 真悟</v>
      </c>
      <c r="AF130" s="209" t="str">
        <f aca="false">VLOOKUP(Y130,20230302Data!A:K,8,FALSE())</f>
        <v>中1－1</v>
      </c>
      <c r="AG130" s="209" t="str">
        <f aca="false">VLOOKUP(Y130,20230302Data!A:K,9,FALSE())</f>
        <v>ジョーンズ 泰成</v>
      </c>
      <c r="AH130" s="209" t="str">
        <f aca="false">SUBSTITUTE(SUBSTITUTE(SUBSTITUTE(Y130,"-",""),"(",""),")","")</f>
        <v>3013025415</v>
      </c>
      <c r="AI130" s="209" t="str">
        <f aca="false">IFERROR(VLOOKUP(AH130,#REF!,3,FALSE()),"")</f>
        <v/>
      </c>
    </row>
    <row r="131" customFormat="false" ht="12.75" hidden="false" customHeight="true" outlineLevel="0" collapsed="false">
      <c r="A131" s="162" t="s">
        <v>775</v>
      </c>
      <c r="B131" s="163" t="n">
        <v>129</v>
      </c>
      <c r="C131" s="163" t="s">
        <v>101</v>
      </c>
      <c r="D131" s="163" t="s">
        <v>776</v>
      </c>
      <c r="E131" s="163" t="s">
        <v>777</v>
      </c>
      <c r="F131" s="162" t="s">
        <v>775</v>
      </c>
      <c r="G131" s="116" t="s">
        <v>778</v>
      </c>
      <c r="H131" s="116"/>
      <c r="I131" s="116"/>
      <c r="J131" s="116"/>
      <c r="K131" s="116"/>
      <c r="L131" s="116"/>
      <c r="M131" s="116"/>
      <c r="N131" s="164"/>
      <c r="O131" s="164"/>
      <c r="P131" s="164"/>
      <c r="Q131" s="163"/>
      <c r="R131" s="164"/>
      <c r="S131" s="164"/>
      <c r="T131" s="165"/>
      <c r="U131" s="166" t="n">
        <v>44779</v>
      </c>
      <c r="V131" s="166"/>
      <c r="W131" s="116"/>
      <c r="X131" s="116"/>
      <c r="Y131" s="162" t="s">
        <v>775</v>
      </c>
      <c r="Z131" s="168"/>
      <c r="AA131" s="168" t="str">
        <f aca="false">VLOOKUP(Y131,20230302Data!A:K,2,FALSE())</f>
        <v>小3－1</v>
      </c>
      <c r="AB131" s="168" t="str">
        <f aca="false">VLOOKUP(Y131,20230302Data!A:K,3,FALSE())</f>
        <v>杉野 蓮</v>
      </c>
      <c r="AC131" s="169" t="str">
        <f aca="false">VLOOKUP(Y131,20230302Data!A:K,4,FALSE())</f>
        <v>透</v>
      </c>
      <c r="AD131" s="169" t="n">
        <f aca="false">VLOOKUP(Y131,20230302Data!A:K,6,FALSE())</f>
        <v>0</v>
      </c>
      <c r="AE131" s="169" t="n">
        <f aca="false">VLOOKUP(Y131,20230302Data!A:K,7,FALSE())</f>
        <v>0</v>
      </c>
      <c r="AF131" s="169" t="n">
        <f aca="false">VLOOKUP(Y131,20230302Data!A:K,8,FALSE())</f>
        <v>0</v>
      </c>
      <c r="AG131" s="169" t="n">
        <f aca="false">VLOOKUP(Y131,20230302Data!A:K,9,FALSE())</f>
        <v>0</v>
      </c>
      <c r="AH131" s="169" t="str">
        <f aca="false">SUBSTITUTE(SUBSTITUTE(SUBSTITUTE(Y131,"-",""),"(",""),")","")</f>
        <v>4703503445</v>
      </c>
      <c r="AI131" s="169" t="str">
        <f aca="false">IFERROR(VLOOKUP(AH131,#REF!,3,FALSE()),"")</f>
        <v/>
      </c>
    </row>
    <row r="132" customFormat="false" ht="12.75" hidden="false" customHeight="true" outlineLevel="0" collapsed="false">
      <c r="A132" s="162" t="s">
        <v>779</v>
      </c>
      <c r="B132" s="163" t="n">
        <v>130</v>
      </c>
      <c r="C132" s="163" t="s">
        <v>101</v>
      </c>
      <c r="D132" s="163" t="s">
        <v>780</v>
      </c>
      <c r="E132" s="163" t="s">
        <v>781</v>
      </c>
      <c r="F132" s="162" t="s">
        <v>779</v>
      </c>
      <c r="G132" s="116" t="s">
        <v>782</v>
      </c>
      <c r="H132" s="116"/>
      <c r="I132" s="116"/>
      <c r="J132" s="116"/>
      <c r="K132" s="116"/>
      <c r="L132" s="116"/>
      <c r="M132" s="116"/>
      <c r="N132" s="164"/>
      <c r="O132" s="164"/>
      <c r="P132" s="164"/>
      <c r="Q132" s="163"/>
      <c r="R132" s="164"/>
      <c r="S132" s="164"/>
      <c r="T132" s="165"/>
      <c r="U132" s="166" t="n">
        <v>44779</v>
      </c>
      <c r="V132" s="166"/>
      <c r="W132" s="116"/>
      <c r="X132" s="116"/>
      <c r="Y132" s="162" t="s">
        <v>779</v>
      </c>
      <c r="Z132" s="168"/>
      <c r="AA132" s="168" t="str">
        <f aca="false">VLOOKUP(Y132,20230302Data!A:K,2,FALSE())</f>
        <v>小3－1</v>
      </c>
      <c r="AB132" s="168" t="str">
        <f aca="false">VLOOKUP(Y132,20230302Data!A:K,3,FALSE())</f>
        <v>南條 結衣</v>
      </c>
      <c r="AC132" s="169" t="str">
        <f aca="false">VLOOKUP(Y132,20230302Data!A:K,4,FALSE())</f>
        <v>盛彦</v>
      </c>
      <c r="AD132" s="169" t="n">
        <f aca="false">VLOOKUP(Y132,20230302Data!A:K,6,FALSE())</f>
        <v>0</v>
      </c>
      <c r="AE132" s="169" t="n">
        <f aca="false">VLOOKUP(Y132,20230302Data!A:K,7,FALSE())</f>
        <v>0</v>
      </c>
      <c r="AF132" s="169" t="n">
        <f aca="false">VLOOKUP(Y132,20230302Data!A:K,8,FALSE())</f>
        <v>0</v>
      </c>
      <c r="AG132" s="169" t="n">
        <f aca="false">VLOOKUP(Y132,20230302Data!A:K,9,FALSE())</f>
        <v>0</v>
      </c>
      <c r="AH132" s="169" t="str">
        <f aca="false">SUBSTITUTE(SUBSTITUTE(SUBSTITUTE(Y132,"-",""),"(",""),")","")</f>
        <v>4702799208</v>
      </c>
      <c r="AI132" s="169" t="str">
        <f aca="false">IFERROR(VLOOKUP(AH132,#REF!,3,FALSE()),"")</f>
        <v/>
      </c>
    </row>
    <row r="133" customFormat="false" ht="12.75" hidden="false" customHeight="true" outlineLevel="0" collapsed="false">
      <c r="A133" s="116" t="s">
        <v>783</v>
      </c>
      <c r="B133" s="163" t="n">
        <v>131</v>
      </c>
      <c r="C133" s="220" t="s">
        <v>784</v>
      </c>
      <c r="D133" s="220" t="s">
        <v>785</v>
      </c>
      <c r="E133" s="220" t="s">
        <v>786</v>
      </c>
      <c r="F133" s="116" t="s">
        <v>783</v>
      </c>
      <c r="G133" s="116" t="s">
        <v>787</v>
      </c>
      <c r="H133" s="116"/>
      <c r="I133" s="116"/>
      <c r="J133" s="116"/>
      <c r="K133" s="116"/>
      <c r="L133" s="116"/>
      <c r="M133" s="116"/>
      <c r="N133" s="163"/>
      <c r="O133" s="163"/>
      <c r="P133" s="163"/>
      <c r="Q133" s="163"/>
      <c r="R133" s="164"/>
      <c r="S133" s="163"/>
      <c r="T133" s="116"/>
      <c r="U133" s="166" t="n">
        <v>44835</v>
      </c>
      <c r="V133" s="166"/>
      <c r="W133" s="116"/>
      <c r="X133" s="116"/>
      <c r="Y133" s="116" t="s">
        <v>783</v>
      </c>
      <c r="Z133" s="116"/>
      <c r="AA133" s="168" t="str">
        <f aca="false">VLOOKUP(Y133,20230302Data!A:K,2,FALSE())</f>
        <v>小3－1</v>
      </c>
      <c r="AB133" s="168" t="str">
        <f aca="false">VLOOKUP(Y133,20230302Data!A:K,3,FALSE())</f>
        <v>佐藤 莉愛</v>
      </c>
      <c r="AC133" s="169" t="str">
        <f aca="false">VLOOKUP(Y133,20230302Data!A:K,4,FALSE())</f>
        <v>晴樹</v>
      </c>
      <c r="AD133" s="169" t="n">
        <f aca="false">VLOOKUP(Y133,20230302Data!A:K,6,FALSE())</f>
        <v>0</v>
      </c>
      <c r="AE133" s="169" t="n">
        <f aca="false">VLOOKUP(Y133,20230302Data!A:K,7,FALSE())</f>
        <v>0</v>
      </c>
      <c r="AF133" s="169" t="n">
        <f aca="false">VLOOKUP(Y133,20230302Data!A:K,8,FALSE())</f>
        <v>0</v>
      </c>
      <c r="AG133" s="169" t="n">
        <f aca="false">VLOOKUP(Y133,20230302Data!A:K,9,FALSE())</f>
        <v>0</v>
      </c>
      <c r="AH133" s="169" t="str">
        <f aca="false">SUBSTITUTE(SUBSTITUTE(SUBSTITUTE(Y133,"-",""),"(",""),")","")</f>
        <v>7707719152</v>
      </c>
      <c r="AI133" s="169" t="str">
        <f aca="false">IFERROR(VLOOKUP(AH133,#REF!,3,FALSE()),"")</f>
        <v/>
      </c>
    </row>
    <row r="134" customFormat="false" ht="12.75" hidden="false" customHeight="true" outlineLevel="0" collapsed="false">
      <c r="A134" s="162" t="s">
        <v>788</v>
      </c>
      <c r="B134" s="163" t="n">
        <v>132</v>
      </c>
      <c r="C134" s="163" t="s">
        <v>183</v>
      </c>
      <c r="D134" s="163" t="s">
        <v>789</v>
      </c>
      <c r="E134" s="163" t="s">
        <v>790</v>
      </c>
      <c r="F134" s="162" t="s">
        <v>788</v>
      </c>
      <c r="G134" s="116" t="s">
        <v>791</v>
      </c>
      <c r="H134" s="116"/>
      <c r="I134" s="116"/>
      <c r="J134" s="116"/>
      <c r="K134" s="116"/>
      <c r="L134" s="116"/>
      <c r="M134" s="116"/>
      <c r="N134" s="164"/>
      <c r="O134" s="164"/>
      <c r="P134" s="164"/>
      <c r="Q134" s="164"/>
      <c r="R134" s="164" t="n">
        <v>45059</v>
      </c>
      <c r="S134" s="162" t="s">
        <v>67</v>
      </c>
      <c r="T134" s="165"/>
      <c r="U134" s="166"/>
      <c r="V134" s="166"/>
      <c r="W134" s="116"/>
      <c r="X134" s="116"/>
      <c r="Y134" s="162" t="s">
        <v>788</v>
      </c>
      <c r="Z134" s="167" t="s">
        <v>791</v>
      </c>
      <c r="AA134" s="168" t="str">
        <f aca="false">VLOOKUP(Y134,20230302Data!A:K,2,FALSE())</f>
        <v>小3－2</v>
      </c>
      <c r="AB134" s="168" t="str">
        <f aca="false">VLOOKUP(Y134,20230302Data!A:K,3,FALSE())</f>
        <v>松尾 知樹</v>
      </c>
      <c r="AC134" s="169" t="str">
        <f aca="false">VLOOKUP(Y134,20230302Data!A:K,4,FALSE())</f>
        <v>健司</v>
      </c>
      <c r="AD134" s="169" t="n">
        <f aca="false">VLOOKUP(Y134,20230302Data!A:K,6,FALSE())</f>
        <v>0</v>
      </c>
      <c r="AE134" s="169" t="n">
        <f aca="false">VLOOKUP(Y134,20230302Data!A:K,7,FALSE())</f>
        <v>0</v>
      </c>
      <c r="AF134" s="169" t="n">
        <f aca="false">VLOOKUP(Y134,20230302Data!A:K,8,FALSE())</f>
        <v>0</v>
      </c>
      <c r="AG134" s="169" t="n">
        <f aca="false">VLOOKUP(Y134,20230302Data!A:K,9,FALSE())</f>
        <v>0</v>
      </c>
      <c r="AH134" s="169" t="str">
        <f aca="false">SUBSTITUTE(SUBSTITUTE(SUBSTITUTE(Y134,"-",""),"(",""),")","")</f>
        <v>4048210133</v>
      </c>
      <c r="AI134" s="169" t="str">
        <f aca="false">IFERROR(VLOOKUP(AH134,#REF!,3,FALSE()),"")</f>
        <v/>
      </c>
    </row>
    <row r="135" customFormat="false" ht="12.75" hidden="false" customHeight="true" outlineLevel="0" collapsed="false">
      <c r="A135" s="162" t="s">
        <v>792</v>
      </c>
      <c r="B135" s="163" t="n">
        <v>133</v>
      </c>
      <c r="C135" s="163" t="s">
        <v>183</v>
      </c>
      <c r="D135" s="163" t="s">
        <v>793</v>
      </c>
      <c r="E135" s="163" t="s">
        <v>794</v>
      </c>
      <c r="F135" s="162" t="s">
        <v>792</v>
      </c>
      <c r="G135" s="116" t="s">
        <v>795</v>
      </c>
      <c r="H135" s="116"/>
      <c r="I135" s="116"/>
      <c r="J135" s="116"/>
      <c r="K135" s="116"/>
      <c r="L135" s="116"/>
      <c r="M135" s="116"/>
      <c r="N135" s="164"/>
      <c r="O135" s="164"/>
      <c r="P135" s="164"/>
      <c r="Q135" s="163"/>
      <c r="R135" s="164"/>
      <c r="S135" s="163"/>
      <c r="T135" s="165"/>
      <c r="U135" s="166"/>
      <c r="V135" s="166"/>
      <c r="W135" s="116"/>
      <c r="X135" s="116"/>
      <c r="Y135" s="162" t="s">
        <v>792</v>
      </c>
      <c r="Z135" s="167" t="s">
        <v>795</v>
      </c>
      <c r="AA135" s="168" t="str">
        <f aca="false">VLOOKUP(Y135,20230302Data!A:K,2,FALSE())</f>
        <v>小3－2</v>
      </c>
      <c r="AB135" s="168" t="str">
        <f aca="false">VLOOKUP(Y135,20230302Data!A:K,3,FALSE())</f>
        <v>マティチャック スティーヴン幸市郎</v>
      </c>
      <c r="AC135" s="169" t="str">
        <f aca="false">VLOOKUP(Y135,20230302Data!A:K,4,FALSE())</f>
        <v>チャックスティーブンダナポール</v>
      </c>
      <c r="AD135" s="169" t="n">
        <f aca="false">VLOOKUP(Y135,20230302Data!A:K,6,FALSE())</f>
        <v>0</v>
      </c>
      <c r="AE135" s="169" t="n">
        <f aca="false">VLOOKUP(Y135,20230302Data!A:K,7,FALSE())</f>
        <v>0</v>
      </c>
      <c r="AF135" s="169" t="n">
        <f aca="false">VLOOKUP(Y135,20230302Data!A:K,8,FALSE())</f>
        <v>0</v>
      </c>
      <c r="AG135" s="169" t="n">
        <f aca="false">VLOOKUP(Y135,20230302Data!A:K,9,FALSE())</f>
        <v>0</v>
      </c>
      <c r="AH135" s="169" t="str">
        <f aca="false">SUBSTITUTE(SUBSTITUTE(SUBSTITUTE(Y135,"-",""),"(",""),")","")</f>
        <v>4045198937</v>
      </c>
      <c r="AI135" s="169" t="str">
        <f aca="false">IFERROR(VLOOKUP(AH135,#REF!,3,FALSE()),"")</f>
        <v/>
      </c>
    </row>
    <row r="136" customFormat="false" ht="12.75" hidden="false" customHeight="true" outlineLevel="0" collapsed="false">
      <c r="A136" s="177" t="s">
        <v>796</v>
      </c>
      <c r="B136" s="178" t="n">
        <v>134</v>
      </c>
      <c r="C136" s="178" t="s">
        <v>183</v>
      </c>
      <c r="D136" s="178" t="s">
        <v>797</v>
      </c>
      <c r="E136" s="178" t="s">
        <v>798</v>
      </c>
      <c r="F136" s="177" t="s">
        <v>796</v>
      </c>
      <c r="G136" s="179" t="s">
        <v>799</v>
      </c>
      <c r="H136" s="179"/>
      <c r="I136" s="179"/>
      <c r="J136" s="179"/>
      <c r="K136" s="179"/>
      <c r="L136" s="179"/>
      <c r="M136" s="179"/>
      <c r="N136" s="180"/>
      <c r="O136" s="180"/>
      <c r="P136" s="180"/>
      <c r="Q136" s="180"/>
      <c r="R136" s="155"/>
      <c r="S136" s="186"/>
      <c r="T136" s="181"/>
      <c r="U136" s="200"/>
      <c r="V136" s="200"/>
      <c r="W136" s="201" t="s">
        <v>60</v>
      </c>
      <c r="X136" s="179"/>
      <c r="Y136" s="177" t="s">
        <v>796</v>
      </c>
      <c r="Z136" s="183" t="s">
        <v>799</v>
      </c>
      <c r="AA136" s="183" t="str">
        <f aca="false">VLOOKUP(Y136,20230302Data!A:K,2,FALSE())</f>
        <v>小3－2</v>
      </c>
      <c r="AB136" s="183" t="str">
        <f aca="false">VLOOKUP(Y136,20230302Data!A:K,3,FALSE())</f>
        <v>シューベルト ケン</v>
      </c>
      <c r="AC136" s="184" t="str">
        <f aca="false">VLOOKUP(Y136,20230302Data!A:K,4,FALSE())</f>
        <v>スコット</v>
      </c>
      <c r="AD136" s="184" t="n">
        <f aca="false">VLOOKUP(Y136,20230302Data!A:K,6,FALSE())</f>
        <v>0</v>
      </c>
      <c r="AE136" s="184" t="n">
        <f aca="false">VLOOKUP(Y136,20230302Data!A:K,7,FALSE())</f>
        <v>0</v>
      </c>
      <c r="AF136" s="184" t="n">
        <f aca="false">VLOOKUP(Y136,20230302Data!A:K,8,FALSE())</f>
        <v>0</v>
      </c>
      <c r="AG136" s="184" t="n">
        <f aca="false">VLOOKUP(Y136,20230302Data!A:K,9,FALSE())</f>
        <v>0</v>
      </c>
      <c r="AH136" s="184" t="str">
        <f aca="false">SUBSTITUTE(SUBSTITUTE(SUBSTITUTE(Y136,"-",""),"(",""),")","")</f>
        <v>6463452262</v>
      </c>
      <c r="AI136" s="184" t="str">
        <f aca="false">IFERROR(VLOOKUP(AH136,#REF!,3,FALSE()),"")</f>
        <v/>
      </c>
    </row>
    <row r="137" customFormat="false" ht="12.75" hidden="false" customHeight="true" outlineLevel="0" collapsed="false">
      <c r="A137" s="185" t="s">
        <v>800</v>
      </c>
      <c r="B137" s="186" t="n">
        <v>135</v>
      </c>
      <c r="C137" s="186" t="s">
        <v>183</v>
      </c>
      <c r="D137" s="186" t="s">
        <v>801</v>
      </c>
      <c r="E137" s="186" t="s">
        <v>802</v>
      </c>
      <c r="F137" s="185" t="s">
        <v>800</v>
      </c>
      <c r="G137" s="187" t="s">
        <v>803</v>
      </c>
      <c r="H137" s="186" t="s">
        <v>185</v>
      </c>
      <c r="I137" s="186" t="s">
        <v>804</v>
      </c>
      <c r="J137" s="186"/>
      <c r="K137" s="186"/>
      <c r="L137" s="186"/>
      <c r="M137" s="186"/>
      <c r="N137" s="155"/>
      <c r="O137" s="155"/>
      <c r="P137" s="155"/>
      <c r="Q137" s="155"/>
      <c r="R137" s="155"/>
      <c r="S137" s="155"/>
      <c r="T137" s="188"/>
      <c r="U137" s="189"/>
      <c r="V137" s="189"/>
      <c r="W137" s="186" t="s">
        <v>55</v>
      </c>
      <c r="X137" s="186" t="s">
        <v>805</v>
      </c>
      <c r="Y137" s="185" t="s">
        <v>800</v>
      </c>
      <c r="Z137" s="190" t="s">
        <v>803</v>
      </c>
      <c r="AA137" s="190" t="str">
        <f aca="false">VLOOKUP(Y137,20230302Data!A:K,2,FALSE())</f>
        <v>小3－2</v>
      </c>
      <c r="AB137" s="190" t="str">
        <f aca="false">VLOOKUP(Y137,20230302Data!A:K,3,FALSE())</f>
        <v>渡部 登吾</v>
      </c>
      <c r="AC137" s="191" t="str">
        <f aca="false">VLOOKUP(Y137,20230302Data!A:K,4,FALSE())</f>
        <v>哲史</v>
      </c>
      <c r="AD137" s="191" t="str">
        <f aca="false">VLOOKUP(Y137,20230302Data!A:K,6,FALSE())</f>
        <v>小5－1</v>
      </c>
      <c r="AE137" s="191" t="str">
        <f aca="false">VLOOKUP(Y137,20230302Data!A:K,7,FALSE())</f>
        <v>渡部 音羽</v>
      </c>
      <c r="AF137" s="191" t="n">
        <f aca="false">VLOOKUP(Y137,20230302Data!A:K,8,FALSE())</f>
        <v>0</v>
      </c>
      <c r="AG137" s="191" t="n">
        <f aca="false">VLOOKUP(Y137,20230302Data!A:K,9,FALSE())</f>
        <v>0</v>
      </c>
      <c r="AH137" s="191" t="str">
        <f aca="false">SUBSTITUTE(SUBSTITUTE(SUBSTITUTE(Y137,"-",""),"(",""),")","")</f>
        <v>7064830393</v>
      </c>
      <c r="AI137" s="191" t="str">
        <f aca="false">IFERROR(VLOOKUP(AH137,#REF!,3,FALSE()),"")</f>
        <v/>
      </c>
    </row>
    <row r="138" customFormat="false" ht="12.75" hidden="false" customHeight="true" outlineLevel="0" collapsed="false">
      <c r="A138" s="162" t="s">
        <v>806</v>
      </c>
      <c r="B138" s="163" t="n">
        <v>136</v>
      </c>
      <c r="C138" s="163" t="s">
        <v>183</v>
      </c>
      <c r="D138" s="163" t="s">
        <v>807</v>
      </c>
      <c r="E138" s="163" t="s">
        <v>808</v>
      </c>
      <c r="F138" s="162" t="s">
        <v>806</v>
      </c>
      <c r="G138" s="116" t="s">
        <v>809</v>
      </c>
      <c r="H138" s="163"/>
      <c r="I138" s="163"/>
      <c r="J138" s="163"/>
      <c r="K138" s="163"/>
      <c r="L138" s="163"/>
      <c r="M138" s="163"/>
      <c r="N138" s="164"/>
      <c r="O138" s="163"/>
      <c r="P138" s="164" t="n">
        <v>45059</v>
      </c>
      <c r="Q138" s="162" t="s">
        <v>32</v>
      </c>
      <c r="R138" s="164"/>
      <c r="S138" s="164"/>
      <c r="T138" s="165"/>
      <c r="U138" s="239"/>
      <c r="V138" s="239"/>
      <c r="W138" s="163"/>
      <c r="X138" s="163" t="s">
        <v>810</v>
      </c>
      <c r="Y138" s="162" t="s">
        <v>806</v>
      </c>
      <c r="Z138" s="167" t="s">
        <v>809</v>
      </c>
      <c r="AA138" s="168" t="str">
        <f aca="false">VLOOKUP(Y138,20230302Data!A:K,2,FALSE())</f>
        <v>小3－2</v>
      </c>
      <c r="AB138" s="168" t="str">
        <f aca="false">VLOOKUP(Y138,20230302Data!A:K,3,FALSE())</f>
        <v>中島 小春</v>
      </c>
      <c r="AC138" s="169" t="str">
        <f aca="false">VLOOKUP(Y138,20230302Data!A:K,4,FALSE())</f>
        <v>克</v>
      </c>
      <c r="AD138" s="169" t="n">
        <f aca="false">VLOOKUP(Y138,20230302Data!A:K,6,FALSE())</f>
        <v>0</v>
      </c>
      <c r="AE138" s="169" t="n">
        <f aca="false">VLOOKUP(Y138,20230302Data!A:K,7,FALSE())</f>
        <v>0</v>
      </c>
      <c r="AF138" s="169" t="n">
        <f aca="false">VLOOKUP(Y138,20230302Data!A:K,8,FALSE())</f>
        <v>0</v>
      </c>
      <c r="AG138" s="169" t="n">
        <f aca="false">VLOOKUP(Y138,20230302Data!A:K,9,FALSE())</f>
        <v>0</v>
      </c>
      <c r="AH138" s="169" t="str">
        <f aca="false">SUBSTITUTE(SUBSTITUTE(SUBSTITUTE(Y138,"-",""),"(",""),")","")</f>
        <v>6143696126</v>
      </c>
      <c r="AI138" s="169" t="str">
        <f aca="false">IFERROR(VLOOKUP(AH138,#REF!,3,FALSE()),"")</f>
        <v/>
      </c>
    </row>
    <row r="139" customFormat="false" ht="12.75" hidden="false" customHeight="true" outlineLevel="0" collapsed="false">
      <c r="A139" s="185" t="s">
        <v>811</v>
      </c>
      <c r="B139" s="186" t="n">
        <v>137</v>
      </c>
      <c r="C139" s="186" t="s">
        <v>183</v>
      </c>
      <c r="D139" s="186" t="s">
        <v>812</v>
      </c>
      <c r="E139" s="186" t="s">
        <v>283</v>
      </c>
      <c r="F139" s="185" t="s">
        <v>811</v>
      </c>
      <c r="G139" s="187" t="s">
        <v>813</v>
      </c>
      <c r="H139" s="186"/>
      <c r="I139" s="186"/>
      <c r="J139" s="186"/>
      <c r="K139" s="186"/>
      <c r="L139" s="186"/>
      <c r="M139" s="186"/>
      <c r="N139" s="155"/>
      <c r="O139" s="155"/>
      <c r="P139" s="155"/>
      <c r="Q139" s="155"/>
      <c r="R139" s="155"/>
      <c r="S139" s="155"/>
      <c r="T139" s="188"/>
      <c r="U139" s="189"/>
      <c r="V139" s="189"/>
      <c r="W139" s="186" t="s">
        <v>55</v>
      </c>
      <c r="X139" s="186" t="s">
        <v>814</v>
      </c>
      <c r="Y139" s="185" t="s">
        <v>811</v>
      </c>
      <c r="Z139" s="190" t="s">
        <v>813</v>
      </c>
      <c r="AA139" s="190" t="str">
        <f aca="false">VLOOKUP(Y139,20230302Data!A:K,2,FALSE())</f>
        <v>小3－2</v>
      </c>
      <c r="AB139" s="190" t="str">
        <f aca="false">VLOOKUP(Y139,20230302Data!A:K,3,FALSE())</f>
        <v>紙谷 桜</v>
      </c>
      <c r="AC139" s="191" t="str">
        <f aca="false">VLOOKUP(Y139,20230302Data!A:K,4,FALSE())</f>
        <v>聡</v>
      </c>
      <c r="AD139" s="191" t="str">
        <f aca="false">VLOOKUP(Y139,20230302Data!A:K,6,FALSE())</f>
        <v>小6－2</v>
      </c>
      <c r="AE139" s="191" t="str">
        <f aca="false">VLOOKUP(Y139,20230302Data!A:K,7,FALSE())</f>
        <v>紙谷 樹</v>
      </c>
      <c r="AF139" s="191" t="n">
        <f aca="false">VLOOKUP(Y139,20230302Data!A:K,8,FALSE())</f>
        <v>0</v>
      </c>
      <c r="AG139" s="191" t="n">
        <f aca="false">VLOOKUP(Y139,20230302Data!A:K,9,FALSE())</f>
        <v>0</v>
      </c>
      <c r="AH139" s="191" t="str">
        <f aca="false">SUBSTITUTE(SUBSTITUTE(SUBSTITUTE(Y139,"-",""),"(",""),")","")</f>
        <v>7207371537</v>
      </c>
      <c r="AI139" s="191" t="str">
        <f aca="false">IFERROR(VLOOKUP(AH139,#REF!,3,FALSE()),"")</f>
        <v/>
      </c>
    </row>
    <row r="140" customFormat="false" ht="12.75" hidden="false" customHeight="true" outlineLevel="0" collapsed="false">
      <c r="A140" s="170" t="s">
        <v>815</v>
      </c>
      <c r="B140" s="171" t="n">
        <v>138</v>
      </c>
      <c r="C140" s="171" t="s">
        <v>183</v>
      </c>
      <c r="D140" s="171" t="s">
        <v>816</v>
      </c>
      <c r="E140" s="171" t="s">
        <v>817</v>
      </c>
      <c r="F140" s="170" t="s">
        <v>815</v>
      </c>
      <c r="G140" s="111" t="s">
        <v>818</v>
      </c>
      <c r="H140" s="171" t="s">
        <v>533</v>
      </c>
      <c r="I140" s="171" t="s">
        <v>819</v>
      </c>
      <c r="J140" s="111"/>
      <c r="K140" s="111"/>
      <c r="L140" s="111"/>
      <c r="M140" s="111"/>
      <c r="N140" s="172"/>
      <c r="O140" s="172"/>
      <c r="P140" s="172"/>
      <c r="Q140" s="172"/>
      <c r="R140" s="155"/>
      <c r="S140" s="155"/>
      <c r="T140" s="173"/>
      <c r="U140" s="174"/>
      <c r="V140" s="174"/>
      <c r="W140" s="171" t="s">
        <v>152</v>
      </c>
      <c r="X140" s="111"/>
      <c r="Y140" s="170" t="s">
        <v>815</v>
      </c>
      <c r="Z140" s="175" t="s">
        <v>818</v>
      </c>
      <c r="AA140" s="175" t="str">
        <f aca="false">VLOOKUP(Y140,20230302Data!A:K,2,FALSE())</f>
        <v>小3－2</v>
      </c>
      <c r="AB140" s="175" t="str">
        <f aca="false">VLOOKUP(Y140,20230302Data!A:K,3,FALSE())</f>
        <v>西川 結梨</v>
      </c>
      <c r="AC140" s="176" t="str">
        <f aca="false">VLOOKUP(Y140,20230302Data!A:K,4,FALSE())</f>
        <v>修一</v>
      </c>
      <c r="AD140" s="176" t="str">
        <f aca="false">VLOOKUP(Y140,20230302Data!A:K,6,FALSE())</f>
        <v>中1－1</v>
      </c>
      <c r="AE140" s="176" t="str">
        <f aca="false">VLOOKUP(Y140,20230302Data!A:K,7,FALSE())</f>
        <v>西川 美羽</v>
      </c>
      <c r="AF140" s="176" t="n">
        <f aca="false">VLOOKUP(Y140,20230302Data!A:K,8,FALSE())</f>
        <v>0</v>
      </c>
      <c r="AG140" s="176" t="n">
        <f aca="false">VLOOKUP(Y140,20230302Data!A:K,9,FALSE())</f>
        <v>0</v>
      </c>
      <c r="AH140" s="176" t="str">
        <f aca="false">SUBSTITUTE(SUBSTITUTE(SUBSTITUTE(Y140,"-",""),"(",""),")","")</f>
        <v>4703665126</v>
      </c>
      <c r="AI140" s="176" t="str">
        <f aca="false">IFERROR(VLOOKUP(AH140,#REF!,3,FALSE()),"")</f>
        <v/>
      </c>
    </row>
    <row r="141" customFormat="false" ht="12.75" hidden="false" customHeight="true" outlineLevel="0" collapsed="false">
      <c r="A141" s="202" t="s">
        <v>820</v>
      </c>
      <c r="B141" s="203" t="n">
        <v>139</v>
      </c>
      <c r="C141" s="203" t="s">
        <v>183</v>
      </c>
      <c r="D141" s="203" t="s">
        <v>821</v>
      </c>
      <c r="E141" s="203" t="s">
        <v>822</v>
      </c>
      <c r="F141" s="202" t="s">
        <v>820</v>
      </c>
      <c r="G141" s="204" t="s">
        <v>823</v>
      </c>
      <c r="H141" s="204"/>
      <c r="I141" s="204"/>
      <c r="J141" s="204"/>
      <c r="K141" s="204"/>
      <c r="L141" s="204"/>
      <c r="M141" s="204"/>
      <c r="N141" s="155"/>
      <c r="O141" s="155"/>
      <c r="P141" s="155"/>
      <c r="Q141" s="155"/>
      <c r="R141" s="205" t="n">
        <v>45066</v>
      </c>
      <c r="S141" s="202" t="s">
        <v>32</v>
      </c>
      <c r="T141" s="206"/>
      <c r="U141" s="215"/>
      <c r="V141" s="215"/>
      <c r="W141" s="216" t="s">
        <v>240</v>
      </c>
      <c r="X141" s="204"/>
      <c r="Y141" s="202" t="s">
        <v>820</v>
      </c>
      <c r="Z141" s="217" t="s">
        <v>823</v>
      </c>
      <c r="AA141" s="208" t="str">
        <f aca="false">VLOOKUP(Y141,20230302Data!A:K,2,FALSE())</f>
        <v>小3－2</v>
      </c>
      <c r="AB141" s="208" t="str">
        <f aca="false">VLOOKUP(Y141,20230302Data!A:K,3,FALSE())</f>
        <v>近藤 結衣</v>
      </c>
      <c r="AC141" s="209" t="str">
        <f aca="false">VLOOKUP(Y141,20230302Data!A:K,4,FALSE())</f>
        <v>進一</v>
      </c>
      <c r="AD141" s="209" t="n">
        <f aca="false">VLOOKUP(Y141,20230302Data!A:K,6,FALSE())</f>
        <v>0</v>
      </c>
      <c r="AE141" s="209" t="n">
        <f aca="false">VLOOKUP(Y141,20230302Data!A:K,7,FALSE())</f>
        <v>0</v>
      </c>
      <c r="AF141" s="209" t="n">
        <f aca="false">VLOOKUP(Y141,20230302Data!A:K,8,FALSE())</f>
        <v>0</v>
      </c>
      <c r="AG141" s="209" t="n">
        <f aca="false">VLOOKUP(Y141,20230302Data!A:K,9,FALSE())</f>
        <v>0</v>
      </c>
      <c r="AH141" s="209" t="str">
        <f aca="false">SUBSTITUTE(SUBSTITUTE(SUBSTITUTE(Y141,"-",""),"(",""),")","")</f>
        <v>3473661648</v>
      </c>
      <c r="AI141" s="209" t="str">
        <f aca="false">IFERROR(VLOOKUP(AH141,#REF!,3,FALSE()),"")</f>
        <v/>
      </c>
    </row>
    <row r="142" customFormat="false" ht="12.75" hidden="false" customHeight="true" outlineLevel="0" collapsed="false">
      <c r="A142" s="162" t="s">
        <v>824</v>
      </c>
      <c r="B142" s="163" t="n">
        <v>140</v>
      </c>
      <c r="C142" s="163" t="s">
        <v>183</v>
      </c>
      <c r="D142" s="163" t="s">
        <v>825</v>
      </c>
      <c r="E142" s="163" t="s">
        <v>826</v>
      </c>
      <c r="F142" s="162" t="s">
        <v>824</v>
      </c>
      <c r="G142" s="116" t="s">
        <v>827</v>
      </c>
      <c r="H142" s="163" t="s">
        <v>395</v>
      </c>
      <c r="I142" s="163" t="s">
        <v>828</v>
      </c>
      <c r="J142" s="116"/>
      <c r="K142" s="116"/>
      <c r="L142" s="116"/>
      <c r="M142" s="116"/>
      <c r="N142" s="164"/>
      <c r="O142" s="164"/>
      <c r="P142" s="164"/>
      <c r="Q142" s="164"/>
      <c r="R142" s="164"/>
      <c r="S142" s="163"/>
      <c r="T142" s="165"/>
      <c r="U142" s="166"/>
      <c r="V142" s="166"/>
      <c r="W142" s="116"/>
      <c r="X142" s="116"/>
      <c r="Y142" s="162" t="s">
        <v>824</v>
      </c>
      <c r="Z142" s="167" t="s">
        <v>827</v>
      </c>
      <c r="AA142" s="168" t="str">
        <f aca="false">VLOOKUP(Y142,20230302Data!A:K,2,FALSE())</f>
        <v>小3－2</v>
      </c>
      <c r="AB142" s="168" t="str">
        <f aca="false">VLOOKUP(Y142,20230302Data!A:K,3,FALSE())</f>
        <v>山本 晴子</v>
      </c>
      <c r="AC142" s="169" t="str">
        <f aca="false">VLOOKUP(Y142,20230302Data!A:K,4,FALSE())</f>
        <v>遼平</v>
      </c>
      <c r="AD142" s="169" t="str">
        <f aca="false">VLOOKUP(Y142,20230302Data!A:K,6,FALSE())</f>
        <v>小6－1</v>
      </c>
      <c r="AE142" s="169" t="str">
        <f aca="false">VLOOKUP(Y142,20230302Data!A:K,7,FALSE())</f>
        <v>山本 静香</v>
      </c>
      <c r="AF142" s="169" t="n">
        <f aca="false">VLOOKUP(Y142,20230302Data!A:K,8,FALSE())</f>
        <v>0</v>
      </c>
      <c r="AG142" s="169" t="n">
        <f aca="false">VLOOKUP(Y142,20230302Data!A:K,9,FALSE())</f>
        <v>0</v>
      </c>
      <c r="AH142" s="169" t="str">
        <f aca="false">SUBSTITUTE(SUBSTITUTE(SUBSTITUTE(Y142,"-",""),"(",""),")","")</f>
        <v>7703713141</v>
      </c>
      <c r="AI142" s="169" t="str">
        <f aca="false">IFERROR(VLOOKUP(AH142,#REF!,3,FALSE()),"")</f>
        <v/>
      </c>
    </row>
    <row r="143" customFormat="false" ht="12.75" hidden="false" customHeight="true" outlineLevel="0" collapsed="false">
      <c r="A143" s="162" t="s">
        <v>829</v>
      </c>
      <c r="B143" s="163" t="n">
        <v>141</v>
      </c>
      <c r="C143" s="163" t="s">
        <v>183</v>
      </c>
      <c r="D143" s="163" t="s">
        <v>830</v>
      </c>
      <c r="E143" s="163" t="s">
        <v>137</v>
      </c>
      <c r="F143" s="162" t="s">
        <v>829</v>
      </c>
      <c r="G143" s="116" t="s">
        <v>831</v>
      </c>
      <c r="H143" s="116"/>
      <c r="I143" s="116"/>
      <c r="J143" s="116"/>
      <c r="K143" s="116"/>
      <c r="L143" s="116"/>
      <c r="M143" s="116"/>
      <c r="N143" s="164"/>
      <c r="O143" s="164"/>
      <c r="P143" s="164"/>
      <c r="Q143" s="164"/>
      <c r="R143" s="164"/>
      <c r="S143" s="163"/>
      <c r="T143" s="165"/>
      <c r="U143" s="166"/>
      <c r="V143" s="166"/>
      <c r="W143" s="116"/>
      <c r="X143" s="116"/>
      <c r="Y143" s="162" t="s">
        <v>829</v>
      </c>
      <c r="Z143" s="167" t="s">
        <v>831</v>
      </c>
      <c r="AA143" s="168" t="str">
        <f aca="false">VLOOKUP(Y143,20230302Data!A:K,2,FALSE())</f>
        <v>小3－2</v>
      </c>
      <c r="AB143" s="168" t="str">
        <f aca="false">VLOOKUP(Y143,20230302Data!A:K,3,FALSE())</f>
        <v>鬟谷 京香</v>
      </c>
      <c r="AC143" s="169" t="str">
        <f aca="false">VLOOKUP(Y143,20230302Data!A:K,4,FALSE())</f>
        <v>浩平</v>
      </c>
      <c r="AD143" s="169" t="n">
        <f aca="false">VLOOKUP(Y143,20230302Data!A:K,6,FALSE())</f>
        <v>0</v>
      </c>
      <c r="AE143" s="169" t="n">
        <f aca="false">VLOOKUP(Y143,20230302Data!A:K,7,FALSE())</f>
        <v>0</v>
      </c>
      <c r="AF143" s="169" t="n">
        <f aca="false">VLOOKUP(Y143,20230302Data!A:K,8,FALSE())</f>
        <v>0</v>
      </c>
      <c r="AG143" s="169" t="n">
        <f aca="false">VLOOKUP(Y143,20230302Data!A:K,9,FALSE())</f>
        <v>0</v>
      </c>
      <c r="AH143" s="169" t="str">
        <f aca="false">SUBSTITUTE(SUBSTITUTE(SUBSTITUTE(Y143,"-",""),"(",""),")","")</f>
        <v>4042291551</v>
      </c>
      <c r="AI143" s="169" t="str">
        <f aca="false">IFERROR(VLOOKUP(AH143,#REF!,3,FALSE()),"")</f>
        <v/>
      </c>
    </row>
    <row r="144" customFormat="false" ht="15.75" hidden="false" customHeight="true" outlineLevel="0" collapsed="false">
      <c r="A144" s="170" t="s">
        <v>832</v>
      </c>
      <c r="B144" s="171" t="n">
        <v>142</v>
      </c>
      <c r="C144" s="171" t="s">
        <v>183</v>
      </c>
      <c r="D144" s="171" t="s">
        <v>833</v>
      </c>
      <c r="E144" s="171" t="s">
        <v>834</v>
      </c>
      <c r="F144" s="170" t="s">
        <v>832</v>
      </c>
      <c r="G144" s="111" t="s">
        <v>835</v>
      </c>
      <c r="H144" s="171" t="s">
        <v>185</v>
      </c>
      <c r="I144" s="193" t="s">
        <v>836</v>
      </c>
      <c r="J144" s="111"/>
      <c r="K144" s="111"/>
      <c r="L144" s="111"/>
      <c r="M144" s="111"/>
      <c r="N144" s="171"/>
      <c r="O144" s="171"/>
      <c r="P144" s="171"/>
      <c r="Q144" s="171"/>
      <c r="R144" s="155"/>
      <c r="S144" s="155"/>
      <c r="T144" s="111"/>
      <c r="U144" s="195" t="n">
        <v>44779</v>
      </c>
      <c r="V144" s="174"/>
      <c r="W144" s="171" t="s">
        <v>152</v>
      </c>
      <c r="X144" s="111"/>
      <c r="Y144" s="170" t="s">
        <v>832</v>
      </c>
      <c r="Z144" s="111"/>
      <c r="AA144" s="175" t="str">
        <f aca="false">VLOOKUP(Y144,20230302Data!A:K,2,FALSE())</f>
        <v>小3－2</v>
      </c>
      <c r="AB144" s="175" t="str">
        <f aca="false">VLOOKUP(Y144,20230302Data!A:K,3,FALSE())</f>
        <v>伊藤 瑛太</v>
      </c>
      <c r="AC144" s="176" t="str">
        <f aca="false">VLOOKUP(Y144,20230302Data!A:K,4,FALSE())</f>
        <v>誠規</v>
      </c>
      <c r="AD144" s="176" t="str">
        <f aca="false">VLOOKUP(Y144,20230302Data!A:K,6,FALSE())</f>
        <v>小5－1</v>
      </c>
      <c r="AE144" s="176" t="str">
        <f aca="false">VLOOKUP(Y144,20230302Data!A:K,7,FALSE())</f>
        <v>伊藤 心和</v>
      </c>
      <c r="AF144" s="176" t="n">
        <f aca="false">VLOOKUP(Y144,20230302Data!A:K,8,FALSE())</f>
        <v>0</v>
      </c>
      <c r="AG144" s="176" t="n">
        <f aca="false">VLOOKUP(Y144,20230302Data!A:K,9,FALSE())</f>
        <v>0</v>
      </c>
      <c r="AH144" s="176" t="str">
        <f aca="false">SUBSTITUTE(SUBSTITUTE(SUBSTITUTE(Y144,"-",""),"(",""),")","")</f>
        <v>3106501346</v>
      </c>
      <c r="AI144" s="176" t="str">
        <f aca="false">IFERROR(VLOOKUP(AH144,#REF!,3,FALSE()),"")</f>
        <v/>
      </c>
    </row>
    <row r="145" customFormat="false" ht="21.75" hidden="false" customHeight="true" outlineLevel="0" collapsed="false">
      <c r="A145" s="162" t="s">
        <v>837</v>
      </c>
      <c r="B145" s="163" t="n">
        <v>143</v>
      </c>
      <c r="C145" s="163" t="s">
        <v>183</v>
      </c>
      <c r="D145" s="163" t="s">
        <v>838</v>
      </c>
      <c r="E145" s="163" t="s">
        <v>729</v>
      </c>
      <c r="F145" s="162" t="s">
        <v>837</v>
      </c>
      <c r="G145" s="116" t="s">
        <v>839</v>
      </c>
      <c r="H145" s="163" t="s">
        <v>533</v>
      </c>
      <c r="I145" s="220" t="s">
        <v>840</v>
      </c>
      <c r="J145" s="116"/>
      <c r="K145" s="116"/>
      <c r="L145" s="116"/>
      <c r="M145" s="116"/>
      <c r="N145" s="163"/>
      <c r="O145" s="163"/>
      <c r="P145" s="164"/>
      <c r="Q145" s="163"/>
      <c r="R145" s="164"/>
      <c r="S145" s="164"/>
      <c r="T145" s="116"/>
      <c r="U145" s="219" t="n">
        <v>44779</v>
      </c>
      <c r="V145" s="166"/>
      <c r="W145" s="116"/>
      <c r="X145" s="116"/>
      <c r="Y145" s="162" t="s">
        <v>837</v>
      </c>
      <c r="Z145" s="116"/>
      <c r="AA145" s="168" t="str">
        <f aca="false">VLOOKUP(Y145,20230302Data!A:K,2,FALSE())</f>
        <v>小3－2</v>
      </c>
      <c r="AB145" s="168" t="str">
        <f aca="false">VLOOKUP(Y145,20230302Data!A:K,3,FALSE())</f>
        <v>藤原 夏菜</v>
      </c>
      <c r="AC145" s="169" t="str">
        <f aca="false">VLOOKUP(Y145,20230302Data!A:K,4,FALSE())</f>
        <v>達也</v>
      </c>
      <c r="AD145" s="169" t="str">
        <f aca="false">VLOOKUP(Y145,20230302Data!A:K,6,FALSE())</f>
        <v>中1－1</v>
      </c>
      <c r="AE145" s="169" t="str">
        <f aca="false">VLOOKUP(Y145,20230302Data!A:K,7,FALSE())</f>
        <v>藤原 結花</v>
      </c>
      <c r="AF145" s="169" t="n">
        <f aca="false">VLOOKUP(Y145,20230302Data!A:K,8,FALSE())</f>
        <v>0</v>
      </c>
      <c r="AG145" s="169" t="n">
        <f aca="false">VLOOKUP(Y145,20230302Data!A:K,9,FALSE())</f>
        <v>0</v>
      </c>
      <c r="AH145" s="169" t="str">
        <f aca="false">SUBSTITUTE(SUBSTITUTE(SUBSTITUTE(Y145,"-",""),"(",""),")","")</f>
        <v>7706885680</v>
      </c>
      <c r="AI145" s="169" t="str">
        <f aca="false">IFERROR(VLOOKUP(AH145,#REF!,3,FALSE()),"")</f>
        <v/>
      </c>
    </row>
    <row r="146" customFormat="false" ht="12.75" hidden="false" customHeight="true" outlineLevel="0" collapsed="false">
      <c r="A146" s="153" t="s">
        <v>841</v>
      </c>
      <c r="B146" s="152" t="n">
        <v>144</v>
      </c>
      <c r="C146" s="152" t="s">
        <v>183</v>
      </c>
      <c r="D146" s="152" t="s">
        <v>842</v>
      </c>
      <c r="E146" s="158" t="s">
        <v>843</v>
      </c>
      <c r="F146" s="153" t="s">
        <v>841</v>
      </c>
      <c r="G146" s="153" t="s">
        <v>844</v>
      </c>
      <c r="H146" s="152"/>
      <c r="I146" s="152"/>
      <c r="J146" s="153"/>
      <c r="K146" s="153"/>
      <c r="L146" s="153"/>
      <c r="M146" s="153"/>
      <c r="N146" s="154"/>
      <c r="O146" s="152"/>
      <c r="P146" s="186"/>
      <c r="Q146" s="186"/>
      <c r="R146" s="152"/>
      <c r="S146" s="152"/>
      <c r="T146" s="153"/>
      <c r="U146" s="157" t="n">
        <v>44954</v>
      </c>
      <c r="V146" s="157"/>
      <c r="W146" s="158" t="s">
        <v>103</v>
      </c>
      <c r="X146" s="153"/>
      <c r="Y146" s="153" t="s">
        <v>841</v>
      </c>
      <c r="Z146" s="153"/>
      <c r="AA146" s="160" t="str">
        <f aca="false">VLOOKUP(Y146,20230302Data!A:K,2,FALSE())</f>
        <v>小3－2</v>
      </c>
      <c r="AB146" s="160" t="str">
        <f aca="false">VLOOKUP(Y146,20230302Data!A:K,3,FALSE())</f>
        <v>今川 晃成</v>
      </c>
      <c r="AC146" s="161" t="str">
        <f aca="false">VLOOKUP(Y146,20230302Data!A:K,4,FALSE())</f>
        <v>克也</v>
      </c>
      <c r="AD146" s="161" t="n">
        <f aca="false">VLOOKUP(Y146,20230302Data!A:K,6,FALSE())</f>
        <v>0</v>
      </c>
      <c r="AE146" s="161" t="n">
        <f aca="false">VLOOKUP(Y146,20230302Data!A:K,7,FALSE())</f>
        <v>0</v>
      </c>
      <c r="AF146" s="161" t="n">
        <f aca="false">VLOOKUP(Y146,20230302Data!A:K,8,FALSE())</f>
        <v>0</v>
      </c>
      <c r="AG146" s="161" t="n">
        <f aca="false">VLOOKUP(Y146,20230302Data!A:K,9,FALSE())</f>
        <v>0</v>
      </c>
      <c r="AH146" s="161" t="str">
        <f aca="false">SUBSTITUTE(SUBSTITUTE(SUBSTITUTE(Y146,"-",""),"(",""),")","")</f>
        <v>4704281663</v>
      </c>
      <c r="AI146" s="161" t="str">
        <f aca="false">IFERROR(VLOOKUP(AH146,#REF!,3,FALSE()),"")</f>
        <v/>
      </c>
    </row>
    <row r="147" customFormat="false" ht="12.75" hidden="false" customHeight="true" outlineLevel="0" collapsed="false">
      <c r="A147" s="153" t="s">
        <v>845</v>
      </c>
      <c r="B147" s="152" t="n">
        <v>145</v>
      </c>
      <c r="C147" s="152" t="s">
        <v>183</v>
      </c>
      <c r="D147" s="152" t="s">
        <v>846</v>
      </c>
      <c r="E147" s="158" t="s">
        <v>847</v>
      </c>
      <c r="F147" s="153" t="s">
        <v>845</v>
      </c>
      <c r="G147" s="153" t="s">
        <v>848</v>
      </c>
      <c r="H147" s="152"/>
      <c r="I147" s="152"/>
      <c r="J147" s="153"/>
      <c r="K147" s="153"/>
      <c r="L147" s="153"/>
      <c r="M147" s="153"/>
      <c r="N147" s="154" t="n">
        <v>45066</v>
      </c>
      <c r="O147" s="151" t="s">
        <v>126</v>
      </c>
      <c r="P147" s="186"/>
      <c r="Q147" s="186"/>
      <c r="R147" s="152"/>
      <c r="S147" s="152"/>
      <c r="T147" s="153"/>
      <c r="U147" s="157" t="n">
        <v>44954</v>
      </c>
      <c r="V147" s="157"/>
      <c r="W147" s="158" t="s">
        <v>103</v>
      </c>
      <c r="X147" s="153"/>
      <c r="Y147" s="153" t="s">
        <v>845</v>
      </c>
      <c r="Z147" s="153"/>
      <c r="AA147" s="160" t="str">
        <f aca="false">VLOOKUP(Y147,20230302Data!A:K,2,FALSE())</f>
        <v>小3－2</v>
      </c>
      <c r="AB147" s="160" t="str">
        <f aca="false">VLOOKUP(Y147,20230302Data!A:K,3,FALSE())</f>
        <v>堂野 千颯</v>
      </c>
      <c r="AC147" s="161" t="str">
        <f aca="false">VLOOKUP(Y147,20230302Data!A:K,4,FALSE())</f>
        <v>千晶</v>
      </c>
      <c r="AD147" s="161" t="n">
        <f aca="false">VLOOKUP(Y147,20230302Data!A:K,6,FALSE())</f>
        <v>0</v>
      </c>
      <c r="AE147" s="161" t="n">
        <f aca="false">VLOOKUP(Y147,20230302Data!A:K,7,FALSE())</f>
        <v>0</v>
      </c>
      <c r="AF147" s="161" t="n">
        <f aca="false">VLOOKUP(Y147,20230302Data!A:K,8,FALSE())</f>
        <v>0</v>
      </c>
      <c r="AG147" s="161" t="n">
        <f aca="false">VLOOKUP(Y147,20230302Data!A:K,9,FALSE())</f>
        <v>0</v>
      </c>
      <c r="AH147" s="161" t="str">
        <f aca="false">SUBSTITUTE(SUBSTITUTE(SUBSTITUTE(Y147,"-",""),"(",""),")","")</f>
        <v>4709624585</v>
      </c>
      <c r="AI147" s="161" t="str">
        <f aca="false">IFERROR(VLOOKUP(AH147,#REF!,3,FALSE()),"")</f>
        <v/>
      </c>
    </row>
    <row r="148" customFormat="false" ht="12.75" hidden="false" customHeight="true" outlineLevel="0" collapsed="false">
      <c r="A148" s="170" t="s">
        <v>849</v>
      </c>
      <c r="B148" s="171" t="n">
        <v>146</v>
      </c>
      <c r="C148" s="171" t="s">
        <v>120</v>
      </c>
      <c r="D148" s="171" t="s">
        <v>850</v>
      </c>
      <c r="E148" s="171" t="s">
        <v>851</v>
      </c>
      <c r="F148" s="170" t="s">
        <v>849</v>
      </c>
      <c r="G148" s="111" t="s">
        <v>852</v>
      </c>
      <c r="H148" s="171" t="s">
        <v>215</v>
      </c>
      <c r="I148" s="171" t="s">
        <v>853</v>
      </c>
      <c r="J148" s="171"/>
      <c r="K148" s="171"/>
      <c r="L148" s="171"/>
      <c r="M148" s="171"/>
      <c r="N148" s="172"/>
      <c r="O148" s="172"/>
      <c r="P148" s="172"/>
      <c r="Q148" s="172"/>
      <c r="R148" s="155"/>
      <c r="S148" s="155"/>
      <c r="T148" s="173"/>
      <c r="U148" s="195"/>
      <c r="V148" s="195"/>
      <c r="W148" s="171" t="s">
        <v>33</v>
      </c>
      <c r="X148" s="171" t="s">
        <v>217</v>
      </c>
      <c r="Y148" s="170" t="s">
        <v>849</v>
      </c>
      <c r="Z148" s="175" t="s">
        <v>852</v>
      </c>
      <c r="AA148" s="175" t="str">
        <f aca="false">VLOOKUP(Y148,20230302Data!A:K,2,FALSE())</f>
        <v>小4－1</v>
      </c>
      <c r="AB148" s="175" t="str">
        <f aca="false">VLOOKUP(Y148,20230302Data!A:K,3,FALSE())</f>
        <v>岩村 遼</v>
      </c>
      <c r="AC148" s="176" t="str">
        <f aca="false">VLOOKUP(Y148,20230302Data!A:K,4,FALSE())</f>
        <v>朗</v>
      </c>
      <c r="AD148" s="176" t="str">
        <f aca="false">VLOOKUP(Y148,20230302Data!A:K,6,FALSE())</f>
        <v>中2－1</v>
      </c>
      <c r="AE148" s="176" t="str">
        <f aca="false">VLOOKUP(Y148,20230302Data!A:K,7,FALSE())</f>
        <v>岩村 杏</v>
      </c>
      <c r="AF148" s="176" t="n">
        <f aca="false">VLOOKUP(Y148,20230302Data!A:K,8,FALSE())</f>
        <v>0</v>
      </c>
      <c r="AG148" s="176" t="n">
        <f aca="false">VLOOKUP(Y148,20230302Data!A:K,9,FALSE())</f>
        <v>0</v>
      </c>
      <c r="AH148" s="176" t="str">
        <f aca="false">SUBSTITUTE(SUBSTITUTE(SUBSTITUTE(Y148,"-",""),"(",""),")","")</f>
        <v>4703499060</v>
      </c>
      <c r="AI148" s="176" t="str">
        <f aca="false">IFERROR(VLOOKUP(AH148,#REF!,3,FALSE()),"")</f>
        <v/>
      </c>
    </row>
    <row r="149" customFormat="false" ht="12.75" hidden="false" customHeight="true" outlineLevel="0" collapsed="false">
      <c r="A149" s="222" t="s">
        <v>854</v>
      </c>
      <c r="B149" s="223" t="n">
        <v>147</v>
      </c>
      <c r="C149" s="223" t="s">
        <v>120</v>
      </c>
      <c r="D149" s="223" t="s">
        <v>855</v>
      </c>
      <c r="E149" s="223" t="s">
        <v>856</v>
      </c>
      <c r="F149" s="222" t="s">
        <v>854</v>
      </c>
      <c r="G149" s="224" t="s">
        <v>857</v>
      </c>
      <c r="H149" s="223" t="s">
        <v>395</v>
      </c>
      <c r="I149" s="223" t="s">
        <v>858</v>
      </c>
      <c r="J149" s="223"/>
      <c r="K149" s="223"/>
      <c r="L149" s="223"/>
      <c r="M149" s="223"/>
      <c r="N149" s="225"/>
      <c r="O149" s="223"/>
      <c r="P149" s="225"/>
      <c r="Q149" s="225"/>
      <c r="R149" s="225"/>
      <c r="S149" s="225"/>
      <c r="T149" s="226"/>
      <c r="U149" s="231"/>
      <c r="V149" s="231"/>
      <c r="W149" s="223" t="s">
        <v>859</v>
      </c>
      <c r="X149" s="223" t="s">
        <v>299</v>
      </c>
      <c r="Y149" s="222" t="s">
        <v>854</v>
      </c>
      <c r="Z149" s="229" t="s">
        <v>857</v>
      </c>
      <c r="AA149" s="228" t="str">
        <f aca="false">VLOOKUP(Y149,20230302Data!A:K,2,FALSE())</f>
        <v>小4－1</v>
      </c>
      <c r="AB149" s="228" t="str">
        <f aca="false">VLOOKUP(Y149,20230302Data!A:K,3,FALSE())</f>
        <v>青園 炎三</v>
      </c>
      <c r="AC149" s="230" t="str">
        <f aca="false">VLOOKUP(Y149,20230302Data!A:K,4,FALSE())</f>
        <v>アレサンドロ</v>
      </c>
      <c r="AD149" s="230" t="str">
        <f aca="false">VLOOKUP(Y149,20230302Data!A:K,6,FALSE())</f>
        <v>小6－1</v>
      </c>
      <c r="AE149" s="230" t="str">
        <f aca="false">VLOOKUP(Y149,20230302Data!A:K,7,FALSE())</f>
        <v>青園 毬愛</v>
      </c>
      <c r="AF149" s="230" t="n">
        <f aca="false">VLOOKUP(Y149,20230302Data!A:K,8,FALSE())</f>
        <v>0</v>
      </c>
      <c r="AG149" s="230" t="n">
        <f aca="false">VLOOKUP(Y149,20230302Data!A:K,9,FALSE())</f>
        <v>0</v>
      </c>
      <c r="AH149" s="230" t="str">
        <f aca="false">SUBSTITUTE(SUBSTITUTE(SUBSTITUTE(Y149,"-",""),"(",""),")","")</f>
        <v>5167766037</v>
      </c>
      <c r="AI149" s="230" t="str">
        <f aca="false">IFERROR(VLOOKUP(AH149,#REF!,3,FALSE()),"")</f>
        <v/>
      </c>
    </row>
    <row r="150" customFormat="false" ht="12.75" hidden="false" customHeight="true" outlineLevel="0" collapsed="false">
      <c r="A150" s="177" t="s">
        <v>860</v>
      </c>
      <c r="B150" s="178" t="n">
        <v>148</v>
      </c>
      <c r="C150" s="178" t="s">
        <v>120</v>
      </c>
      <c r="D150" s="178" t="s">
        <v>861</v>
      </c>
      <c r="E150" s="178" t="s">
        <v>862</v>
      </c>
      <c r="F150" s="177" t="s">
        <v>860</v>
      </c>
      <c r="G150" s="183" t="s">
        <v>863</v>
      </c>
      <c r="H150" s="178" t="s">
        <v>533</v>
      </c>
      <c r="I150" s="178" t="s">
        <v>864</v>
      </c>
      <c r="J150" s="179"/>
      <c r="K150" s="179"/>
      <c r="L150" s="179"/>
      <c r="M150" s="179"/>
      <c r="N150" s="180"/>
      <c r="O150" s="180"/>
      <c r="P150" s="180"/>
      <c r="Q150" s="180"/>
      <c r="R150" s="155"/>
      <c r="S150" s="155"/>
      <c r="T150" s="181"/>
      <c r="U150" s="200"/>
      <c r="V150" s="200"/>
      <c r="W150" s="201" t="s">
        <v>60</v>
      </c>
      <c r="X150" s="179"/>
      <c r="Y150" s="177" t="s">
        <v>860</v>
      </c>
      <c r="Z150" s="183" t="s">
        <v>865</v>
      </c>
      <c r="AA150" s="183" t="str">
        <f aca="false">VLOOKUP(Y150,20230302Data!A:K,2,FALSE())</f>
        <v>小4－1</v>
      </c>
      <c r="AB150" s="183" t="str">
        <f aca="false">VLOOKUP(Y150,20230302Data!A:K,3,FALSE())</f>
        <v>増田 卓矩</v>
      </c>
      <c r="AC150" s="184" t="str">
        <f aca="false">VLOOKUP(Y150,20230302Data!A:K,4,FALSE())</f>
        <v>有周</v>
      </c>
      <c r="AD150" s="184" t="str">
        <f aca="false">VLOOKUP(Y150,20230302Data!A:K,6,FALSE())</f>
        <v>中1－1</v>
      </c>
      <c r="AE150" s="184" t="str">
        <f aca="false">VLOOKUP(Y150,20230302Data!A:K,7,FALSE())</f>
        <v>増田 朱姫</v>
      </c>
      <c r="AF150" s="184" t="n">
        <f aca="false">VLOOKUP(Y150,20230302Data!A:K,8,FALSE())</f>
        <v>0</v>
      </c>
      <c r="AG150" s="184" t="n">
        <f aca="false">VLOOKUP(Y150,20230302Data!A:K,9,FALSE())</f>
        <v>0</v>
      </c>
      <c r="AH150" s="184" t="str">
        <f aca="false">SUBSTITUTE(SUBSTITUTE(SUBSTITUTE(Y150,"-",""),"(",""),")","")</f>
        <v>4047099951</v>
      </c>
      <c r="AI150" s="184" t="str">
        <f aca="false">IFERROR(VLOOKUP(AH150,#REF!,3,FALSE()),"")</f>
        <v/>
      </c>
    </row>
    <row r="151" customFormat="false" ht="12.75" hidden="false" customHeight="true" outlineLevel="0" collapsed="false">
      <c r="A151" s="162" t="s">
        <v>866</v>
      </c>
      <c r="B151" s="163" t="n">
        <v>149</v>
      </c>
      <c r="C151" s="163" t="s">
        <v>120</v>
      </c>
      <c r="D151" s="163" t="s">
        <v>867</v>
      </c>
      <c r="E151" s="163" t="s">
        <v>868</v>
      </c>
      <c r="F151" s="162" t="s">
        <v>866</v>
      </c>
      <c r="G151" s="116" t="s">
        <v>869</v>
      </c>
      <c r="H151" s="163" t="s">
        <v>516</v>
      </c>
      <c r="I151" s="163" t="s">
        <v>870</v>
      </c>
      <c r="J151" s="116"/>
      <c r="K151" s="116"/>
      <c r="L151" s="116"/>
      <c r="M151" s="116"/>
      <c r="N151" s="164" t="n">
        <v>45031</v>
      </c>
      <c r="O151" s="162" t="s">
        <v>335</v>
      </c>
      <c r="P151" s="164"/>
      <c r="Q151" s="164"/>
      <c r="R151" s="164"/>
      <c r="S151" s="163"/>
      <c r="T151" s="165"/>
      <c r="U151" s="166"/>
      <c r="V151" s="166" t="n">
        <v>45073</v>
      </c>
      <c r="W151" s="116"/>
      <c r="X151" s="116"/>
      <c r="Y151" s="162" t="s">
        <v>866</v>
      </c>
      <c r="Z151" s="167" t="s">
        <v>871</v>
      </c>
      <c r="AA151" s="168" t="str">
        <f aca="false">VLOOKUP(Y151,20230302Data!A:K,2,FALSE())</f>
        <v>小4－1</v>
      </c>
      <c r="AB151" s="168" t="str">
        <f aca="false">VLOOKUP(Y151,20230302Data!A:K,3,FALSE())</f>
        <v>平野 莉央</v>
      </c>
      <c r="AC151" s="169" t="str">
        <f aca="false">VLOOKUP(Y151,20230302Data!A:K,4,FALSE())</f>
        <v>元悟</v>
      </c>
      <c r="AD151" s="169" t="str">
        <f aca="false">VLOOKUP(Y151,20230302Data!A:K,6,FALSE())</f>
        <v>中3－1</v>
      </c>
      <c r="AE151" s="169" t="str">
        <f aca="false">VLOOKUP(Y151,20230302Data!A:K,7,FALSE())</f>
        <v>平野 彩織</v>
      </c>
      <c r="AF151" s="169" t="n">
        <f aca="false">VLOOKUP(Y151,20230302Data!A:K,8,FALSE())</f>
        <v>0</v>
      </c>
      <c r="AG151" s="169" t="n">
        <f aca="false">VLOOKUP(Y151,20230302Data!A:K,9,FALSE())</f>
        <v>0</v>
      </c>
      <c r="AH151" s="169" t="str">
        <f aca="false">SUBSTITUTE(SUBSTITUTE(SUBSTITUTE(Y151,"-",""),"(",""),")","")</f>
        <v>4703996477</v>
      </c>
      <c r="AI151" s="169" t="str">
        <f aca="false">IFERROR(VLOOKUP(AH151,#REF!,3,FALSE()),"")</f>
        <v/>
      </c>
    </row>
    <row r="152" customFormat="false" ht="12.75" hidden="false" customHeight="true" outlineLevel="0" collapsed="false">
      <c r="A152" s="170" t="s">
        <v>872</v>
      </c>
      <c r="B152" s="171" t="n">
        <v>150</v>
      </c>
      <c r="C152" s="171" t="s">
        <v>120</v>
      </c>
      <c r="D152" s="171" t="s">
        <v>873</v>
      </c>
      <c r="E152" s="171" t="s">
        <v>874</v>
      </c>
      <c r="F152" s="170" t="s">
        <v>872</v>
      </c>
      <c r="G152" s="111" t="s">
        <v>875</v>
      </c>
      <c r="H152" s="171" t="s">
        <v>418</v>
      </c>
      <c r="I152" s="171" t="s">
        <v>876</v>
      </c>
      <c r="J152" s="111"/>
      <c r="K152" s="111"/>
      <c r="L152" s="111"/>
      <c r="M152" s="111"/>
      <c r="N152" s="171"/>
      <c r="O152" s="171"/>
      <c r="P152" s="172"/>
      <c r="Q152" s="172"/>
      <c r="R152" s="155"/>
      <c r="S152" s="186"/>
      <c r="T152" s="173"/>
      <c r="U152" s="174"/>
      <c r="V152" s="174"/>
      <c r="W152" s="193" t="s">
        <v>33</v>
      </c>
      <c r="X152" s="193" t="s">
        <v>299</v>
      </c>
      <c r="Y152" s="170" t="s">
        <v>872</v>
      </c>
      <c r="Z152" s="175" t="s">
        <v>875</v>
      </c>
      <c r="AA152" s="175" t="str">
        <f aca="false">VLOOKUP(Y152,20230302Data!A:K,2,FALSE())</f>
        <v>小4－1</v>
      </c>
      <c r="AB152" s="175" t="str">
        <f aca="false">VLOOKUP(Y152,20230302Data!A:K,3,FALSE())</f>
        <v>大久保 結月</v>
      </c>
      <c r="AC152" s="176" t="str">
        <f aca="false">VLOOKUP(Y152,20230302Data!A:K,4,FALSE())</f>
        <v>佳結</v>
      </c>
      <c r="AD152" s="176" t="str">
        <f aca="false">VLOOKUP(Y152,20230302Data!A:K,6,FALSE())</f>
        <v>小6－2</v>
      </c>
      <c r="AE152" s="176" t="str">
        <f aca="false">VLOOKUP(Y152,20230302Data!A:K,7,FALSE())</f>
        <v>大久保 湊音</v>
      </c>
      <c r="AF152" s="176" t="n">
        <f aca="false">VLOOKUP(Y152,20230302Data!A:K,8,FALSE())</f>
        <v>0</v>
      </c>
      <c r="AG152" s="176" t="n">
        <f aca="false">VLOOKUP(Y152,20230302Data!A:K,9,FALSE())</f>
        <v>0</v>
      </c>
      <c r="AH152" s="176" t="str">
        <f aca="false">SUBSTITUTE(SUBSTITUTE(SUBSTITUTE(Y152,"-",""),"(",""),")","")</f>
        <v>4782902406</v>
      </c>
      <c r="AI152" s="176" t="str">
        <f aca="false">IFERROR(VLOOKUP(AH152,#REF!,3,FALSE()),"")</f>
        <v/>
      </c>
    </row>
    <row r="153" customFormat="false" ht="12.75" hidden="false" customHeight="true" outlineLevel="0" collapsed="false">
      <c r="A153" s="222" t="s">
        <v>877</v>
      </c>
      <c r="B153" s="223" t="n">
        <v>151</v>
      </c>
      <c r="C153" s="223" t="s">
        <v>120</v>
      </c>
      <c r="D153" s="223" t="s">
        <v>878</v>
      </c>
      <c r="E153" s="223" t="s">
        <v>879</v>
      </c>
      <c r="F153" s="222" t="s">
        <v>877</v>
      </c>
      <c r="G153" s="224" t="s">
        <v>880</v>
      </c>
      <c r="H153" s="223" t="s">
        <v>215</v>
      </c>
      <c r="I153" s="223" t="s">
        <v>881</v>
      </c>
      <c r="J153" s="223"/>
      <c r="K153" s="223"/>
      <c r="L153" s="223"/>
      <c r="M153" s="223"/>
      <c r="N153" s="225"/>
      <c r="O153" s="225"/>
      <c r="P153" s="225"/>
      <c r="Q153" s="225"/>
      <c r="R153" s="225"/>
      <c r="S153" s="223"/>
      <c r="T153" s="226"/>
      <c r="U153" s="231"/>
      <c r="V153" s="231"/>
      <c r="W153" s="228" t="s">
        <v>510</v>
      </c>
      <c r="X153" s="223" t="s">
        <v>217</v>
      </c>
      <c r="Y153" s="222" t="s">
        <v>877</v>
      </c>
      <c r="Z153" s="229" t="s">
        <v>880</v>
      </c>
      <c r="AA153" s="228" t="str">
        <f aca="false">VLOOKUP(Y153,20230302Data!A:K,2,FALSE())</f>
        <v>小4－1</v>
      </c>
      <c r="AB153" s="228" t="str">
        <f aca="false">VLOOKUP(Y153,20230302Data!A:K,3,FALSE())</f>
        <v>久保田 圭織</v>
      </c>
      <c r="AC153" s="230" t="str">
        <f aca="false">VLOOKUP(Y153,20230302Data!A:K,4,FALSE())</f>
        <v>佳宏</v>
      </c>
      <c r="AD153" s="230" t="str">
        <f aca="false">VLOOKUP(Y153,20230302Data!A:K,6,FALSE())</f>
        <v>中2－1</v>
      </c>
      <c r="AE153" s="230" t="str">
        <f aca="false">VLOOKUP(Y153,20230302Data!A:K,7,FALSE())</f>
        <v>久保田 詩織</v>
      </c>
      <c r="AF153" s="230" t="n">
        <f aca="false">VLOOKUP(Y153,20230302Data!A:K,8,FALSE())</f>
        <v>0</v>
      </c>
      <c r="AG153" s="230" t="n">
        <f aca="false">VLOOKUP(Y153,20230302Data!A:K,9,FALSE())</f>
        <v>0</v>
      </c>
      <c r="AH153" s="230" t="str">
        <f aca="false">SUBSTITUTE(SUBSTITUTE(SUBSTITUTE(Y153,"-",""),"(",""),")","")</f>
        <v>4702159994</v>
      </c>
      <c r="AI153" s="230" t="str">
        <f aca="false">IFERROR(VLOOKUP(AH153,#REF!,3,FALSE()),"")</f>
        <v/>
      </c>
    </row>
    <row r="154" customFormat="false" ht="12.75" hidden="false" customHeight="true" outlineLevel="0" collapsed="false">
      <c r="A154" s="170" t="s">
        <v>882</v>
      </c>
      <c r="B154" s="171" t="n">
        <v>152</v>
      </c>
      <c r="C154" s="171" t="s">
        <v>120</v>
      </c>
      <c r="D154" s="171" t="s">
        <v>883</v>
      </c>
      <c r="E154" s="171" t="s">
        <v>884</v>
      </c>
      <c r="F154" s="170" t="s">
        <v>882</v>
      </c>
      <c r="G154" s="111" t="s">
        <v>885</v>
      </c>
      <c r="H154" s="171" t="s">
        <v>395</v>
      </c>
      <c r="I154" s="171" t="s">
        <v>886</v>
      </c>
      <c r="J154" s="171"/>
      <c r="K154" s="171"/>
      <c r="L154" s="171"/>
      <c r="M154" s="171"/>
      <c r="N154" s="172"/>
      <c r="O154" s="172"/>
      <c r="P154" s="172"/>
      <c r="Q154" s="172"/>
      <c r="R154" s="186"/>
      <c r="S154" s="186"/>
      <c r="T154" s="194"/>
      <c r="U154" s="195"/>
      <c r="V154" s="195"/>
      <c r="W154" s="171" t="s">
        <v>152</v>
      </c>
      <c r="X154" s="171" t="s">
        <v>887</v>
      </c>
      <c r="Y154" s="170" t="s">
        <v>882</v>
      </c>
      <c r="Z154" s="175" t="s">
        <v>885</v>
      </c>
      <c r="AA154" s="175" t="str">
        <f aca="false">VLOOKUP(Y154,20230302Data!A:K,2,FALSE())</f>
        <v>小4－1</v>
      </c>
      <c r="AB154" s="175" t="str">
        <f aca="false">VLOOKUP(Y154,20230302Data!A:K,3,FALSE())</f>
        <v>竹嶋 柚稀</v>
      </c>
      <c r="AC154" s="176" t="str">
        <f aca="false">VLOOKUP(Y154,20230302Data!A:K,4,FALSE())</f>
        <v>孝則</v>
      </c>
      <c r="AD154" s="176" t="str">
        <f aca="false">VLOOKUP(Y154,20230302Data!A:K,6,FALSE())</f>
        <v>小6－1</v>
      </c>
      <c r="AE154" s="176" t="str">
        <f aca="false">VLOOKUP(Y154,20230302Data!A:K,7,FALSE())</f>
        <v>竹嶋 夏希</v>
      </c>
      <c r="AF154" s="176" t="n">
        <f aca="false">VLOOKUP(Y154,20230302Data!A:K,8,FALSE())</f>
        <v>0</v>
      </c>
      <c r="AG154" s="176" t="n">
        <f aca="false">VLOOKUP(Y154,20230302Data!A:K,9,FALSE())</f>
        <v>0</v>
      </c>
      <c r="AH154" s="176" t="str">
        <f aca="false">SUBSTITUTE(SUBSTITUTE(SUBSTITUTE(Y154,"-",""),"(",""),")","")</f>
        <v>6465254066</v>
      </c>
      <c r="AI154" s="176" t="str">
        <f aca="false">IFERROR(VLOOKUP(AH154,#REF!,3,FALSE()),"")</f>
        <v/>
      </c>
    </row>
    <row r="155" customFormat="false" ht="12.75" hidden="false" customHeight="true" outlineLevel="0" collapsed="false">
      <c r="A155" s="170" t="s">
        <v>888</v>
      </c>
      <c r="B155" s="171" t="n">
        <v>153</v>
      </c>
      <c r="C155" s="171" t="s">
        <v>120</v>
      </c>
      <c r="D155" s="171" t="s">
        <v>889</v>
      </c>
      <c r="E155" s="171" t="s">
        <v>890</v>
      </c>
      <c r="F155" s="170" t="s">
        <v>888</v>
      </c>
      <c r="G155" s="111" t="s">
        <v>891</v>
      </c>
      <c r="H155" s="171" t="s">
        <v>395</v>
      </c>
      <c r="I155" s="171" t="s">
        <v>892</v>
      </c>
      <c r="J155" s="171" t="s">
        <v>516</v>
      </c>
      <c r="K155" s="171" t="s">
        <v>893</v>
      </c>
      <c r="L155" s="111"/>
      <c r="M155" s="111"/>
      <c r="N155" s="172"/>
      <c r="O155" s="172"/>
      <c r="P155" s="172"/>
      <c r="Q155" s="171"/>
      <c r="R155" s="155"/>
      <c r="S155" s="186"/>
      <c r="T155" s="173"/>
      <c r="U155" s="174"/>
      <c r="V155" s="174"/>
      <c r="W155" s="193" t="s">
        <v>152</v>
      </c>
      <c r="X155" s="111"/>
      <c r="Y155" s="170" t="s">
        <v>888</v>
      </c>
      <c r="Z155" s="175" t="s">
        <v>891</v>
      </c>
      <c r="AA155" s="175" t="str">
        <f aca="false">VLOOKUP(Y155,20230302Data!A:K,2,FALSE())</f>
        <v>小4－1</v>
      </c>
      <c r="AB155" s="175" t="str">
        <f aca="false">VLOOKUP(Y155,20230302Data!A:K,3,FALSE())</f>
        <v>田中 萌彩</v>
      </c>
      <c r="AC155" s="176" t="str">
        <f aca="false">VLOOKUP(Y155,20230302Data!A:K,4,FALSE())</f>
        <v>元樹</v>
      </c>
      <c r="AD155" s="176" t="str">
        <f aca="false">VLOOKUP(Y155,20230302Data!A:K,6,FALSE())</f>
        <v>小6－1</v>
      </c>
      <c r="AE155" s="176" t="str">
        <f aca="false">VLOOKUP(Y155,20230302Data!A:K,7,FALSE())</f>
        <v>田中 陽翔</v>
      </c>
      <c r="AF155" s="176" t="str">
        <f aca="false">VLOOKUP(Y155,20230302Data!A:K,8,FALSE())</f>
        <v>中3－1</v>
      </c>
      <c r="AG155" s="176" t="str">
        <f aca="false">VLOOKUP(Y155,20230302Data!A:K,9,FALSE())</f>
        <v>田中 翔真</v>
      </c>
      <c r="AH155" s="176" t="str">
        <f aca="false">SUBSTITUTE(SUBSTITUTE(SUBSTITUTE(Y155,"-",""),"(",""),")","")</f>
        <v>7069839752</v>
      </c>
      <c r="AI155" s="176" t="str">
        <f aca="false">IFERROR(VLOOKUP(AH155,#REF!,3,FALSE()),"")</f>
        <v/>
      </c>
    </row>
    <row r="156" customFormat="false" ht="12.75" hidden="false" customHeight="true" outlineLevel="0" collapsed="false">
      <c r="A156" s="187" t="s">
        <v>894</v>
      </c>
      <c r="B156" s="186" t="n">
        <v>154</v>
      </c>
      <c r="C156" s="186" t="s">
        <v>120</v>
      </c>
      <c r="D156" s="186" t="s">
        <v>895</v>
      </c>
      <c r="E156" s="186" t="s">
        <v>615</v>
      </c>
      <c r="F156" s="185" t="s">
        <v>896</v>
      </c>
      <c r="G156" s="187" t="s">
        <v>897</v>
      </c>
      <c r="H156" s="186"/>
      <c r="I156" s="186"/>
      <c r="J156" s="186"/>
      <c r="K156" s="186"/>
      <c r="L156" s="187"/>
      <c r="M156" s="187"/>
      <c r="N156" s="155"/>
      <c r="O156" s="155"/>
      <c r="P156" s="155"/>
      <c r="Q156" s="155"/>
      <c r="R156" s="155"/>
      <c r="S156" s="155"/>
      <c r="T156" s="188"/>
      <c r="U156" s="199" t="n">
        <v>44793</v>
      </c>
      <c r="V156" s="199"/>
      <c r="W156" s="186" t="s">
        <v>55</v>
      </c>
      <c r="X156" s="187"/>
      <c r="Y156" s="187" t="s">
        <v>894</v>
      </c>
      <c r="Z156" s="190"/>
      <c r="AA156" s="190" t="str">
        <f aca="false">VLOOKUP(Y156,20230302Data!A:K,2,FALSE())</f>
        <v>小4－1</v>
      </c>
      <c r="AB156" s="190" t="str">
        <f aca="false">VLOOKUP(Y156,20230302Data!A:K,3,FALSE())</f>
        <v>馬場 日向子</v>
      </c>
      <c r="AC156" s="191" t="str">
        <f aca="false">VLOOKUP(Y156,20230302Data!A:K,4,FALSE())</f>
        <v>洋平</v>
      </c>
      <c r="AD156" s="191" t="n">
        <f aca="false">VLOOKUP(Y156,20230302Data!A:K,6,FALSE())</f>
        <v>0</v>
      </c>
      <c r="AE156" s="191" t="n">
        <f aca="false">VLOOKUP(Y156,20230302Data!A:K,7,FALSE())</f>
        <v>0</v>
      </c>
      <c r="AF156" s="191" t="n">
        <f aca="false">VLOOKUP(Y156,20230302Data!A:K,8,FALSE())</f>
        <v>0</v>
      </c>
      <c r="AG156" s="191" t="n">
        <f aca="false">VLOOKUP(Y156,20230302Data!A:K,9,FALSE())</f>
        <v>0</v>
      </c>
      <c r="AH156" s="191" t="str">
        <f aca="false">SUBSTITUTE(SUBSTITUTE(SUBSTITUTE(Y156,"-",""),"(",""),")","")</f>
        <v>4048247220</v>
      </c>
      <c r="AI156" s="191" t="str">
        <f aca="false">IFERROR(VLOOKUP(AH156,#REF!,3,FALSE()),"")</f>
        <v/>
      </c>
    </row>
    <row r="157" customFormat="false" ht="12.75" hidden="false" customHeight="true" outlineLevel="0" collapsed="false">
      <c r="A157" s="222" t="s">
        <v>898</v>
      </c>
      <c r="B157" s="223" t="n">
        <v>155</v>
      </c>
      <c r="C157" s="223" t="s">
        <v>322</v>
      </c>
      <c r="D157" s="223" t="s">
        <v>899</v>
      </c>
      <c r="E157" s="223" t="s">
        <v>900</v>
      </c>
      <c r="F157" s="222" t="s">
        <v>901</v>
      </c>
      <c r="G157" s="224" t="s">
        <v>902</v>
      </c>
      <c r="H157" s="224"/>
      <c r="I157" s="224"/>
      <c r="J157" s="224"/>
      <c r="K157" s="224"/>
      <c r="L157" s="224"/>
      <c r="M157" s="224"/>
      <c r="N157" s="225"/>
      <c r="O157" s="225"/>
      <c r="P157" s="225"/>
      <c r="Q157" s="223"/>
      <c r="R157" s="225"/>
      <c r="S157" s="223"/>
      <c r="T157" s="226"/>
      <c r="U157" s="227"/>
      <c r="V157" s="227"/>
      <c r="W157" s="228" t="s">
        <v>510</v>
      </c>
      <c r="X157" s="240" t="s">
        <v>903</v>
      </c>
      <c r="Y157" s="222" t="s">
        <v>898</v>
      </c>
      <c r="Z157" s="229" t="s">
        <v>902</v>
      </c>
      <c r="AA157" s="228" t="str">
        <f aca="false">VLOOKUP(Y157,20230302Data!A:K,2,FALSE())</f>
        <v>小4－2</v>
      </c>
      <c r="AB157" s="228" t="str">
        <f aca="false">VLOOKUP(Y157,20230302Data!A:K,3,FALSE())</f>
        <v>藤田 涼太郎</v>
      </c>
      <c r="AC157" s="230" t="str">
        <f aca="false">VLOOKUP(Y157,20230302Data!A:K,4,FALSE())</f>
        <v>耕治</v>
      </c>
      <c r="AD157" s="230" t="n">
        <f aca="false">VLOOKUP(Y157,20230302Data!A:K,6,FALSE())</f>
        <v>0</v>
      </c>
      <c r="AE157" s="230" t="n">
        <f aca="false">VLOOKUP(Y157,20230302Data!A:K,7,FALSE())</f>
        <v>0</v>
      </c>
      <c r="AF157" s="230" t="n">
        <f aca="false">VLOOKUP(Y157,20230302Data!A:K,8,FALSE())</f>
        <v>0</v>
      </c>
      <c r="AG157" s="230" t="n">
        <f aca="false">VLOOKUP(Y157,20230302Data!A:K,9,FALSE())</f>
        <v>0</v>
      </c>
      <c r="AH157" s="230" t="str">
        <f aca="false">SUBSTITUTE(SUBSTITUTE(SUBSTITUTE(Y157,"-",""),"(",""),")","")</f>
        <v>6785865250</v>
      </c>
      <c r="AI157" s="230" t="str">
        <f aca="false">IFERROR(VLOOKUP(AH157,#REF!,3,FALSE()),"")</f>
        <v/>
      </c>
    </row>
    <row r="158" customFormat="false" ht="12.75" hidden="false" customHeight="true" outlineLevel="0" collapsed="false">
      <c r="A158" s="151" t="s">
        <v>904</v>
      </c>
      <c r="B158" s="152" t="n">
        <v>156</v>
      </c>
      <c r="C158" s="152" t="s">
        <v>322</v>
      </c>
      <c r="D158" s="152" t="s">
        <v>905</v>
      </c>
      <c r="E158" s="152" t="s">
        <v>906</v>
      </c>
      <c r="F158" s="151" t="s">
        <v>904</v>
      </c>
      <c r="G158" s="153" t="s">
        <v>907</v>
      </c>
      <c r="H158" s="152"/>
      <c r="I158" s="152"/>
      <c r="J158" s="153"/>
      <c r="K158" s="153"/>
      <c r="L158" s="153"/>
      <c r="M158" s="153"/>
      <c r="N158" s="154" t="n">
        <v>45073</v>
      </c>
      <c r="O158" s="151" t="s">
        <v>67</v>
      </c>
      <c r="P158" s="155"/>
      <c r="Q158" s="155"/>
      <c r="R158" s="154"/>
      <c r="S158" s="154"/>
      <c r="T158" s="156"/>
      <c r="U158" s="157"/>
      <c r="V158" s="157"/>
      <c r="W158" s="152" t="s">
        <v>103</v>
      </c>
      <c r="X158" s="153"/>
      <c r="Y158" s="151" t="s">
        <v>904</v>
      </c>
      <c r="Z158" s="159" t="s">
        <v>907</v>
      </c>
      <c r="AA158" s="160" t="str">
        <f aca="false">VLOOKUP(Y158,20230302Data!A:K,2,FALSE())</f>
        <v>小4－2</v>
      </c>
      <c r="AB158" s="160" t="str">
        <f aca="false">VLOOKUP(Y158,20230302Data!A:K,3,FALSE())</f>
        <v>長生 萌百花</v>
      </c>
      <c r="AC158" s="161" t="str">
        <f aca="false">VLOOKUP(Y158,20230302Data!A:K,4,FALSE())</f>
        <v>大作</v>
      </c>
      <c r="AD158" s="161" t="str">
        <f aca="false">VLOOKUP(Y158,20230302Data!A:K,6,FALSE())</f>
        <v>中1－1</v>
      </c>
      <c r="AE158" s="161" t="str">
        <f aca="false">VLOOKUP(Y158,20230302Data!A:K,7,FALSE())</f>
        <v>長生 綾乃</v>
      </c>
      <c r="AF158" s="161" t="n">
        <f aca="false">VLOOKUP(Y158,20230302Data!A:K,8,FALSE())</f>
        <v>0</v>
      </c>
      <c r="AG158" s="161" t="n">
        <f aca="false">VLOOKUP(Y158,20230302Data!A:K,9,FALSE())</f>
        <v>0</v>
      </c>
      <c r="AH158" s="161" t="str">
        <f aca="false">SUBSTITUTE(SUBSTITUTE(SUBSTITUTE(Y158,"-",""),"(",""),")","")</f>
        <v>7064839451</v>
      </c>
      <c r="AI158" s="161" t="str">
        <f aca="false">IFERROR(VLOOKUP(AH158,#REF!,3,FALSE()),"")</f>
        <v/>
      </c>
    </row>
    <row r="159" customFormat="false" ht="12.75" hidden="false" customHeight="true" outlineLevel="0" collapsed="false">
      <c r="A159" s="151" t="s">
        <v>908</v>
      </c>
      <c r="B159" s="152" t="n">
        <v>157</v>
      </c>
      <c r="C159" s="152" t="s">
        <v>322</v>
      </c>
      <c r="D159" s="152" t="s">
        <v>909</v>
      </c>
      <c r="E159" s="152" t="s">
        <v>910</v>
      </c>
      <c r="F159" s="151" t="s">
        <v>908</v>
      </c>
      <c r="G159" s="153" t="s">
        <v>911</v>
      </c>
      <c r="H159" s="152" t="s">
        <v>215</v>
      </c>
      <c r="I159" s="152" t="s">
        <v>912</v>
      </c>
      <c r="J159" s="152"/>
      <c r="K159" s="152"/>
      <c r="L159" s="152"/>
      <c r="M159" s="152"/>
      <c r="N159" s="154" t="n">
        <v>45038</v>
      </c>
      <c r="O159" s="151" t="s">
        <v>126</v>
      </c>
      <c r="P159" s="155"/>
      <c r="Q159" s="155"/>
      <c r="R159" s="154"/>
      <c r="S159" s="154"/>
      <c r="T159" s="156"/>
      <c r="U159" s="198"/>
      <c r="V159" s="198"/>
      <c r="W159" s="152" t="s">
        <v>103</v>
      </c>
      <c r="X159" s="152" t="s">
        <v>903</v>
      </c>
      <c r="Y159" s="151" t="s">
        <v>908</v>
      </c>
      <c r="Z159" s="159" t="s">
        <v>911</v>
      </c>
      <c r="AA159" s="160" t="str">
        <f aca="false">VLOOKUP(Y159,20230302Data!A:K,2,FALSE())</f>
        <v>小4－2</v>
      </c>
      <c r="AB159" s="160" t="str">
        <f aca="false">VLOOKUP(Y159,20230302Data!A:K,3,FALSE())</f>
        <v>藤田 瑞葵</v>
      </c>
      <c r="AC159" s="161" t="str">
        <f aca="false">VLOOKUP(Y159,20230302Data!A:K,4,FALSE())</f>
        <v>久生</v>
      </c>
      <c r="AD159" s="161" t="str">
        <f aca="false">VLOOKUP(Y159,20230302Data!A:K,6,FALSE())</f>
        <v>中2－1</v>
      </c>
      <c r="AE159" s="161" t="str">
        <f aca="false">VLOOKUP(Y159,20230302Data!A:K,7,FALSE())</f>
        <v>藤田 瑞星</v>
      </c>
      <c r="AF159" s="161" t="n">
        <f aca="false">VLOOKUP(Y159,20230302Data!A:K,8,FALSE())</f>
        <v>0</v>
      </c>
      <c r="AG159" s="161" t="n">
        <f aca="false">VLOOKUP(Y159,20230302Data!A:K,9,FALSE())</f>
        <v>0</v>
      </c>
      <c r="AH159" s="161" t="str">
        <f aca="false">SUBSTITUTE(SUBSTITUTE(SUBSTITUTE(Y159,"-",""),"(",""),")","")</f>
        <v>7705494172</v>
      </c>
      <c r="AI159" s="161" t="str">
        <f aca="false">IFERROR(VLOOKUP(AH159,#REF!,3,FALSE()),"")</f>
        <v/>
      </c>
    </row>
    <row r="160" customFormat="false" ht="12" hidden="false" customHeight="true" outlineLevel="0" collapsed="false">
      <c r="A160" s="170" t="s">
        <v>913</v>
      </c>
      <c r="B160" s="171" t="n">
        <v>158</v>
      </c>
      <c r="C160" s="171" t="s">
        <v>322</v>
      </c>
      <c r="D160" s="171" t="s">
        <v>914</v>
      </c>
      <c r="E160" s="171" t="s">
        <v>915</v>
      </c>
      <c r="F160" s="170" t="s">
        <v>913</v>
      </c>
      <c r="G160" s="111" t="s">
        <v>916</v>
      </c>
      <c r="H160" s="171" t="s">
        <v>533</v>
      </c>
      <c r="I160" s="171" t="s">
        <v>917</v>
      </c>
      <c r="J160" s="171"/>
      <c r="K160" s="171"/>
      <c r="L160" s="171"/>
      <c r="M160" s="171"/>
      <c r="N160" s="172"/>
      <c r="O160" s="172"/>
      <c r="P160" s="172"/>
      <c r="Q160" s="172"/>
      <c r="R160" s="155"/>
      <c r="S160" s="155"/>
      <c r="T160" s="194"/>
      <c r="U160" s="195"/>
      <c r="V160" s="195"/>
      <c r="W160" s="171" t="s">
        <v>33</v>
      </c>
      <c r="X160" s="171" t="s">
        <v>918</v>
      </c>
      <c r="Y160" s="170" t="s">
        <v>913</v>
      </c>
      <c r="Z160" s="175" t="s">
        <v>916</v>
      </c>
      <c r="AA160" s="175" t="str">
        <f aca="false">VLOOKUP(Y160,20230302Data!A:K,2,FALSE())</f>
        <v>小4－2</v>
      </c>
      <c r="AB160" s="175" t="str">
        <f aca="false">VLOOKUP(Y160,20230302Data!A:K,3,FALSE())</f>
        <v>富賀見 芽依</v>
      </c>
      <c r="AC160" s="176" t="str">
        <f aca="false">VLOOKUP(Y160,20230302Data!A:K,4,FALSE())</f>
        <v>竜</v>
      </c>
      <c r="AD160" s="176" t="str">
        <f aca="false">VLOOKUP(Y160,20230302Data!A:K,6,FALSE())</f>
        <v>中1－1</v>
      </c>
      <c r="AE160" s="176" t="str">
        <f aca="false">VLOOKUP(Y160,20230302Data!A:K,7,FALSE())</f>
        <v>富賀見 佳</v>
      </c>
      <c r="AF160" s="176" t="n">
        <f aca="false">VLOOKUP(Y160,20230302Data!A:K,8,FALSE())</f>
        <v>0</v>
      </c>
      <c r="AG160" s="176" t="n">
        <f aca="false">VLOOKUP(Y160,20230302Data!A:K,9,FALSE())</f>
        <v>0</v>
      </c>
      <c r="AH160" s="176" t="str">
        <f aca="false">SUBSTITUTE(SUBSTITUTE(SUBSTITUTE(Y160,"-",""),"(",""),")","")</f>
        <v>7314992288</v>
      </c>
      <c r="AI160" s="176" t="str">
        <f aca="false">IFERROR(VLOOKUP(AH160,#REF!,3,FALSE()),"")</f>
        <v/>
      </c>
    </row>
    <row r="161" customFormat="false" ht="12.75" hidden="false" customHeight="true" outlineLevel="0" collapsed="false">
      <c r="A161" s="162" t="s">
        <v>919</v>
      </c>
      <c r="B161" s="163" t="n">
        <v>159</v>
      </c>
      <c r="C161" s="163" t="s">
        <v>322</v>
      </c>
      <c r="D161" s="163" t="s">
        <v>920</v>
      </c>
      <c r="E161" s="163" t="s">
        <v>921</v>
      </c>
      <c r="F161" s="162" t="s">
        <v>922</v>
      </c>
      <c r="G161" s="116" t="s">
        <v>923</v>
      </c>
      <c r="H161" s="163"/>
      <c r="I161" s="163"/>
      <c r="J161" s="241"/>
      <c r="K161" s="241"/>
      <c r="L161" s="116"/>
      <c r="M161" s="116"/>
      <c r="N161" s="164"/>
      <c r="O161" s="163"/>
      <c r="P161" s="164"/>
      <c r="Q161" s="164"/>
      <c r="R161" s="164"/>
      <c r="S161" s="164"/>
      <c r="T161" s="165"/>
      <c r="U161" s="166"/>
      <c r="V161" s="166" t="n">
        <v>45073</v>
      </c>
      <c r="W161" s="116"/>
      <c r="X161" s="116"/>
      <c r="Y161" s="162" t="s">
        <v>919</v>
      </c>
      <c r="Z161" s="167" t="s">
        <v>923</v>
      </c>
      <c r="AA161" s="168" t="str">
        <f aca="false">VLOOKUP(Y161,20230302Data!A:K,2,FALSE())</f>
        <v>小4－2</v>
      </c>
      <c r="AB161" s="168" t="str">
        <f aca="false">VLOOKUP(Y161,20230302Data!A:K,3,FALSE())</f>
        <v>国分寺 美優</v>
      </c>
      <c r="AC161" s="169" t="str">
        <f aca="false">VLOOKUP(Y161,20230302Data!A:K,4,FALSE())</f>
        <v>俊和</v>
      </c>
      <c r="AD161" s="169" t="str">
        <f aca="false">VLOOKUP(Y161,20230302Data!A:K,6,FALSE())</f>
        <v>中1－1</v>
      </c>
      <c r="AE161" s="169" t="str">
        <f aca="false">VLOOKUP(Y161,20230302Data!A:K,7,FALSE())</f>
        <v>国分寺 梨央</v>
      </c>
      <c r="AF161" s="169" t="n">
        <f aca="false">VLOOKUP(Y161,20230302Data!A:K,8,FALSE())</f>
        <v>0</v>
      </c>
      <c r="AG161" s="169" t="n">
        <f aca="false">VLOOKUP(Y161,20230302Data!A:K,9,FALSE())</f>
        <v>0</v>
      </c>
      <c r="AH161" s="169" t="str">
        <f aca="false">SUBSTITUTE(SUBSTITUTE(SUBSTITUTE(Y161,"-",""),"(",""),")","")</f>
        <v>4703095640</v>
      </c>
      <c r="AI161" s="169" t="str">
        <f aca="false">IFERROR(VLOOKUP(AH161,#REF!,3,FALSE()),"")</f>
        <v/>
      </c>
    </row>
    <row r="162" customFormat="false" ht="12.75" hidden="false" customHeight="true" outlineLevel="0" collapsed="false">
      <c r="A162" s="170" t="s">
        <v>924</v>
      </c>
      <c r="B162" s="171" t="n">
        <v>160</v>
      </c>
      <c r="C162" s="171" t="s">
        <v>322</v>
      </c>
      <c r="D162" s="171" t="s">
        <v>925</v>
      </c>
      <c r="E162" s="171" t="s">
        <v>926</v>
      </c>
      <c r="F162" s="170" t="s">
        <v>924</v>
      </c>
      <c r="G162" s="111" t="s">
        <v>927</v>
      </c>
      <c r="H162" s="171"/>
      <c r="I162" s="171"/>
      <c r="J162" s="242"/>
      <c r="K162" s="242"/>
      <c r="L162" s="111"/>
      <c r="M162" s="111"/>
      <c r="N162" s="172"/>
      <c r="O162" s="171"/>
      <c r="P162" s="172"/>
      <c r="Q162" s="172"/>
      <c r="R162" s="155"/>
      <c r="S162" s="243"/>
      <c r="T162" s="173"/>
      <c r="U162" s="174" t="n">
        <v>44779</v>
      </c>
      <c r="V162" s="174"/>
      <c r="W162" s="193" t="s">
        <v>33</v>
      </c>
      <c r="X162" s="111"/>
      <c r="Y162" s="170" t="s">
        <v>924</v>
      </c>
      <c r="Z162" s="175"/>
      <c r="AA162" s="175" t="str">
        <f aca="false">VLOOKUP(Y162,20230302Data!A:K,2,FALSE())</f>
        <v>小4－2</v>
      </c>
      <c r="AB162" s="175" t="str">
        <f aca="false">VLOOKUP(Y162,20230302Data!A:K,3,FALSE())</f>
        <v>西宮 壮亮</v>
      </c>
      <c r="AC162" s="176" t="str">
        <f aca="false">VLOOKUP(Y162,20230302Data!A:K,4,FALSE())</f>
        <v>雄亮</v>
      </c>
      <c r="AD162" s="176" t="n">
        <f aca="false">VLOOKUP(Y162,20230302Data!A:K,6,FALSE())</f>
        <v>0</v>
      </c>
      <c r="AE162" s="176" t="n">
        <f aca="false">VLOOKUP(Y162,20230302Data!A:K,7,FALSE())</f>
        <v>0</v>
      </c>
      <c r="AF162" s="176" t="n">
        <f aca="false">VLOOKUP(Y162,20230302Data!A:K,8,FALSE())</f>
        <v>0</v>
      </c>
      <c r="AG162" s="176" t="n">
        <f aca="false">VLOOKUP(Y162,20230302Data!A:K,9,FALSE())</f>
        <v>0</v>
      </c>
      <c r="AH162" s="176" t="str">
        <f aca="false">SUBSTITUTE(SUBSTITUTE(SUBSTITUTE(Y162,"-",""),"(",""),")","")</f>
        <v>4782337684</v>
      </c>
      <c r="AI162" s="176" t="str">
        <f aca="false">IFERROR(VLOOKUP(AH162,#REF!,3,FALSE()),"")</f>
        <v/>
      </c>
    </row>
    <row r="163" customFormat="false" ht="12.75" hidden="false" customHeight="true" outlineLevel="0" collapsed="false">
      <c r="A163" s="170" t="s">
        <v>928</v>
      </c>
      <c r="B163" s="171" t="n">
        <v>161</v>
      </c>
      <c r="C163" s="171" t="s">
        <v>322</v>
      </c>
      <c r="D163" s="171" t="s">
        <v>929</v>
      </c>
      <c r="E163" s="171" t="s">
        <v>930</v>
      </c>
      <c r="F163" s="170" t="s">
        <v>928</v>
      </c>
      <c r="G163" s="111" t="s">
        <v>931</v>
      </c>
      <c r="H163" s="171"/>
      <c r="I163" s="171"/>
      <c r="J163" s="242"/>
      <c r="K163" s="242"/>
      <c r="L163" s="111"/>
      <c r="M163" s="111"/>
      <c r="N163" s="172"/>
      <c r="O163" s="172"/>
      <c r="P163" s="172"/>
      <c r="Q163" s="171"/>
      <c r="R163" s="155"/>
      <c r="S163" s="155"/>
      <c r="T163" s="173"/>
      <c r="U163" s="174" t="n">
        <v>44779</v>
      </c>
      <c r="V163" s="174"/>
      <c r="W163" s="193" t="s">
        <v>33</v>
      </c>
      <c r="X163" s="111"/>
      <c r="Y163" s="170" t="s">
        <v>928</v>
      </c>
      <c r="Z163" s="175"/>
      <c r="AA163" s="175" t="str">
        <f aca="false">VLOOKUP(Y163,20230302Data!A:K,2,FALSE())</f>
        <v>小4－2</v>
      </c>
      <c r="AB163" s="175" t="str">
        <f aca="false">VLOOKUP(Y163,20230302Data!A:K,3,FALSE())</f>
        <v>村瀬 羽菜</v>
      </c>
      <c r="AC163" s="176" t="str">
        <f aca="false">VLOOKUP(Y163,20230302Data!A:K,4,FALSE())</f>
        <v>拓未</v>
      </c>
      <c r="AD163" s="176" t="n">
        <f aca="false">VLOOKUP(Y163,20230302Data!A:K,6,FALSE())</f>
        <v>0</v>
      </c>
      <c r="AE163" s="176" t="n">
        <f aca="false">VLOOKUP(Y163,20230302Data!A:K,7,FALSE())</f>
        <v>0</v>
      </c>
      <c r="AF163" s="176" t="n">
        <f aca="false">VLOOKUP(Y163,20230302Data!A:K,8,FALSE())</f>
        <v>0</v>
      </c>
      <c r="AG163" s="176" t="n">
        <f aca="false">VLOOKUP(Y163,20230302Data!A:K,9,FALSE())</f>
        <v>0</v>
      </c>
      <c r="AH163" s="176" t="str">
        <f aca="false">SUBSTITUTE(SUBSTITUTE(SUBSTITUTE(Y163,"-",""),"(",""),")","")</f>
        <v>7066710837</v>
      </c>
      <c r="AI163" s="176" t="str">
        <f aca="false">IFERROR(VLOOKUP(AH163,#REF!,3,FALSE()),"")</f>
        <v/>
      </c>
    </row>
    <row r="164" customFormat="false" ht="12.75" hidden="false" customHeight="true" outlineLevel="0" collapsed="false">
      <c r="A164" s="187" t="s">
        <v>932</v>
      </c>
      <c r="B164" s="186" t="n">
        <v>162</v>
      </c>
      <c r="C164" s="186" t="s">
        <v>933</v>
      </c>
      <c r="D164" s="186" t="s">
        <v>934</v>
      </c>
      <c r="E164" s="186" t="s">
        <v>935</v>
      </c>
      <c r="F164" s="185" t="s">
        <v>932</v>
      </c>
      <c r="G164" s="187" t="s">
        <v>936</v>
      </c>
      <c r="H164" s="186" t="s">
        <v>533</v>
      </c>
      <c r="I164" s="186" t="s">
        <v>937</v>
      </c>
      <c r="J164" s="244"/>
      <c r="K164" s="244"/>
      <c r="L164" s="187"/>
      <c r="M164" s="187"/>
      <c r="N164" s="155"/>
      <c r="O164" s="155"/>
      <c r="P164" s="155"/>
      <c r="Q164" s="155"/>
      <c r="R164" s="186"/>
      <c r="S164" s="155"/>
      <c r="T164" s="188"/>
      <c r="U164" s="189"/>
      <c r="V164" s="189"/>
      <c r="W164" s="186" t="s">
        <v>55</v>
      </c>
      <c r="X164" s="186" t="s">
        <v>918</v>
      </c>
      <c r="Y164" s="187" t="s">
        <v>932</v>
      </c>
      <c r="Z164" s="190"/>
      <c r="AA164" s="190" t="str">
        <f aca="false">VLOOKUP(Y164,20230302Data!A:K,2,FALSE())</f>
        <v>小4－2</v>
      </c>
      <c r="AB164" s="190" t="str">
        <f aca="false">VLOOKUP(Y164,20230302Data!A:K,3,FALSE())</f>
        <v>中島 実玲</v>
      </c>
      <c r="AC164" s="191" t="str">
        <f aca="false">VLOOKUP(Y164,20230302Data!A:K,4,FALSE())</f>
        <v>良大</v>
      </c>
      <c r="AD164" s="191" t="str">
        <f aca="false">VLOOKUP(Y164,20230302Data!A:K,6,FALSE())</f>
        <v>中1－1</v>
      </c>
      <c r="AE164" s="191" t="str">
        <f aca="false">VLOOKUP(Y164,20230302Data!A:K,7,FALSE())</f>
        <v>中島 玲耶</v>
      </c>
      <c r="AF164" s="191" t="n">
        <f aca="false">VLOOKUP(Y164,20230302Data!A:K,8,FALSE())</f>
        <v>0</v>
      </c>
      <c r="AG164" s="191" t="n">
        <f aca="false">VLOOKUP(Y164,20230302Data!A:K,9,FALSE())</f>
        <v>0</v>
      </c>
      <c r="AH164" s="191" t="str">
        <f aca="false">SUBSTITUTE(SUBSTITUTE(SUBSTITUTE(Y164,"-",""),"(",""),")","")</f>
        <v>7708765852</v>
      </c>
      <c r="AI164" s="191" t="str">
        <f aca="false">IFERROR(VLOOKUP(AH164,#REF!,3,FALSE()),"")</f>
        <v/>
      </c>
    </row>
    <row r="165" customFormat="false" ht="12.75" hidden="false" customHeight="true" outlineLevel="0" collapsed="false">
      <c r="A165" s="116" t="s">
        <v>938</v>
      </c>
      <c r="B165" s="163" t="n">
        <v>163</v>
      </c>
      <c r="C165" s="220" t="s">
        <v>939</v>
      </c>
      <c r="D165" s="220" t="s">
        <v>940</v>
      </c>
      <c r="E165" s="220" t="s">
        <v>941</v>
      </c>
      <c r="F165" s="116" t="s">
        <v>938</v>
      </c>
      <c r="G165" s="116" t="s">
        <v>942</v>
      </c>
      <c r="H165" s="220" t="s">
        <v>943</v>
      </c>
      <c r="I165" s="220" t="s">
        <v>944</v>
      </c>
      <c r="J165" s="116"/>
      <c r="K165" s="116"/>
      <c r="L165" s="116"/>
      <c r="M165" s="116"/>
      <c r="N165" s="163"/>
      <c r="O165" s="163"/>
      <c r="P165" s="163"/>
      <c r="Q165" s="163"/>
      <c r="R165" s="164" t="n">
        <v>45143</v>
      </c>
      <c r="S165" s="162" t="s">
        <v>67</v>
      </c>
      <c r="T165" s="116"/>
      <c r="U165" s="166" t="n">
        <v>44835</v>
      </c>
      <c r="V165" s="166"/>
      <c r="W165" s="116"/>
      <c r="X165" s="116"/>
      <c r="Y165" s="116" t="s">
        <v>938</v>
      </c>
      <c r="Z165" s="116"/>
      <c r="AA165" s="168" t="str">
        <f aca="false">VLOOKUP(Y165,20230302Data!A:K,2,FALSE())</f>
        <v>小4－2</v>
      </c>
      <c r="AB165" s="168" t="str">
        <f aca="false">VLOOKUP(Y165,20230302Data!A:K,3,FALSE())</f>
        <v>人見 梨里衣</v>
      </c>
      <c r="AC165" s="169" t="str">
        <f aca="false">VLOOKUP(Y165,20230302Data!A:K,4,FALSE())</f>
        <v>亮平</v>
      </c>
      <c r="AD165" s="169" t="str">
        <f aca="false">VLOOKUP(Y165,20230302Data!A:K,6,FALSE())</f>
        <v>小6－2</v>
      </c>
      <c r="AE165" s="169" t="str">
        <f aca="false">VLOOKUP(Y165,20230302Data!A:K,7,FALSE())</f>
        <v>人見 龍芯</v>
      </c>
      <c r="AF165" s="169" t="n">
        <f aca="false">VLOOKUP(Y165,20230302Data!A:K,8,FALSE())</f>
        <v>0</v>
      </c>
      <c r="AG165" s="169" t="n">
        <f aca="false">VLOOKUP(Y165,20230302Data!A:K,9,FALSE())</f>
        <v>0</v>
      </c>
      <c r="AH165" s="169" t="str">
        <f aca="false">SUBSTITUTE(SUBSTITUTE(SUBSTITUTE(Y165,"-",""),"(",""),")","")</f>
        <v>4704791628</v>
      </c>
      <c r="AI165" s="169" t="str">
        <f aca="false">IFERROR(VLOOKUP(AH165,#REF!,3,FALSE()),"")</f>
        <v/>
      </c>
    </row>
    <row r="166" customFormat="false" ht="12.75" hidden="false" customHeight="true" outlineLevel="0" collapsed="false">
      <c r="A166" s="116" t="s">
        <v>945</v>
      </c>
      <c r="B166" s="163" t="n">
        <v>164</v>
      </c>
      <c r="C166" s="220" t="s">
        <v>939</v>
      </c>
      <c r="D166" s="163" t="s">
        <v>946</v>
      </c>
      <c r="E166" s="220" t="s">
        <v>947</v>
      </c>
      <c r="F166" s="116" t="s">
        <v>945</v>
      </c>
      <c r="G166" s="116" t="s">
        <v>948</v>
      </c>
      <c r="H166" s="163" t="s">
        <v>949</v>
      </c>
      <c r="I166" s="163" t="s">
        <v>950</v>
      </c>
      <c r="J166" s="116"/>
      <c r="K166" s="116"/>
      <c r="L166" s="116"/>
      <c r="M166" s="116"/>
      <c r="N166" s="164"/>
      <c r="O166" s="163"/>
      <c r="P166" s="163"/>
      <c r="Q166" s="163"/>
      <c r="R166" s="164"/>
      <c r="S166" s="163"/>
      <c r="T166" s="116"/>
      <c r="U166" s="166" t="n">
        <v>44933</v>
      </c>
      <c r="V166" s="166"/>
      <c r="W166" s="116"/>
      <c r="X166" s="116"/>
      <c r="Y166" s="116" t="s">
        <v>945</v>
      </c>
      <c r="Z166" s="116"/>
      <c r="AA166" s="168" t="str">
        <f aca="false">VLOOKUP(Y166,20230302Data!A:K,2,FALSE())</f>
        <v>小4－2</v>
      </c>
      <c r="AB166" s="168" t="str">
        <f aca="false">VLOOKUP(Y166,20230302Data!A:K,3,FALSE())</f>
        <v>菊地 奏太</v>
      </c>
      <c r="AC166" s="169" t="str">
        <f aca="false">VLOOKUP(Y166,20230302Data!A:K,4,FALSE())</f>
        <v>信介</v>
      </c>
      <c r="AD166" s="169" t="str">
        <f aca="false">VLOOKUP(Y166,20230302Data!A:K,6,FALSE())</f>
        <v>高1</v>
      </c>
      <c r="AE166" s="169" t="str">
        <f aca="false">VLOOKUP(Y166,20230302Data!A:K,7,FALSE())</f>
        <v>菊地 啓太</v>
      </c>
      <c r="AF166" s="169" t="n">
        <f aca="false">VLOOKUP(Y166,20230302Data!A:K,8,FALSE())</f>
        <v>0</v>
      </c>
      <c r="AG166" s="169" t="n">
        <f aca="false">VLOOKUP(Y166,20230302Data!A:K,9,FALSE())</f>
        <v>0</v>
      </c>
      <c r="AH166" s="169" t="str">
        <f aca="false">SUBSTITUTE(SUBSTITUTE(SUBSTITUTE(Y166,"-",""),"(",""),")","")</f>
        <v>6144004489</v>
      </c>
      <c r="AI166" s="169" t="str">
        <f aca="false">IFERROR(VLOOKUP(AH166,#REF!,3,FALSE()),"")</f>
        <v/>
      </c>
    </row>
    <row r="167" customFormat="false" ht="12.75" hidden="false" customHeight="true" outlineLevel="0" collapsed="false">
      <c r="A167" s="185" t="s">
        <v>951</v>
      </c>
      <c r="B167" s="186" t="n">
        <v>165</v>
      </c>
      <c r="C167" s="186" t="s">
        <v>185</v>
      </c>
      <c r="D167" s="186" t="s">
        <v>952</v>
      </c>
      <c r="E167" s="186" t="s">
        <v>953</v>
      </c>
      <c r="F167" s="185" t="s">
        <v>951</v>
      </c>
      <c r="G167" s="187" t="s">
        <v>954</v>
      </c>
      <c r="H167" s="186" t="s">
        <v>185</v>
      </c>
      <c r="I167" s="186" t="s">
        <v>955</v>
      </c>
      <c r="J167" s="186"/>
      <c r="K167" s="186"/>
      <c r="L167" s="186"/>
      <c r="M167" s="186"/>
      <c r="N167" s="155"/>
      <c r="O167" s="155"/>
      <c r="P167" s="155"/>
      <c r="Q167" s="155"/>
      <c r="R167" s="155"/>
      <c r="S167" s="186"/>
      <c r="T167" s="188"/>
      <c r="U167" s="189"/>
      <c r="V167" s="189"/>
      <c r="W167" s="185" t="s">
        <v>956</v>
      </c>
      <c r="X167" s="186" t="s">
        <v>957</v>
      </c>
      <c r="Y167" s="185" t="s">
        <v>951</v>
      </c>
      <c r="Z167" s="190" t="s">
        <v>954</v>
      </c>
      <c r="AA167" s="190" t="str">
        <f aca="false">VLOOKUP(Y167,20230302Data!A:K,2,FALSE())</f>
        <v>小5－1</v>
      </c>
      <c r="AB167" s="190" t="str">
        <f aca="false">VLOOKUP(Y167,20230302Data!A:K,3,FALSE())</f>
        <v>武田 慧</v>
      </c>
      <c r="AC167" s="191" t="str">
        <f aca="false">VLOOKUP(Y167,20230302Data!A:K,4,FALSE())</f>
        <v>俊宏</v>
      </c>
      <c r="AD167" s="191" t="str">
        <f aca="false">VLOOKUP(Y167,20230302Data!A:K,6,FALSE())</f>
        <v>小5－1</v>
      </c>
      <c r="AE167" s="191" t="str">
        <f aca="false">VLOOKUP(Y167,20230302Data!A:K,7,FALSE())</f>
        <v>武田 要</v>
      </c>
      <c r="AF167" s="191" t="n">
        <f aca="false">VLOOKUP(Y167,20230302Data!A:K,8,FALSE())</f>
        <v>0</v>
      </c>
      <c r="AG167" s="191" t="n">
        <f aca="false">VLOOKUP(Y167,20230302Data!A:K,9,FALSE())</f>
        <v>0</v>
      </c>
      <c r="AH167" s="191" t="str">
        <f aca="false">SUBSTITUTE(SUBSTITUTE(SUBSTITUTE(Y167,"-",""),"(",""),")","")</f>
        <v>6788622772</v>
      </c>
      <c r="AI167" s="191" t="str">
        <f aca="false">IFERROR(VLOOKUP(AH167,#REF!,3,FALSE()),"")</f>
        <v/>
      </c>
    </row>
    <row r="168" customFormat="false" ht="12.75" hidden="false" customHeight="true" outlineLevel="0" collapsed="false">
      <c r="A168" s="177" t="s">
        <v>958</v>
      </c>
      <c r="B168" s="178" t="n">
        <v>166</v>
      </c>
      <c r="C168" s="178" t="s">
        <v>185</v>
      </c>
      <c r="D168" s="178" t="s">
        <v>959</v>
      </c>
      <c r="E168" s="178" t="s">
        <v>960</v>
      </c>
      <c r="F168" s="177" t="s">
        <v>958</v>
      </c>
      <c r="G168" s="179" t="s">
        <v>961</v>
      </c>
      <c r="H168" s="178"/>
      <c r="I168" s="178"/>
      <c r="J168" s="178"/>
      <c r="K168" s="178"/>
      <c r="L168" s="178"/>
      <c r="M168" s="178"/>
      <c r="N168" s="180"/>
      <c r="O168" s="180"/>
      <c r="P168" s="180"/>
      <c r="Q168" s="180"/>
      <c r="R168" s="155"/>
      <c r="S168" s="186"/>
      <c r="T168" s="181"/>
      <c r="U168" s="182"/>
      <c r="V168" s="182"/>
      <c r="W168" s="201" t="s">
        <v>60</v>
      </c>
      <c r="X168" s="178" t="s">
        <v>774</v>
      </c>
      <c r="Y168" s="177" t="s">
        <v>958</v>
      </c>
      <c r="Z168" s="183" t="s">
        <v>961</v>
      </c>
      <c r="AA168" s="183" t="str">
        <f aca="false">VLOOKUP(Y168,20230302Data!A:K,2,FALSE())</f>
        <v>小5－1</v>
      </c>
      <c r="AB168" s="183" t="str">
        <f aca="false">VLOOKUP(Y168,20230302Data!A:K,3,FALSE())</f>
        <v>日野 開翔</v>
      </c>
      <c r="AC168" s="184" t="str">
        <f aca="false">VLOOKUP(Y168,20230302Data!A:K,4,FALSE())</f>
        <v>成雄</v>
      </c>
      <c r="AD168" s="184" t="n">
        <f aca="false">VLOOKUP(Y168,20230302Data!A:K,6,FALSE())</f>
        <v>0</v>
      </c>
      <c r="AE168" s="184" t="n">
        <f aca="false">VLOOKUP(Y168,20230302Data!A:K,7,FALSE())</f>
        <v>0</v>
      </c>
      <c r="AF168" s="184" t="n">
        <f aca="false">VLOOKUP(Y168,20230302Data!A:K,8,FALSE())</f>
        <v>0</v>
      </c>
      <c r="AG168" s="184" t="n">
        <f aca="false">VLOOKUP(Y168,20230302Data!A:K,9,FALSE())</f>
        <v>0</v>
      </c>
      <c r="AH168" s="184" t="str">
        <f aca="false">SUBSTITUTE(SUBSTITUTE(SUBSTITUTE(Y168,"-",""),"(",""),")","")</f>
        <v>8189347003</v>
      </c>
      <c r="AI168" s="184" t="str">
        <f aca="false">IFERROR(VLOOKUP(AH168,#REF!,3,FALSE()),"")</f>
        <v/>
      </c>
    </row>
    <row r="169" customFormat="false" ht="12.75" hidden="false" customHeight="true" outlineLevel="0" collapsed="false">
      <c r="A169" s="162" t="s">
        <v>962</v>
      </c>
      <c r="B169" s="163" t="n">
        <v>167</v>
      </c>
      <c r="C169" s="163" t="s">
        <v>185</v>
      </c>
      <c r="D169" s="163" t="s">
        <v>963</v>
      </c>
      <c r="E169" s="163" t="s">
        <v>964</v>
      </c>
      <c r="F169" s="162" t="s">
        <v>962</v>
      </c>
      <c r="G169" s="116" t="s">
        <v>965</v>
      </c>
      <c r="H169" s="163" t="s">
        <v>215</v>
      </c>
      <c r="I169" s="163" t="s">
        <v>966</v>
      </c>
      <c r="J169" s="163"/>
      <c r="K169" s="163"/>
      <c r="L169" s="163"/>
      <c r="M169" s="163"/>
      <c r="N169" s="164"/>
      <c r="O169" s="164"/>
      <c r="P169" s="164" t="n">
        <v>45073</v>
      </c>
      <c r="Q169" s="162" t="s">
        <v>32</v>
      </c>
      <c r="R169" s="164"/>
      <c r="S169" s="163"/>
      <c r="T169" s="165"/>
      <c r="U169" s="219"/>
      <c r="V169" s="219"/>
      <c r="W169" s="163"/>
      <c r="X169" s="163" t="s">
        <v>774</v>
      </c>
      <c r="Y169" s="162" t="s">
        <v>962</v>
      </c>
      <c r="Z169" s="167" t="s">
        <v>965</v>
      </c>
      <c r="AA169" s="168" t="str">
        <f aca="false">VLOOKUP(Y169,20230302Data!A:K,2,FALSE())</f>
        <v>小5－1</v>
      </c>
      <c r="AB169" s="168" t="str">
        <f aca="false">VLOOKUP(Y169,20230302Data!A:K,3,FALSE())</f>
        <v>黒田 遼介</v>
      </c>
      <c r="AC169" s="169" t="str">
        <f aca="false">VLOOKUP(Y169,20230302Data!A:K,4,FALSE())</f>
        <v>将吾</v>
      </c>
      <c r="AD169" s="169" t="str">
        <f aca="false">VLOOKUP(Y169,20230302Data!A:K,6,FALSE())</f>
        <v>中2－1</v>
      </c>
      <c r="AE169" s="169" t="str">
        <f aca="false">VLOOKUP(Y169,20230302Data!A:K,7,FALSE())</f>
        <v>黒田 陽花</v>
      </c>
      <c r="AF169" s="169" t="n">
        <f aca="false">VLOOKUP(Y169,20230302Data!A:K,8,FALSE())</f>
        <v>0</v>
      </c>
      <c r="AG169" s="169" t="n">
        <f aca="false">VLOOKUP(Y169,20230302Data!A:K,9,FALSE())</f>
        <v>0</v>
      </c>
      <c r="AH169" s="169" t="str">
        <f aca="false">SUBSTITUTE(SUBSTITUTE(SUBSTITUTE(Y169,"-",""),"(",""),")","")</f>
        <v>6782165937</v>
      </c>
      <c r="AI169" s="169" t="str">
        <f aca="false">IFERROR(VLOOKUP(AH169,#REF!,3,FALSE()),"")</f>
        <v/>
      </c>
    </row>
    <row r="170" customFormat="false" ht="12.75" hidden="false" customHeight="true" outlineLevel="0" collapsed="false">
      <c r="A170" s="162" t="s">
        <v>967</v>
      </c>
      <c r="B170" s="163" t="n">
        <v>168</v>
      </c>
      <c r="C170" s="163" t="s">
        <v>185</v>
      </c>
      <c r="D170" s="163" t="s">
        <v>968</v>
      </c>
      <c r="E170" s="163" t="s">
        <v>969</v>
      </c>
      <c r="F170" s="162" t="s">
        <v>967</v>
      </c>
      <c r="G170" s="116" t="s">
        <v>970</v>
      </c>
      <c r="H170" s="163" t="s">
        <v>516</v>
      </c>
      <c r="I170" s="163" t="s">
        <v>971</v>
      </c>
      <c r="J170" s="116"/>
      <c r="K170" s="116"/>
      <c r="L170" s="20"/>
      <c r="M170" s="116"/>
      <c r="N170" s="164"/>
      <c r="O170" s="163"/>
      <c r="P170" s="164"/>
      <c r="Q170" s="164"/>
      <c r="R170" s="164" t="n">
        <v>45038</v>
      </c>
      <c r="S170" s="162" t="s">
        <v>49</v>
      </c>
      <c r="T170" s="165"/>
      <c r="U170" s="166"/>
      <c r="V170" s="166"/>
      <c r="W170" s="116"/>
      <c r="X170" s="116"/>
      <c r="Y170" s="162" t="s">
        <v>967</v>
      </c>
      <c r="Z170" s="167" t="s">
        <v>972</v>
      </c>
      <c r="AA170" s="168" t="str">
        <f aca="false">VLOOKUP(Y170,20230302Data!A:K,2,FALSE())</f>
        <v>小5－1</v>
      </c>
      <c r="AB170" s="168" t="str">
        <f aca="false">VLOOKUP(Y170,20230302Data!A:K,3,FALSE())</f>
        <v>日栁 沙彩</v>
      </c>
      <c r="AC170" s="169" t="str">
        <f aca="false">VLOOKUP(Y170,20230302Data!A:K,4,FALSE())</f>
        <v>真一</v>
      </c>
      <c r="AD170" s="169" t="str">
        <f aca="false">VLOOKUP(Y170,20230302Data!A:K,6,FALSE())</f>
        <v>中3－1</v>
      </c>
      <c r="AE170" s="169" t="str">
        <f aca="false">VLOOKUP(Y170,20230302Data!A:K,7,FALSE())</f>
        <v>日栁 宗士</v>
      </c>
      <c r="AF170" s="169" t="n">
        <f aca="false">VLOOKUP(Y170,20230302Data!A:K,8,FALSE())</f>
        <v>0</v>
      </c>
      <c r="AG170" s="169" t="n">
        <f aca="false">VLOOKUP(Y170,20230302Data!A:K,9,FALSE())</f>
        <v>0</v>
      </c>
      <c r="AH170" s="169" t="str">
        <f aca="false">SUBSTITUTE(SUBSTITUTE(SUBSTITUTE(Y170,"-",""),"(",""),")","")</f>
        <v>4048088594</v>
      </c>
      <c r="AI170" s="169" t="str">
        <f aca="false">IFERROR(VLOOKUP(AH170,#REF!,3,FALSE()),"")</f>
        <v/>
      </c>
    </row>
    <row r="171" customFormat="false" ht="12.75" hidden="false" customHeight="true" outlineLevel="0" collapsed="false">
      <c r="A171" s="187" t="s">
        <v>973</v>
      </c>
      <c r="B171" s="186" t="n">
        <v>169</v>
      </c>
      <c r="C171" s="186" t="s">
        <v>185</v>
      </c>
      <c r="D171" s="186" t="s">
        <v>974</v>
      </c>
      <c r="E171" s="186" t="s">
        <v>975</v>
      </c>
      <c r="F171" s="185" t="s">
        <v>976</v>
      </c>
      <c r="G171" s="187" t="s">
        <v>977</v>
      </c>
      <c r="H171" s="186" t="s">
        <v>215</v>
      </c>
      <c r="I171" s="186" t="s">
        <v>978</v>
      </c>
      <c r="J171" s="186"/>
      <c r="K171" s="186"/>
      <c r="L171" s="186"/>
      <c r="M171" s="186"/>
      <c r="N171" s="155"/>
      <c r="O171" s="155"/>
      <c r="P171" s="155"/>
      <c r="Q171" s="155"/>
      <c r="R171" s="186"/>
      <c r="S171" s="155"/>
      <c r="T171" s="188"/>
      <c r="U171" s="189"/>
      <c r="V171" s="189"/>
      <c r="W171" s="185" t="s">
        <v>956</v>
      </c>
      <c r="X171" s="186" t="s">
        <v>217</v>
      </c>
      <c r="Y171" s="187" t="s">
        <v>973</v>
      </c>
      <c r="Z171" s="190" t="s">
        <v>977</v>
      </c>
      <c r="AA171" s="190" t="str">
        <f aca="false">VLOOKUP(Y171,20230302Data!A:K,2,FALSE())</f>
        <v>小5－1</v>
      </c>
      <c r="AB171" s="190" t="str">
        <f aca="false">VLOOKUP(Y171,20230302Data!A:K,3,FALSE())</f>
        <v>江嵜 璃海</v>
      </c>
      <c r="AC171" s="191" t="str">
        <f aca="false">VLOOKUP(Y171,20230302Data!A:K,4,FALSE())</f>
        <v>英剛</v>
      </c>
      <c r="AD171" s="191" t="str">
        <f aca="false">VLOOKUP(Y171,20230302Data!A:K,6,FALSE())</f>
        <v>中2－1</v>
      </c>
      <c r="AE171" s="191" t="str">
        <f aca="false">VLOOKUP(Y171,20230302Data!A:K,7,FALSE())</f>
        <v>江嵜 璃空</v>
      </c>
      <c r="AF171" s="191" t="n">
        <f aca="false">VLOOKUP(Y171,20230302Data!A:K,8,FALSE())</f>
        <v>0</v>
      </c>
      <c r="AG171" s="191" t="n">
        <f aca="false">VLOOKUP(Y171,20230302Data!A:K,9,FALSE())</f>
        <v>0</v>
      </c>
      <c r="AH171" s="191" t="str">
        <f aca="false">SUBSTITUTE(SUBSTITUTE(SUBSTITUTE(Y171,"-",""),"(",""),")","")</f>
        <v>7702350429</v>
      </c>
      <c r="AI171" s="191" t="str">
        <f aca="false">IFERROR(VLOOKUP(AH171,#REF!,3,FALSE()),"")</f>
        <v/>
      </c>
    </row>
    <row r="172" customFormat="false" ht="12.75" hidden="false" customHeight="true" outlineLevel="0" collapsed="false">
      <c r="A172" s="162" t="s">
        <v>979</v>
      </c>
      <c r="B172" s="163" t="n">
        <v>170</v>
      </c>
      <c r="C172" s="163" t="s">
        <v>286</v>
      </c>
      <c r="D172" s="163" t="s">
        <v>980</v>
      </c>
      <c r="E172" s="163" t="s">
        <v>981</v>
      </c>
      <c r="F172" s="162" t="s">
        <v>979</v>
      </c>
      <c r="G172" s="116" t="s">
        <v>982</v>
      </c>
      <c r="H172" s="163" t="s">
        <v>533</v>
      </c>
      <c r="I172" s="163" t="s">
        <v>983</v>
      </c>
      <c r="J172" s="163"/>
      <c r="K172" s="163"/>
      <c r="L172" s="163"/>
      <c r="M172" s="163"/>
      <c r="N172" s="164"/>
      <c r="O172" s="164"/>
      <c r="P172" s="164"/>
      <c r="Q172" s="164"/>
      <c r="R172" s="163"/>
      <c r="S172" s="164"/>
      <c r="T172" s="165"/>
      <c r="U172" s="219"/>
      <c r="V172" s="219" t="n">
        <v>45094</v>
      </c>
      <c r="W172" s="163"/>
      <c r="X172" s="163" t="s">
        <v>774</v>
      </c>
      <c r="Y172" s="162" t="s">
        <v>979</v>
      </c>
      <c r="Z172" s="167" t="s">
        <v>982</v>
      </c>
      <c r="AA172" s="168" t="str">
        <f aca="false">VLOOKUP(Y172,20230302Data!A:K,2,FALSE())</f>
        <v>小5－2</v>
      </c>
      <c r="AB172" s="168" t="str">
        <f aca="false">VLOOKUP(Y172,20230302Data!A:K,3,FALSE())</f>
        <v>古畑 生織</v>
      </c>
      <c r="AC172" s="169" t="str">
        <f aca="false">VLOOKUP(Y172,20230302Data!A:K,4,FALSE())</f>
        <v>正樹</v>
      </c>
      <c r="AD172" s="169" t="str">
        <f aca="false">VLOOKUP(Y172,20230302Data!A:K,6,FALSE())</f>
        <v>中1－1</v>
      </c>
      <c r="AE172" s="169" t="str">
        <f aca="false">VLOOKUP(Y172,20230302Data!A:K,7,FALSE())</f>
        <v>古畑 蒼生</v>
      </c>
      <c r="AF172" s="169" t="n">
        <f aca="false">VLOOKUP(Y172,20230302Data!A:K,8,FALSE())</f>
        <v>0</v>
      </c>
      <c r="AG172" s="169" t="n">
        <f aca="false">VLOOKUP(Y172,20230302Data!A:K,9,FALSE())</f>
        <v>0</v>
      </c>
      <c r="AH172" s="169" t="str">
        <f aca="false">SUBSTITUTE(SUBSTITUTE(SUBSTITUTE(Y172,"-",""),"(",""),")","")</f>
        <v>7146092318</v>
      </c>
      <c r="AI172" s="169" t="str">
        <f aca="false">IFERROR(VLOOKUP(AH172,#REF!,3,FALSE()),"")</f>
        <v/>
      </c>
    </row>
    <row r="173" customFormat="false" ht="12.75" hidden="false" customHeight="true" outlineLevel="0" collapsed="false">
      <c r="A173" s="170" t="s">
        <v>984</v>
      </c>
      <c r="B173" s="171" t="n">
        <v>171</v>
      </c>
      <c r="C173" s="171" t="s">
        <v>286</v>
      </c>
      <c r="D173" s="171" t="s">
        <v>985</v>
      </c>
      <c r="E173" s="171" t="s">
        <v>986</v>
      </c>
      <c r="F173" s="170" t="s">
        <v>984</v>
      </c>
      <c r="G173" s="111" t="s">
        <v>987</v>
      </c>
      <c r="H173" s="171" t="s">
        <v>516</v>
      </c>
      <c r="I173" s="171" t="s">
        <v>988</v>
      </c>
      <c r="J173" s="171"/>
      <c r="K173" s="171"/>
      <c r="L173" s="171"/>
      <c r="M173" s="171"/>
      <c r="N173" s="171"/>
      <c r="O173" s="171"/>
      <c r="P173" s="172"/>
      <c r="Q173" s="172"/>
      <c r="R173" s="186"/>
      <c r="S173" s="155"/>
      <c r="T173" s="173"/>
      <c r="U173" s="195"/>
      <c r="V173" s="195"/>
      <c r="W173" s="193" t="s">
        <v>33</v>
      </c>
      <c r="X173" s="171" t="s">
        <v>989</v>
      </c>
      <c r="Y173" s="170" t="s">
        <v>984</v>
      </c>
      <c r="Z173" s="175" t="s">
        <v>987</v>
      </c>
      <c r="AA173" s="175" t="str">
        <f aca="false">VLOOKUP(Y173,20230302Data!A:K,2,FALSE())</f>
        <v>小5－2</v>
      </c>
      <c r="AB173" s="175" t="str">
        <f aca="false">VLOOKUP(Y173,20230302Data!A:K,3,FALSE())</f>
        <v>糟谷 環太</v>
      </c>
      <c r="AC173" s="176" t="str">
        <f aca="false">VLOOKUP(Y173,20230302Data!A:K,4,FALSE())</f>
        <v>陽一</v>
      </c>
      <c r="AD173" s="176" t="str">
        <f aca="false">VLOOKUP(Y173,20230302Data!A:K,6,FALSE())</f>
        <v>中3－1</v>
      </c>
      <c r="AE173" s="176" t="str">
        <f aca="false">VLOOKUP(Y173,20230302Data!A:K,7,FALSE())</f>
        <v>糟谷 武志</v>
      </c>
      <c r="AF173" s="176" t="n">
        <f aca="false">VLOOKUP(Y173,20230302Data!A:K,8,FALSE())</f>
        <v>0</v>
      </c>
      <c r="AG173" s="176" t="n">
        <f aca="false">VLOOKUP(Y173,20230302Data!A:K,9,FALSE())</f>
        <v>0</v>
      </c>
      <c r="AH173" s="176" t="str">
        <f aca="false">SUBSTITUTE(SUBSTITUTE(SUBSTITUTE(Y173,"-",""),"(",""),")","")</f>
        <v>7706806591</v>
      </c>
      <c r="AI173" s="176" t="str">
        <f aca="false">IFERROR(VLOOKUP(AH173,#REF!,3,FALSE()),"")</f>
        <v/>
      </c>
    </row>
    <row r="174" customFormat="false" ht="12.75" hidden="false" customHeight="true" outlineLevel="0" collapsed="false">
      <c r="A174" s="177" t="s">
        <v>990</v>
      </c>
      <c r="B174" s="178" t="n">
        <v>172</v>
      </c>
      <c r="C174" s="178" t="s">
        <v>286</v>
      </c>
      <c r="D174" s="178" t="s">
        <v>991</v>
      </c>
      <c r="E174" s="178" t="s">
        <v>992</v>
      </c>
      <c r="F174" s="177" t="s">
        <v>990</v>
      </c>
      <c r="G174" s="213" t="s">
        <v>993</v>
      </c>
      <c r="H174" s="179"/>
      <c r="I174" s="179"/>
      <c r="J174" s="179"/>
      <c r="K174" s="179"/>
      <c r="L174" s="245"/>
      <c r="M174" s="179"/>
      <c r="N174" s="180"/>
      <c r="O174" s="178"/>
      <c r="P174" s="180"/>
      <c r="Q174" s="180"/>
      <c r="R174" s="155"/>
      <c r="S174" s="155"/>
      <c r="T174" s="181"/>
      <c r="U174" s="200"/>
      <c r="V174" s="200"/>
      <c r="W174" s="201" t="s">
        <v>60</v>
      </c>
      <c r="X174" s="179"/>
      <c r="Y174" s="177" t="s">
        <v>990</v>
      </c>
      <c r="Z174" s="183" t="s">
        <v>994</v>
      </c>
      <c r="AA174" s="183" t="str">
        <f aca="false">VLOOKUP(Y174,20230302Data!A:K,2,FALSE())</f>
        <v>小5－2</v>
      </c>
      <c r="AB174" s="183" t="str">
        <f aca="false">VLOOKUP(Y174,20230302Data!A:K,3,FALSE())</f>
        <v>スワンソン 海渡</v>
      </c>
      <c r="AC174" s="184" t="str">
        <f aca="false">VLOOKUP(Y174,20230302Data!A:K,4,FALSE())</f>
        <v>クリストファー</v>
      </c>
      <c r="AD174" s="184" t="n">
        <f aca="false">VLOOKUP(Y174,20230302Data!A:K,6,FALSE())</f>
        <v>0</v>
      </c>
      <c r="AE174" s="184" t="n">
        <f aca="false">VLOOKUP(Y174,20230302Data!A:K,7,FALSE())</f>
        <v>0</v>
      </c>
      <c r="AF174" s="184" t="n">
        <f aca="false">VLOOKUP(Y174,20230302Data!A:K,8,FALSE())</f>
        <v>0</v>
      </c>
      <c r="AG174" s="184" t="n">
        <f aca="false">VLOOKUP(Y174,20230302Data!A:K,9,FALSE())</f>
        <v>0</v>
      </c>
      <c r="AH174" s="184" t="str">
        <f aca="false">SUBSTITUTE(SUBSTITUTE(SUBSTITUTE(Y174,"-",""),"(",""),")","")</f>
        <v>4046944857</v>
      </c>
      <c r="AI174" s="184" t="str">
        <f aca="false">IFERROR(VLOOKUP(AH174,#REF!,3,FALSE()),"")</f>
        <v/>
      </c>
    </row>
    <row r="175" customFormat="false" ht="12.75" hidden="false" customHeight="true" outlineLevel="0" collapsed="false">
      <c r="A175" s="202" t="s">
        <v>995</v>
      </c>
      <c r="B175" s="203" t="n">
        <v>173</v>
      </c>
      <c r="C175" s="203" t="s">
        <v>286</v>
      </c>
      <c r="D175" s="203" t="s">
        <v>996</v>
      </c>
      <c r="E175" s="203" t="s">
        <v>997</v>
      </c>
      <c r="F175" s="202" t="s">
        <v>995</v>
      </c>
      <c r="G175" s="204" t="s">
        <v>998</v>
      </c>
      <c r="H175" s="203" t="s">
        <v>215</v>
      </c>
      <c r="I175" s="203" t="s">
        <v>999</v>
      </c>
      <c r="J175" s="204"/>
      <c r="K175" s="204"/>
      <c r="L175" s="204"/>
      <c r="M175" s="204"/>
      <c r="N175" s="155"/>
      <c r="O175" s="186"/>
      <c r="P175" s="155"/>
      <c r="Q175" s="155"/>
      <c r="R175" s="205" t="n">
        <v>45073</v>
      </c>
      <c r="S175" s="202" t="s">
        <v>32</v>
      </c>
      <c r="T175" s="206"/>
      <c r="U175" s="215"/>
      <c r="V175" s="215"/>
      <c r="W175" s="216" t="s">
        <v>240</v>
      </c>
      <c r="X175" s="204"/>
      <c r="Y175" s="202" t="s">
        <v>995</v>
      </c>
      <c r="Z175" s="217" t="s">
        <v>998</v>
      </c>
      <c r="AA175" s="208" t="str">
        <f aca="false">VLOOKUP(Y175,20230302Data!A:K,2,FALSE())</f>
        <v>小5－2</v>
      </c>
      <c r="AB175" s="208" t="str">
        <f aca="false">VLOOKUP(Y175,20230302Data!A:K,3,FALSE())</f>
        <v>名和田 大輝</v>
      </c>
      <c r="AC175" s="209" t="str">
        <f aca="false">VLOOKUP(Y175,20230302Data!A:K,4,FALSE())</f>
        <v>正志</v>
      </c>
      <c r="AD175" s="209" t="str">
        <f aca="false">VLOOKUP(Y175,20230302Data!A:K,6,FALSE())</f>
        <v>中2－1</v>
      </c>
      <c r="AE175" s="209" t="str">
        <f aca="false">VLOOKUP(Y175,20230302Data!A:K,7,FALSE())</f>
        <v>名和田 一輝</v>
      </c>
      <c r="AF175" s="209" t="n">
        <f aca="false">VLOOKUP(Y175,20230302Data!A:K,8,FALSE())</f>
        <v>0</v>
      </c>
      <c r="AG175" s="209" t="n">
        <f aca="false">VLOOKUP(Y175,20230302Data!A:K,9,FALSE())</f>
        <v>0</v>
      </c>
      <c r="AH175" s="209" t="str">
        <f aca="false">SUBSTITUTE(SUBSTITUTE(SUBSTITUTE(Y175,"-",""),"(",""),")","")</f>
        <v>4047806390</v>
      </c>
      <c r="AI175" s="209" t="str">
        <f aca="false">IFERROR(VLOOKUP(AH175,#REF!,3,FALSE()),"")</f>
        <v/>
      </c>
    </row>
    <row r="176" customFormat="false" ht="12.75" hidden="false" customHeight="true" outlineLevel="0" collapsed="false">
      <c r="A176" s="151" t="s">
        <v>1000</v>
      </c>
      <c r="B176" s="152" t="n">
        <v>174</v>
      </c>
      <c r="C176" s="152" t="s">
        <v>286</v>
      </c>
      <c r="D176" s="152" t="s">
        <v>1001</v>
      </c>
      <c r="E176" s="152" t="s">
        <v>1002</v>
      </c>
      <c r="F176" s="151" t="s">
        <v>1000</v>
      </c>
      <c r="G176" s="153" t="s">
        <v>1003</v>
      </c>
      <c r="H176" s="152" t="s">
        <v>949</v>
      </c>
      <c r="I176" s="152" t="s">
        <v>1004</v>
      </c>
      <c r="J176" s="152"/>
      <c r="K176" s="152"/>
      <c r="L176" s="152"/>
      <c r="M176" s="152"/>
      <c r="N176" s="154"/>
      <c r="O176" s="152"/>
      <c r="P176" s="155"/>
      <c r="Q176" s="155"/>
      <c r="R176" s="154"/>
      <c r="S176" s="154"/>
      <c r="T176" s="156"/>
      <c r="U176" s="198"/>
      <c r="V176" s="198"/>
      <c r="W176" s="152" t="s">
        <v>103</v>
      </c>
      <c r="X176" s="152" t="s">
        <v>693</v>
      </c>
      <c r="Y176" s="151" t="s">
        <v>1000</v>
      </c>
      <c r="Z176" s="159" t="s">
        <v>1003</v>
      </c>
      <c r="AA176" s="160" t="str">
        <f aca="false">VLOOKUP(Y176,20230302Data!A:K,2,FALSE())</f>
        <v>小5－2</v>
      </c>
      <c r="AB176" s="160" t="str">
        <f aca="false">VLOOKUP(Y176,20230302Data!A:K,3,FALSE())</f>
        <v>田中 公香</v>
      </c>
      <c r="AC176" s="161" t="str">
        <f aca="false">VLOOKUP(Y176,20230302Data!A:K,4,FALSE())</f>
        <v>光一</v>
      </c>
      <c r="AD176" s="161" t="str">
        <f aca="false">VLOOKUP(Y176,20230302Data!A:K,6,FALSE())</f>
        <v>高1</v>
      </c>
      <c r="AE176" s="161" t="str">
        <f aca="false">VLOOKUP(Y176,20230302Data!A:K,7,FALSE())</f>
        <v>田中 朋喜</v>
      </c>
      <c r="AF176" s="161" t="n">
        <f aca="false">VLOOKUP(Y176,20230302Data!A:K,8,FALSE())</f>
        <v>0</v>
      </c>
      <c r="AG176" s="161" t="n">
        <f aca="false">VLOOKUP(Y176,20230302Data!A:K,9,FALSE())</f>
        <v>0</v>
      </c>
      <c r="AH176" s="161" t="str">
        <f aca="false">SUBSTITUTE(SUBSTITUTE(SUBSTITUTE(Y176,"-",""),"(",""),")","")</f>
        <v>4785084604</v>
      </c>
      <c r="AI176" s="161" t="str">
        <f aca="false">IFERROR(VLOOKUP(AH176,#REF!,3,FALSE()),"")</f>
        <v/>
      </c>
    </row>
    <row r="177" customFormat="false" ht="12.75" hidden="false" customHeight="true" outlineLevel="0" collapsed="false">
      <c r="A177" s="170" t="s">
        <v>1005</v>
      </c>
      <c r="B177" s="171" t="n">
        <v>175</v>
      </c>
      <c r="C177" s="171" t="s">
        <v>286</v>
      </c>
      <c r="D177" s="171" t="s">
        <v>1006</v>
      </c>
      <c r="E177" s="171" t="s">
        <v>1007</v>
      </c>
      <c r="F177" s="170" t="s">
        <v>1005</v>
      </c>
      <c r="G177" s="111" t="s">
        <v>1008</v>
      </c>
      <c r="H177" s="111"/>
      <c r="I177" s="111"/>
      <c r="J177" s="111"/>
      <c r="K177" s="111"/>
      <c r="L177" s="111"/>
      <c r="M177" s="111"/>
      <c r="N177" s="172"/>
      <c r="O177" s="172"/>
      <c r="P177" s="172"/>
      <c r="Q177" s="171"/>
      <c r="R177" s="155"/>
      <c r="S177" s="155"/>
      <c r="T177" s="173"/>
      <c r="U177" s="174"/>
      <c r="V177" s="174"/>
      <c r="W177" s="193" t="s">
        <v>33</v>
      </c>
      <c r="X177" s="111"/>
      <c r="Y177" s="170" t="s">
        <v>1005</v>
      </c>
      <c r="Z177" s="175" t="s">
        <v>1008</v>
      </c>
      <c r="AA177" s="175" t="str">
        <f aca="false">VLOOKUP(Y177,20230302Data!A:K,2,FALSE())</f>
        <v>小5－2</v>
      </c>
      <c r="AB177" s="175" t="str">
        <f aca="false">VLOOKUP(Y177,20230302Data!A:K,3,FALSE())</f>
        <v>シールズ 桜</v>
      </c>
      <c r="AC177" s="176" t="str">
        <f aca="false">VLOOKUP(Y177,20230302Data!A:K,4,FALSE())</f>
        <v>チャールズ</v>
      </c>
      <c r="AD177" s="176" t="n">
        <f aca="false">VLOOKUP(Y177,20230302Data!A:K,6,FALSE())</f>
        <v>0</v>
      </c>
      <c r="AE177" s="176" t="n">
        <f aca="false">VLOOKUP(Y177,20230302Data!A:K,7,FALSE())</f>
        <v>0</v>
      </c>
      <c r="AF177" s="176" t="n">
        <f aca="false">VLOOKUP(Y177,20230302Data!A:K,8,FALSE())</f>
        <v>0</v>
      </c>
      <c r="AG177" s="176" t="n">
        <f aca="false">VLOOKUP(Y177,20230302Data!A:K,9,FALSE())</f>
        <v>0</v>
      </c>
      <c r="AH177" s="176" t="str">
        <f aca="false">SUBSTITUTE(SUBSTITUTE(SUBSTITUTE(Y177,"-",""),"(",""),")","")</f>
        <v>4045765740</v>
      </c>
      <c r="AI177" s="176" t="str">
        <f aca="false">IFERROR(VLOOKUP(AH177,#REF!,3,FALSE()),"")</f>
        <v/>
      </c>
    </row>
    <row r="178" customFormat="false" ht="12.75" hidden="false" customHeight="true" outlineLevel="0" collapsed="false">
      <c r="A178" s="246" t="s">
        <v>1009</v>
      </c>
      <c r="B178" s="247" t="n">
        <v>176</v>
      </c>
      <c r="C178" s="248" t="s">
        <v>1010</v>
      </c>
      <c r="D178" s="248" t="s">
        <v>1011</v>
      </c>
      <c r="E178" s="248" t="s">
        <v>1012</v>
      </c>
      <c r="F178" s="246" t="s">
        <v>1009</v>
      </c>
      <c r="G178" s="246" t="s">
        <v>1013</v>
      </c>
      <c r="H178" s="246"/>
      <c r="I178" s="246"/>
      <c r="J178" s="246"/>
      <c r="K178" s="246"/>
      <c r="L178" s="246"/>
      <c r="M178" s="246"/>
      <c r="N178" s="186"/>
      <c r="O178" s="186"/>
      <c r="P178" s="186"/>
      <c r="Q178" s="186"/>
      <c r="R178" s="155"/>
      <c r="S178" s="186"/>
      <c r="T178" s="246" t="s">
        <v>1014</v>
      </c>
      <c r="U178" s="249" t="n">
        <v>44870</v>
      </c>
      <c r="V178" s="249" t="n">
        <v>45059</v>
      </c>
      <c r="W178" s="250"/>
      <c r="X178" s="246"/>
      <c r="Y178" s="246" t="s">
        <v>1009</v>
      </c>
      <c r="Z178" s="246"/>
      <c r="AA178" s="250" t="str">
        <f aca="false">VLOOKUP(Y178,20230302Data!A:K,2,FALSE())</f>
        <v>小5－2</v>
      </c>
      <c r="AB178" s="250" t="str">
        <f aca="false">VLOOKUP(Y178,20230302Data!A:K,3,FALSE())</f>
        <v>山田 悠人</v>
      </c>
      <c r="AC178" s="251" t="str">
        <f aca="false">VLOOKUP(Y178,20230302Data!A:K,4,FALSE())</f>
        <v>泰之</v>
      </c>
      <c r="AD178" s="251" t="n">
        <f aca="false">VLOOKUP(Y178,20230302Data!A:K,6,FALSE())</f>
        <v>0</v>
      </c>
      <c r="AE178" s="251" t="n">
        <f aca="false">VLOOKUP(Y178,20230302Data!A:K,7,FALSE())</f>
        <v>0</v>
      </c>
      <c r="AF178" s="251" t="n">
        <f aca="false">VLOOKUP(Y178,20230302Data!A:K,8,FALSE())</f>
        <v>0</v>
      </c>
      <c r="AG178" s="251" t="n">
        <f aca="false">VLOOKUP(Y178,20230302Data!A:K,9,FALSE())</f>
        <v>0</v>
      </c>
      <c r="AH178" s="251" t="str">
        <f aca="false">SUBSTITUTE(SUBSTITUTE(SUBSTITUTE(Y178,"-",""),"(",""),")","")</f>
        <v>3109567817</v>
      </c>
      <c r="AI178" s="251" t="str">
        <f aca="false">IFERROR(VLOOKUP(AH178,#REF!,3,FALSE()),"")</f>
        <v/>
      </c>
    </row>
    <row r="179" customFormat="false" ht="12.75" hidden="false" customHeight="true" outlineLevel="0" collapsed="false">
      <c r="A179" s="151" t="s">
        <v>1015</v>
      </c>
      <c r="B179" s="152" t="n">
        <v>177</v>
      </c>
      <c r="C179" s="158" t="s">
        <v>1010</v>
      </c>
      <c r="D179" s="152" t="s">
        <v>1016</v>
      </c>
      <c r="E179" s="158" t="s">
        <v>1017</v>
      </c>
      <c r="F179" s="151" t="s">
        <v>1015</v>
      </c>
      <c r="G179" s="153" t="s">
        <v>1018</v>
      </c>
      <c r="H179" s="152"/>
      <c r="I179" s="152"/>
      <c r="J179" s="153"/>
      <c r="K179" s="153"/>
      <c r="L179" s="153"/>
      <c r="M179" s="153"/>
      <c r="N179" s="154" t="n">
        <v>45038</v>
      </c>
      <c r="O179" s="151" t="s">
        <v>67</v>
      </c>
      <c r="P179" s="186"/>
      <c r="Q179" s="186"/>
      <c r="R179" s="152"/>
      <c r="S179" s="152"/>
      <c r="T179" s="153" t="s">
        <v>1019</v>
      </c>
      <c r="U179" s="157"/>
      <c r="V179" s="157"/>
      <c r="W179" s="158" t="s">
        <v>103</v>
      </c>
      <c r="X179" s="153"/>
      <c r="Y179" s="151" t="s">
        <v>1015</v>
      </c>
      <c r="Z179" s="153"/>
      <c r="AA179" s="160" t="str">
        <f aca="false">VLOOKUP(Y179,20230302Data!A:K,2,FALSE())</f>
        <v>小5－2</v>
      </c>
      <c r="AB179" s="160" t="str">
        <f aca="false">VLOOKUP(Y179,20230302Data!A:K,3,FALSE())</f>
        <v>堀内 漣</v>
      </c>
      <c r="AC179" s="161" t="str">
        <f aca="false">VLOOKUP(Y179,20230302Data!A:K,4,FALSE())</f>
        <v>拓</v>
      </c>
      <c r="AD179" s="161" t="str">
        <f aca="false">VLOOKUP(Y179,20230302Data!A:K,6,FALSE())</f>
        <v>中3－1</v>
      </c>
      <c r="AE179" s="161" t="str">
        <f aca="false">VLOOKUP(Y179,20230302Data!A:K,7,FALSE())</f>
        <v>堀内 菜那</v>
      </c>
      <c r="AF179" s="161" t="n">
        <f aca="false">VLOOKUP(Y179,20230302Data!A:K,8,FALSE())</f>
        <v>0</v>
      </c>
      <c r="AG179" s="161" t="n">
        <f aca="false">VLOOKUP(Y179,20230302Data!A:K,9,FALSE())</f>
        <v>0</v>
      </c>
      <c r="AH179" s="161" t="str">
        <f aca="false">SUBSTITUTE(SUBSTITUTE(SUBSTITUTE(Y179,"-",""),"(",""),")","")</f>
        <v>7706584991</v>
      </c>
      <c r="AI179" s="161" t="str">
        <f aca="false">IFERROR(VLOOKUP(AH179,#REF!,3,FALSE()),"")</f>
        <v/>
      </c>
    </row>
    <row r="180" customFormat="false" ht="12.75" hidden="false" customHeight="true" outlineLevel="0" collapsed="false">
      <c r="A180" s="162" t="s">
        <v>1020</v>
      </c>
      <c r="B180" s="163" t="n">
        <v>178</v>
      </c>
      <c r="C180" s="163" t="s">
        <v>395</v>
      </c>
      <c r="D180" s="163" t="s">
        <v>1021</v>
      </c>
      <c r="E180" s="163" t="s">
        <v>1022</v>
      </c>
      <c r="F180" s="162" t="s">
        <v>1020</v>
      </c>
      <c r="G180" s="116" t="s">
        <v>1023</v>
      </c>
      <c r="H180" s="163" t="s">
        <v>215</v>
      </c>
      <c r="I180" s="163" t="s">
        <v>1024</v>
      </c>
      <c r="J180" s="116"/>
      <c r="K180" s="116"/>
      <c r="L180" s="116"/>
      <c r="M180" s="116"/>
      <c r="N180" s="164"/>
      <c r="O180" s="164"/>
      <c r="P180" s="164"/>
      <c r="Q180" s="164"/>
      <c r="R180" s="164"/>
      <c r="S180" s="163"/>
      <c r="T180" s="165"/>
      <c r="U180" s="166"/>
      <c r="V180" s="166"/>
      <c r="W180" s="116"/>
      <c r="X180" s="116"/>
      <c r="Y180" s="162" t="s">
        <v>1020</v>
      </c>
      <c r="Z180" s="167" t="s">
        <v>1023</v>
      </c>
      <c r="AA180" s="168" t="str">
        <f aca="false">VLOOKUP(Y180,20230302Data!A:K,2,FALSE())</f>
        <v>小6－1</v>
      </c>
      <c r="AB180" s="168" t="str">
        <f aca="false">VLOOKUP(Y180,20230302Data!A:K,3,FALSE())</f>
        <v>濱岡 尚裕</v>
      </c>
      <c r="AC180" s="169" t="str">
        <f aca="false">VLOOKUP(Y180,20230302Data!A:K,4,FALSE())</f>
        <v>寛裕</v>
      </c>
      <c r="AD180" s="169" t="str">
        <f aca="false">VLOOKUP(Y180,20230302Data!A:K,6,FALSE())</f>
        <v>中2－1</v>
      </c>
      <c r="AE180" s="169" t="str">
        <f aca="false">VLOOKUP(Y180,20230302Data!A:K,7,FALSE())</f>
        <v>濱岡 柚里子</v>
      </c>
      <c r="AF180" s="169" t="n">
        <f aca="false">VLOOKUP(Y180,20230302Data!A:K,8,FALSE())</f>
        <v>0</v>
      </c>
      <c r="AG180" s="169" t="n">
        <f aca="false">VLOOKUP(Y180,20230302Data!A:K,9,FALSE())</f>
        <v>0</v>
      </c>
      <c r="AH180" s="169" t="str">
        <f aca="false">SUBSTITUTE(SUBSTITUTE(SUBSTITUTE(Y180,"-",""),"(",""),")","")</f>
        <v>6782068519</v>
      </c>
      <c r="AI180" s="169" t="str">
        <f aca="false">IFERROR(VLOOKUP(AH180,#REF!,3,FALSE()),"")</f>
        <v/>
      </c>
    </row>
    <row r="181" customFormat="false" ht="12.75" hidden="false" customHeight="true" outlineLevel="0" collapsed="false">
      <c r="A181" s="151" t="s">
        <v>1025</v>
      </c>
      <c r="B181" s="152" t="n">
        <v>179</v>
      </c>
      <c r="C181" s="152" t="s">
        <v>395</v>
      </c>
      <c r="D181" s="152" t="s">
        <v>1026</v>
      </c>
      <c r="E181" s="152" t="s">
        <v>1027</v>
      </c>
      <c r="F181" s="151" t="s">
        <v>1025</v>
      </c>
      <c r="G181" s="153" t="s">
        <v>1028</v>
      </c>
      <c r="H181" s="152"/>
      <c r="I181" s="152"/>
      <c r="J181" s="152"/>
      <c r="K181" s="152"/>
      <c r="L181" s="152"/>
      <c r="M181" s="152"/>
      <c r="N181" s="154"/>
      <c r="O181" s="152"/>
      <c r="P181" s="155"/>
      <c r="Q181" s="155"/>
      <c r="R181" s="154"/>
      <c r="S181" s="154"/>
      <c r="T181" s="156"/>
      <c r="U181" s="198"/>
      <c r="V181" s="198"/>
      <c r="W181" s="152" t="s">
        <v>103</v>
      </c>
      <c r="X181" s="152" t="s">
        <v>1029</v>
      </c>
      <c r="Y181" s="151" t="s">
        <v>1025</v>
      </c>
      <c r="Z181" s="159" t="s">
        <v>1030</v>
      </c>
      <c r="AA181" s="160" t="str">
        <f aca="false">VLOOKUP(Y181,20230302Data!A:K,2,FALSE())</f>
        <v>小6－1</v>
      </c>
      <c r="AB181" s="160" t="str">
        <f aca="false">VLOOKUP(Y181,20230302Data!A:K,3,FALSE())</f>
        <v>前田 康喜</v>
      </c>
      <c r="AC181" s="161" t="str">
        <f aca="false">VLOOKUP(Y181,20230302Data!A:K,4,FALSE())</f>
        <v>直斗</v>
      </c>
      <c r="AD181" s="161" t="n">
        <f aca="false">VLOOKUP(Y181,20230302Data!A:K,6,FALSE())</f>
        <v>0</v>
      </c>
      <c r="AE181" s="161" t="n">
        <f aca="false">VLOOKUP(Y181,20230302Data!A:K,7,FALSE())</f>
        <v>0</v>
      </c>
      <c r="AF181" s="161" t="n">
        <f aca="false">VLOOKUP(Y181,20230302Data!A:K,8,FALSE())</f>
        <v>0</v>
      </c>
      <c r="AG181" s="161" t="n">
        <f aca="false">VLOOKUP(Y181,20230302Data!A:K,9,FALSE())</f>
        <v>0</v>
      </c>
      <c r="AH181" s="161" t="str">
        <f aca="false">SUBSTITUTE(SUBSTITUTE(SUBSTITUTE(Y181,"-",""),"(",""),")","")</f>
        <v>4043601177</v>
      </c>
      <c r="AI181" s="161" t="str">
        <f aca="false">IFERROR(VLOOKUP(AH181,#REF!,3,FALSE()),"")</f>
        <v/>
      </c>
    </row>
    <row r="182" customFormat="false" ht="12.75" hidden="false" customHeight="true" outlineLevel="0" collapsed="false">
      <c r="A182" s="162" t="s">
        <v>1031</v>
      </c>
      <c r="B182" s="163" t="n">
        <v>180</v>
      </c>
      <c r="C182" s="163" t="s">
        <v>395</v>
      </c>
      <c r="D182" s="163" t="s">
        <v>1032</v>
      </c>
      <c r="E182" s="163" t="s">
        <v>1033</v>
      </c>
      <c r="F182" s="162" t="s">
        <v>1031</v>
      </c>
      <c r="G182" s="116" t="s">
        <v>1034</v>
      </c>
      <c r="H182" s="163" t="s">
        <v>215</v>
      </c>
      <c r="I182" s="163" t="s">
        <v>1035</v>
      </c>
      <c r="J182" s="116"/>
      <c r="K182" s="116"/>
      <c r="L182" s="116"/>
      <c r="M182" s="116"/>
      <c r="N182" s="164"/>
      <c r="O182" s="164"/>
      <c r="P182" s="164"/>
      <c r="Q182" s="163"/>
      <c r="R182" s="164"/>
      <c r="S182" s="164"/>
      <c r="T182" s="165"/>
      <c r="U182" s="166"/>
      <c r="V182" s="166"/>
      <c r="W182" s="116"/>
      <c r="X182" s="116"/>
      <c r="Y182" s="162" t="s">
        <v>1031</v>
      </c>
      <c r="Z182" s="167" t="s">
        <v>1034</v>
      </c>
      <c r="AA182" s="168" t="str">
        <f aca="false">VLOOKUP(Y182,20230302Data!A:K,2,FALSE())</f>
        <v>小6－1</v>
      </c>
      <c r="AB182" s="168" t="str">
        <f aca="false">VLOOKUP(Y182,20230302Data!A:K,3,FALSE())</f>
        <v>太田 理仁</v>
      </c>
      <c r="AC182" s="169" t="str">
        <f aca="false">VLOOKUP(Y182,20230302Data!A:K,4,FALSE())</f>
        <v>浩二</v>
      </c>
      <c r="AD182" s="169" t="str">
        <f aca="false">VLOOKUP(Y182,20230302Data!A:K,6,FALSE())</f>
        <v>中2－1</v>
      </c>
      <c r="AE182" s="169" t="str">
        <f aca="false">VLOOKUP(Y182,20230302Data!A:K,7,FALSE())</f>
        <v>太田 絢梧</v>
      </c>
      <c r="AF182" s="169" t="n">
        <f aca="false">VLOOKUP(Y182,20230302Data!A:K,8,FALSE())</f>
        <v>0</v>
      </c>
      <c r="AG182" s="169" t="n">
        <f aca="false">VLOOKUP(Y182,20230302Data!A:K,9,FALSE())</f>
        <v>0</v>
      </c>
      <c r="AH182" s="169" t="str">
        <f aca="false">SUBSTITUTE(SUBSTITUTE(SUBSTITUTE(Y182,"-",""),"(",""),")","")</f>
        <v>4704614993</v>
      </c>
      <c r="AI182" s="169" t="str">
        <f aca="false">IFERROR(VLOOKUP(AH182,#REF!,3,FALSE()),"")</f>
        <v/>
      </c>
    </row>
    <row r="183" customFormat="false" ht="12.75" hidden="false" customHeight="true" outlineLevel="0" collapsed="false">
      <c r="A183" s="162" t="s">
        <v>1036</v>
      </c>
      <c r="B183" s="163" t="n">
        <v>181</v>
      </c>
      <c r="C183" s="163" t="s">
        <v>395</v>
      </c>
      <c r="D183" s="163" t="s">
        <v>1037</v>
      </c>
      <c r="E183" s="163" t="s">
        <v>1038</v>
      </c>
      <c r="F183" s="162" t="s">
        <v>1036</v>
      </c>
      <c r="G183" s="116" t="s">
        <v>1039</v>
      </c>
      <c r="H183" s="241"/>
      <c r="I183" s="241"/>
      <c r="J183" s="116"/>
      <c r="K183" s="116"/>
      <c r="L183" s="116"/>
      <c r="M183" s="116"/>
      <c r="N183" s="164"/>
      <c r="O183" s="164"/>
      <c r="P183" s="164"/>
      <c r="Q183" s="163"/>
      <c r="R183" s="164" t="n">
        <v>45059</v>
      </c>
      <c r="S183" s="162" t="s">
        <v>335</v>
      </c>
      <c r="T183" s="165"/>
      <c r="U183" s="166"/>
      <c r="V183" s="166" t="n">
        <v>45094</v>
      </c>
      <c r="W183" s="116"/>
      <c r="X183" s="116"/>
      <c r="Y183" s="162" t="s">
        <v>1036</v>
      </c>
      <c r="Z183" s="167" t="s">
        <v>1039</v>
      </c>
      <c r="AA183" s="168" t="str">
        <f aca="false">VLOOKUP(Y183,20230302Data!A:K,2,FALSE())</f>
        <v>小6－1</v>
      </c>
      <c r="AB183" s="168" t="str">
        <f aca="false">VLOOKUP(Y183,20230302Data!A:K,3,FALSE())</f>
        <v>莅戸 利紗</v>
      </c>
      <c r="AC183" s="169" t="str">
        <f aca="false">VLOOKUP(Y183,20230302Data!A:K,4,FALSE())</f>
        <v>法夫</v>
      </c>
      <c r="AD183" s="169" t="n">
        <f aca="false">VLOOKUP(Y183,20230302Data!A:K,6,FALSE())</f>
        <v>0</v>
      </c>
      <c r="AE183" s="169" t="n">
        <f aca="false">VLOOKUP(Y183,20230302Data!A:K,7,FALSE())</f>
        <v>0</v>
      </c>
      <c r="AF183" s="169" t="n">
        <f aca="false">VLOOKUP(Y183,20230302Data!A:K,8,FALSE())</f>
        <v>0</v>
      </c>
      <c r="AG183" s="169" t="n">
        <f aca="false">VLOOKUP(Y183,20230302Data!A:K,9,FALSE())</f>
        <v>0</v>
      </c>
      <c r="AH183" s="169" t="str">
        <f aca="false">SUBSTITUTE(SUBSTITUTE(SUBSTITUTE(Y183,"-",""),"(",""),")","")</f>
        <v>7705478194</v>
      </c>
      <c r="AI183" s="169" t="str">
        <f aca="false">IFERROR(VLOOKUP(AH183,#REF!,3,FALSE()),"")</f>
        <v/>
      </c>
    </row>
    <row r="184" customFormat="false" ht="12.75" hidden="false" customHeight="true" outlineLevel="0" collapsed="false">
      <c r="A184" s="162" t="s">
        <v>1040</v>
      </c>
      <c r="B184" s="163" t="n">
        <v>182</v>
      </c>
      <c r="C184" s="163" t="s">
        <v>395</v>
      </c>
      <c r="D184" s="163" t="s">
        <v>1041</v>
      </c>
      <c r="E184" s="163" t="s">
        <v>1042</v>
      </c>
      <c r="F184" s="162" t="s">
        <v>1040</v>
      </c>
      <c r="G184" s="116" t="s">
        <v>1043</v>
      </c>
      <c r="H184" s="116"/>
      <c r="I184" s="116"/>
      <c r="J184" s="116"/>
      <c r="K184" s="116"/>
      <c r="L184" s="116"/>
      <c r="M184" s="116"/>
      <c r="N184" s="164"/>
      <c r="O184" s="163"/>
      <c r="P184" s="164"/>
      <c r="Q184" s="163"/>
      <c r="R184" s="164" t="n">
        <v>45045</v>
      </c>
      <c r="S184" s="162" t="s">
        <v>67</v>
      </c>
      <c r="T184" s="165"/>
      <c r="U184" s="166"/>
      <c r="V184" s="166"/>
      <c r="W184" s="116"/>
      <c r="X184" s="116"/>
      <c r="Y184" s="162" t="s">
        <v>1040</v>
      </c>
      <c r="Z184" s="167" t="s">
        <v>1043</v>
      </c>
      <c r="AA184" s="168" t="str">
        <f aca="false">VLOOKUP(Y184,20230302Data!A:K,2,FALSE())</f>
        <v>小6－1</v>
      </c>
      <c r="AB184" s="168" t="str">
        <f aca="false">VLOOKUP(Y184,20230302Data!A:K,3,FALSE())</f>
        <v>大瀧 陽葵</v>
      </c>
      <c r="AC184" s="169" t="str">
        <f aca="false">VLOOKUP(Y184,20230302Data!A:K,4,FALSE())</f>
        <v>林威</v>
      </c>
      <c r="AD184" s="169" t="n">
        <f aca="false">VLOOKUP(Y184,20230302Data!A:K,6,FALSE())</f>
        <v>0</v>
      </c>
      <c r="AE184" s="169" t="n">
        <f aca="false">VLOOKUP(Y184,20230302Data!A:K,7,FALSE())</f>
        <v>0</v>
      </c>
      <c r="AF184" s="169" t="n">
        <f aca="false">VLOOKUP(Y184,20230302Data!A:K,8,FALSE())</f>
        <v>0</v>
      </c>
      <c r="AG184" s="169" t="n">
        <f aca="false">VLOOKUP(Y184,20230302Data!A:K,9,FALSE())</f>
        <v>0</v>
      </c>
      <c r="AH184" s="169" t="str">
        <f aca="false">SUBSTITUTE(SUBSTITUTE(SUBSTITUTE(Y184,"-",""),"(",""),")","")</f>
        <v>7142803924</v>
      </c>
      <c r="AI184" s="169" t="str">
        <f aca="false">IFERROR(VLOOKUP(AH184,#REF!,3,FALSE()),"")</f>
        <v/>
      </c>
    </row>
    <row r="185" customFormat="false" ht="12.75" hidden="false" customHeight="true" outlineLevel="0" collapsed="false">
      <c r="A185" s="170" t="s">
        <v>1044</v>
      </c>
      <c r="B185" s="171" t="n">
        <v>183</v>
      </c>
      <c r="C185" s="171" t="s">
        <v>395</v>
      </c>
      <c r="D185" s="171" t="s">
        <v>1045</v>
      </c>
      <c r="E185" s="171" t="s">
        <v>1046</v>
      </c>
      <c r="F185" s="170" t="s">
        <v>1044</v>
      </c>
      <c r="G185" s="252" t="s">
        <v>1047</v>
      </c>
      <c r="H185" s="171" t="s">
        <v>533</v>
      </c>
      <c r="I185" s="171" t="s">
        <v>1048</v>
      </c>
      <c r="J185" s="171"/>
      <c r="K185" s="171"/>
      <c r="L185" s="171"/>
      <c r="M185" s="171"/>
      <c r="N185" s="172"/>
      <c r="O185" s="172"/>
      <c r="P185" s="172" t="n">
        <v>45066</v>
      </c>
      <c r="Q185" s="170" t="s">
        <v>67</v>
      </c>
      <c r="R185" s="172"/>
      <c r="S185" s="172"/>
      <c r="T185" s="173"/>
      <c r="U185" s="195"/>
      <c r="V185" s="195"/>
      <c r="W185" s="193" t="s">
        <v>33</v>
      </c>
      <c r="X185" s="171" t="s">
        <v>1029</v>
      </c>
      <c r="Y185" s="170" t="s">
        <v>1044</v>
      </c>
      <c r="Z185" s="175" t="s">
        <v>1047</v>
      </c>
      <c r="AA185" s="175" t="str">
        <f aca="false">VLOOKUP(Y185,20230302Data!A:K,2,FALSE())</f>
        <v>小6－1</v>
      </c>
      <c r="AB185" s="175" t="str">
        <f aca="false">VLOOKUP(Y185,20230302Data!A:K,3,FALSE())</f>
        <v>川口 恵里佳</v>
      </c>
      <c r="AC185" s="176" t="str">
        <f aca="false">VLOOKUP(Y185,20230302Data!A:K,4,FALSE())</f>
        <v>慎太郎</v>
      </c>
      <c r="AD185" s="176" t="str">
        <f aca="false">VLOOKUP(Y185,20230302Data!A:K,6,FALSE())</f>
        <v>中1－1</v>
      </c>
      <c r="AE185" s="176" t="str">
        <f aca="false">VLOOKUP(Y185,20230302Data!A:K,7,FALSE())</f>
        <v>川口 航生</v>
      </c>
      <c r="AF185" s="176" t="n">
        <f aca="false">VLOOKUP(Y185,20230302Data!A:K,8,FALSE())</f>
        <v>0</v>
      </c>
      <c r="AG185" s="176" t="n">
        <f aca="false">VLOOKUP(Y185,20230302Data!A:K,9,FALSE())</f>
        <v>0</v>
      </c>
      <c r="AH185" s="176" t="str">
        <f aca="false">SUBSTITUTE(SUBSTITUTE(SUBSTITUTE(Y185,"-",""),"(",""),")","")</f>
        <v>4704554421</v>
      </c>
      <c r="AI185" s="176" t="str">
        <f aca="false">IFERROR(VLOOKUP(AH185,#REF!,3,FALSE()),"")</f>
        <v/>
      </c>
    </row>
    <row r="186" customFormat="false" ht="12.75" hidden="false" customHeight="true" outlineLevel="0" collapsed="false">
      <c r="A186" s="177" t="s">
        <v>1049</v>
      </c>
      <c r="B186" s="178" t="n">
        <v>184</v>
      </c>
      <c r="C186" s="178" t="s">
        <v>395</v>
      </c>
      <c r="D186" s="178" t="s">
        <v>1050</v>
      </c>
      <c r="E186" s="178" t="s">
        <v>1051</v>
      </c>
      <c r="F186" s="177" t="s">
        <v>1049</v>
      </c>
      <c r="G186" s="179" t="s">
        <v>1052</v>
      </c>
      <c r="H186" s="179"/>
      <c r="I186" s="179"/>
      <c r="J186" s="179"/>
      <c r="K186" s="179"/>
      <c r="L186" s="179"/>
      <c r="M186" s="179"/>
      <c r="N186" s="180"/>
      <c r="O186" s="178"/>
      <c r="P186" s="180"/>
      <c r="Q186" s="180"/>
      <c r="R186" s="155"/>
      <c r="S186" s="155"/>
      <c r="T186" s="181"/>
      <c r="U186" s="200"/>
      <c r="V186" s="200"/>
      <c r="W186" s="201" t="s">
        <v>60</v>
      </c>
      <c r="X186" s="179"/>
      <c r="Y186" s="177" t="s">
        <v>1049</v>
      </c>
      <c r="Z186" s="183" t="s">
        <v>1052</v>
      </c>
      <c r="AA186" s="183" t="str">
        <f aca="false">VLOOKUP(Y186,20230302Data!A:K,2,FALSE())</f>
        <v>小6－1</v>
      </c>
      <c r="AB186" s="183" t="str">
        <f aca="false">VLOOKUP(Y186,20230302Data!A:K,3,FALSE())</f>
        <v>森川 千凪</v>
      </c>
      <c r="AC186" s="184" t="str">
        <f aca="false">VLOOKUP(Y186,20230302Data!A:K,4,FALSE())</f>
        <v>智之</v>
      </c>
      <c r="AD186" s="184" t="n">
        <f aca="false">VLOOKUP(Y186,20230302Data!A:K,6,FALSE())</f>
        <v>0</v>
      </c>
      <c r="AE186" s="184" t="n">
        <f aca="false">VLOOKUP(Y186,20230302Data!A:K,7,FALSE())</f>
        <v>0</v>
      </c>
      <c r="AF186" s="184" t="n">
        <f aca="false">VLOOKUP(Y186,20230302Data!A:K,8,FALSE())</f>
        <v>0</v>
      </c>
      <c r="AG186" s="184" t="n">
        <f aca="false">VLOOKUP(Y186,20230302Data!A:K,9,FALSE())</f>
        <v>0</v>
      </c>
      <c r="AH186" s="184" t="str">
        <f aca="false">SUBSTITUTE(SUBSTITUTE(SUBSTITUTE(Y186,"-",""),"(",""),")","")</f>
        <v>4049516586</v>
      </c>
      <c r="AI186" s="184" t="str">
        <f aca="false">IFERROR(VLOOKUP(AH186,#REF!,3,FALSE()),"")</f>
        <v/>
      </c>
    </row>
    <row r="187" customFormat="false" ht="12.75" hidden="false" customHeight="true" outlineLevel="0" collapsed="false">
      <c r="A187" s="202" t="s">
        <v>1053</v>
      </c>
      <c r="B187" s="203" t="n">
        <v>185</v>
      </c>
      <c r="C187" s="203" t="s">
        <v>395</v>
      </c>
      <c r="D187" s="203" t="s">
        <v>1054</v>
      </c>
      <c r="E187" s="203" t="s">
        <v>1055</v>
      </c>
      <c r="F187" s="202" t="s">
        <v>1053</v>
      </c>
      <c r="G187" s="204" t="s">
        <v>1056</v>
      </c>
      <c r="H187" s="203"/>
      <c r="I187" s="203"/>
      <c r="J187" s="203"/>
      <c r="K187" s="203"/>
      <c r="L187" s="203"/>
      <c r="M187" s="203"/>
      <c r="N187" s="155"/>
      <c r="O187" s="155"/>
      <c r="P187" s="155"/>
      <c r="Q187" s="155"/>
      <c r="R187" s="203"/>
      <c r="S187" s="205"/>
      <c r="T187" s="206"/>
      <c r="U187" s="207"/>
      <c r="V187" s="207"/>
      <c r="W187" s="203" t="s">
        <v>240</v>
      </c>
      <c r="X187" s="203" t="s">
        <v>1057</v>
      </c>
      <c r="Y187" s="202" t="s">
        <v>1053</v>
      </c>
      <c r="Z187" s="217" t="s">
        <v>1056</v>
      </c>
      <c r="AA187" s="208" t="str">
        <f aca="false">VLOOKUP(Y187,20230302Data!A:K,2,FALSE())</f>
        <v>小6－1</v>
      </c>
      <c r="AB187" s="208" t="str">
        <f aca="false">VLOOKUP(Y187,20230302Data!A:K,3,FALSE())</f>
        <v>大塚 ルビー</v>
      </c>
      <c r="AC187" s="209" t="str">
        <f aca="false">VLOOKUP(Y187,20230302Data!A:K,4,FALSE())</f>
        <v>マイケル</v>
      </c>
      <c r="AD187" s="209" t="n">
        <f aca="false">VLOOKUP(Y187,20230302Data!A:K,6,FALSE())</f>
        <v>0</v>
      </c>
      <c r="AE187" s="209" t="n">
        <f aca="false">VLOOKUP(Y187,20230302Data!A:K,7,FALSE())</f>
        <v>0</v>
      </c>
      <c r="AF187" s="209" t="n">
        <f aca="false">VLOOKUP(Y187,20230302Data!A:K,8,FALSE())</f>
        <v>0</v>
      </c>
      <c r="AG187" s="209" t="n">
        <f aca="false">VLOOKUP(Y187,20230302Data!A:K,9,FALSE())</f>
        <v>0</v>
      </c>
      <c r="AH187" s="209" t="str">
        <f aca="false">SUBSTITUTE(SUBSTITUTE(SUBSTITUTE(Y187,"-",""),"(",""),")","")</f>
        <v>6784516436</v>
      </c>
      <c r="AI187" s="209" t="str">
        <f aca="false">IFERROR(VLOOKUP(AH187,#REF!,3,FALSE()),"")</f>
        <v/>
      </c>
    </row>
    <row r="188" customFormat="false" ht="12.75" hidden="false" customHeight="true" outlineLevel="0" collapsed="false">
      <c r="A188" s="253" t="s">
        <v>1058</v>
      </c>
      <c r="B188" s="253" t="n">
        <v>187</v>
      </c>
      <c r="C188" s="254" t="s">
        <v>418</v>
      </c>
      <c r="D188" s="254" t="s">
        <v>1059</v>
      </c>
      <c r="E188" s="254" t="s">
        <v>1060</v>
      </c>
      <c r="F188" s="253" t="s">
        <v>1058</v>
      </c>
      <c r="G188" s="255" t="s">
        <v>1061</v>
      </c>
      <c r="H188" s="254" t="s">
        <v>516</v>
      </c>
      <c r="I188" s="254" t="s">
        <v>1062</v>
      </c>
      <c r="J188" s="255"/>
      <c r="K188" s="255"/>
      <c r="L188" s="255"/>
      <c r="M188" s="255"/>
      <c r="N188" s="256"/>
      <c r="O188" s="256"/>
      <c r="P188" s="256"/>
      <c r="Q188" s="254"/>
      <c r="R188" s="256"/>
      <c r="S188" s="256"/>
      <c r="T188" s="257"/>
      <c r="U188" s="258"/>
      <c r="V188" s="258"/>
      <c r="W188" s="254" t="s">
        <v>33</v>
      </c>
      <c r="X188" s="255"/>
      <c r="Y188" s="253" t="s">
        <v>1058</v>
      </c>
      <c r="Z188" s="259" t="s">
        <v>1061</v>
      </c>
      <c r="AA188" s="259" t="str">
        <f aca="false">VLOOKUP(Y188,20230302Data!A:K,2,FALSE())</f>
        <v>小6－2</v>
      </c>
      <c r="AB188" s="259" t="str">
        <f aca="false">VLOOKUP(Y188,20230302Data!A:K,3,FALSE())</f>
        <v>アリガンバリ シーナ</v>
      </c>
      <c r="AC188" s="260" t="str">
        <f aca="false">VLOOKUP(Y188,20230302Data!A:K,4,FALSE())</f>
        <v>アミア</v>
      </c>
      <c r="AD188" s="260" t="str">
        <f aca="false">VLOOKUP(Y188,20230302Data!A:K,6,FALSE())</f>
        <v>中3－1</v>
      </c>
      <c r="AE188" s="260" t="str">
        <f aca="false">VLOOKUP(Y188,20230302Data!A:K,7,FALSE())</f>
        <v>アリガンバリ レザ</v>
      </c>
      <c r="AF188" s="260" t="n">
        <f aca="false">VLOOKUP(Y188,20230302Data!A:K,8,FALSE())</f>
        <v>0</v>
      </c>
      <c r="AG188" s="260" t="n">
        <f aca="false">VLOOKUP(Y188,20230302Data!A:K,9,FALSE())</f>
        <v>0</v>
      </c>
      <c r="AH188" s="260" t="str">
        <f aca="false">SUBSTITUTE(SUBSTITUTE(SUBSTITUTE(Y188,"-",""),"(",""),")","")</f>
        <v>4049360165</v>
      </c>
      <c r="AI188" s="260" t="str">
        <f aca="false">IFERROR(VLOOKUP(AH188,#REF!,3,FALSE()),"")</f>
        <v/>
      </c>
    </row>
    <row r="189" customFormat="false" ht="12.75" hidden="false" customHeight="true" outlineLevel="0" collapsed="false">
      <c r="A189" s="162" t="s">
        <v>1063</v>
      </c>
      <c r="B189" s="163" t="n">
        <v>188</v>
      </c>
      <c r="C189" s="163" t="s">
        <v>418</v>
      </c>
      <c r="D189" s="163" t="s">
        <v>1064</v>
      </c>
      <c r="E189" s="163" t="s">
        <v>1065</v>
      </c>
      <c r="F189" s="162" t="s">
        <v>1063</v>
      </c>
      <c r="G189" s="116" t="s">
        <v>1066</v>
      </c>
      <c r="H189" s="116"/>
      <c r="I189" s="116"/>
      <c r="J189" s="116"/>
      <c r="K189" s="116"/>
      <c r="L189" s="116"/>
      <c r="M189" s="116"/>
      <c r="N189" s="164"/>
      <c r="O189" s="164"/>
      <c r="P189" s="164"/>
      <c r="Q189" s="164"/>
      <c r="R189" s="164"/>
      <c r="S189" s="163"/>
      <c r="T189" s="165"/>
      <c r="U189" s="166"/>
      <c r="V189" s="166"/>
      <c r="W189" s="116"/>
      <c r="X189" s="116"/>
      <c r="Y189" s="162" t="s">
        <v>1063</v>
      </c>
      <c r="Z189" s="167" t="s">
        <v>1066</v>
      </c>
      <c r="AA189" s="168" t="str">
        <f aca="false">VLOOKUP(Y189,20230302Data!A:K,2,FALSE())</f>
        <v>小6－2</v>
      </c>
      <c r="AB189" s="168" t="str">
        <f aca="false">VLOOKUP(Y189,20230302Data!A:K,3,FALSE())</f>
        <v>山川 陽大</v>
      </c>
      <c r="AC189" s="169" t="str">
        <f aca="false">VLOOKUP(Y189,20230302Data!A:K,4,FALSE())</f>
        <v>将人</v>
      </c>
      <c r="AD189" s="169" t="n">
        <f aca="false">VLOOKUP(Y189,20230302Data!A:K,6,FALSE())</f>
        <v>0</v>
      </c>
      <c r="AE189" s="169" t="n">
        <f aca="false">VLOOKUP(Y189,20230302Data!A:K,7,FALSE())</f>
        <v>0</v>
      </c>
      <c r="AF189" s="169" t="n">
        <f aca="false">VLOOKUP(Y189,20230302Data!A:K,8,FALSE())</f>
        <v>0</v>
      </c>
      <c r="AG189" s="169" t="n">
        <f aca="false">VLOOKUP(Y189,20230302Data!A:K,9,FALSE())</f>
        <v>0</v>
      </c>
      <c r="AH189" s="169" t="str">
        <f aca="false">SUBSTITUTE(SUBSTITUTE(SUBSTITUTE(Y189,"-",""),"(",""),")","")</f>
        <v>2017530671</v>
      </c>
      <c r="AI189" s="169" t="str">
        <f aca="false">IFERROR(VLOOKUP(AH189,#REF!,3,FALSE()),"")</f>
        <v/>
      </c>
    </row>
    <row r="190" customFormat="false" ht="12.75" hidden="false" customHeight="true" outlineLevel="0" collapsed="false">
      <c r="A190" s="185" t="s">
        <v>1067</v>
      </c>
      <c r="B190" s="186" t="n">
        <v>189</v>
      </c>
      <c r="C190" s="186" t="s">
        <v>418</v>
      </c>
      <c r="D190" s="186" t="s">
        <v>1068</v>
      </c>
      <c r="E190" s="186" t="s">
        <v>1069</v>
      </c>
      <c r="F190" s="185" t="s">
        <v>1067</v>
      </c>
      <c r="G190" s="187" t="s">
        <v>1070</v>
      </c>
      <c r="H190" s="186"/>
      <c r="I190" s="186"/>
      <c r="J190" s="186"/>
      <c r="K190" s="186"/>
      <c r="L190" s="186"/>
      <c r="M190" s="186"/>
      <c r="N190" s="155"/>
      <c r="O190" s="186"/>
      <c r="P190" s="155"/>
      <c r="Q190" s="186"/>
      <c r="R190" s="155"/>
      <c r="S190" s="155"/>
      <c r="T190" s="188"/>
      <c r="U190" s="189"/>
      <c r="V190" s="189"/>
      <c r="W190" s="185" t="s">
        <v>956</v>
      </c>
      <c r="X190" s="186" t="s">
        <v>1071</v>
      </c>
      <c r="Y190" s="185" t="s">
        <v>1067</v>
      </c>
      <c r="Z190" s="190" t="s">
        <v>1070</v>
      </c>
      <c r="AA190" s="190" t="str">
        <f aca="false">VLOOKUP(Y190,20230302Data!A:K,2,FALSE())</f>
        <v>小6－2</v>
      </c>
      <c r="AB190" s="190" t="str">
        <f aca="false">VLOOKUP(Y190,20230302Data!A:K,3,FALSE())</f>
        <v>古田 輝朗</v>
      </c>
      <c r="AC190" s="191" t="str">
        <f aca="false">VLOOKUP(Y190,20230302Data!A:K,4,FALSE())</f>
        <v>富正</v>
      </c>
      <c r="AD190" s="191" t="str">
        <f aca="false">VLOOKUP(Y190,20230302Data!A:K,6,FALSE())</f>
        <v>中3－1</v>
      </c>
      <c r="AE190" s="191" t="str">
        <f aca="false">VLOOKUP(Y190,20230302Data!A:K,7,FALSE())</f>
        <v>古田 鐘一朗</v>
      </c>
      <c r="AF190" s="191" t="n">
        <f aca="false">VLOOKUP(Y190,20230302Data!A:K,8,FALSE())</f>
        <v>0</v>
      </c>
      <c r="AG190" s="191" t="n">
        <f aca="false">VLOOKUP(Y190,20230302Data!A:K,9,FALSE())</f>
        <v>0</v>
      </c>
      <c r="AH190" s="191" t="str">
        <f aca="false">SUBSTITUTE(SUBSTITUTE(SUBSTITUTE(Y190,"-",""),"(",""),")","")</f>
        <v>4044445497</v>
      </c>
      <c r="AI190" s="191" t="str">
        <f aca="false">IFERROR(VLOOKUP(AH190,#REF!,3,FALSE()),"")</f>
        <v/>
      </c>
    </row>
    <row r="191" customFormat="false" ht="12.75" hidden="false" customHeight="true" outlineLevel="0" collapsed="false">
      <c r="A191" s="170" t="s">
        <v>1072</v>
      </c>
      <c r="B191" s="171" t="n">
        <v>190</v>
      </c>
      <c r="C191" s="171" t="s">
        <v>418</v>
      </c>
      <c r="D191" s="171" t="s">
        <v>1073</v>
      </c>
      <c r="E191" s="171" t="s">
        <v>1074</v>
      </c>
      <c r="F191" s="170" t="s">
        <v>1072</v>
      </c>
      <c r="G191" s="111" t="s">
        <v>1075</v>
      </c>
      <c r="H191" s="111"/>
      <c r="I191" s="111"/>
      <c r="J191" s="111"/>
      <c r="K191" s="111"/>
      <c r="L191" s="111"/>
      <c r="M191" s="111"/>
      <c r="N191" s="172"/>
      <c r="O191" s="172"/>
      <c r="P191" s="172"/>
      <c r="Q191" s="172"/>
      <c r="R191" s="155"/>
      <c r="S191" s="155"/>
      <c r="T191" s="173"/>
      <c r="U191" s="174"/>
      <c r="V191" s="174"/>
      <c r="W191" s="193" t="s">
        <v>152</v>
      </c>
      <c r="X191" s="111"/>
      <c r="Y191" s="170" t="s">
        <v>1072</v>
      </c>
      <c r="Z191" s="175" t="s">
        <v>1075</v>
      </c>
      <c r="AA191" s="175" t="str">
        <f aca="false">VLOOKUP(Y191,20230302Data!A:K,2,FALSE())</f>
        <v>小6－2</v>
      </c>
      <c r="AB191" s="175" t="str">
        <f aca="false">VLOOKUP(Y191,20230302Data!A:K,3,FALSE())</f>
        <v>小川 結愛</v>
      </c>
      <c r="AC191" s="176" t="str">
        <f aca="false">VLOOKUP(Y191,20230302Data!A:K,4,FALSE())</f>
        <v>拓俊</v>
      </c>
      <c r="AD191" s="176" t="n">
        <f aca="false">VLOOKUP(Y191,20230302Data!A:K,6,FALSE())</f>
        <v>0</v>
      </c>
      <c r="AE191" s="176" t="n">
        <f aca="false">VLOOKUP(Y191,20230302Data!A:K,7,FALSE())</f>
        <v>0</v>
      </c>
      <c r="AF191" s="176" t="n">
        <f aca="false">VLOOKUP(Y191,20230302Data!A:K,8,FALSE())</f>
        <v>0</v>
      </c>
      <c r="AG191" s="176" t="n">
        <f aca="false">VLOOKUP(Y191,20230302Data!A:K,9,FALSE())</f>
        <v>0</v>
      </c>
      <c r="AH191" s="176" t="str">
        <f aca="false">SUBSTITUTE(SUBSTITUTE(SUBSTITUTE(Y191,"-",""),"(",""),")","")</f>
        <v>4784887135</v>
      </c>
      <c r="AI191" s="176" t="str">
        <f aca="false">IFERROR(VLOOKUP(AH191,#REF!,3,FALSE()),"")</f>
        <v/>
      </c>
    </row>
    <row r="192" customFormat="false" ht="12.75" hidden="false" customHeight="true" outlineLevel="0" collapsed="false">
      <c r="A192" s="151" t="s">
        <v>1076</v>
      </c>
      <c r="B192" s="152" t="n">
        <v>191</v>
      </c>
      <c r="C192" s="152" t="s">
        <v>418</v>
      </c>
      <c r="D192" s="152" t="s">
        <v>1077</v>
      </c>
      <c r="E192" s="152" t="s">
        <v>1078</v>
      </c>
      <c r="F192" s="151" t="s">
        <v>1076</v>
      </c>
      <c r="G192" s="153" t="s">
        <v>1079</v>
      </c>
      <c r="H192" s="152"/>
      <c r="I192" s="152"/>
      <c r="J192" s="152"/>
      <c r="K192" s="152"/>
      <c r="L192" s="152"/>
      <c r="M192" s="152"/>
      <c r="N192" s="154" t="n">
        <v>45038</v>
      </c>
      <c r="O192" s="151" t="s">
        <v>32</v>
      </c>
      <c r="P192" s="155"/>
      <c r="Q192" s="155"/>
      <c r="R192" s="154"/>
      <c r="S192" s="154"/>
      <c r="T192" s="156"/>
      <c r="U192" s="198"/>
      <c r="V192" s="198"/>
      <c r="W192" s="152" t="s">
        <v>103</v>
      </c>
      <c r="X192" s="152" t="s">
        <v>438</v>
      </c>
      <c r="Y192" s="151" t="s">
        <v>1076</v>
      </c>
      <c r="Z192" s="159" t="s">
        <v>1079</v>
      </c>
      <c r="AA192" s="160" t="str">
        <f aca="false">VLOOKUP(Y192,20230302Data!A:K,2,FALSE())</f>
        <v>小6－2</v>
      </c>
      <c r="AB192" s="160" t="str">
        <f aca="false">VLOOKUP(Y192,20230302Data!A:K,3,FALSE())</f>
        <v>デイサッター アメリア</v>
      </c>
      <c r="AC192" s="161" t="str">
        <f aca="false">VLOOKUP(Y192,20230302Data!A:K,4,FALSE())</f>
        <v>ウィム</v>
      </c>
      <c r="AD192" s="161" t="n">
        <f aca="false">VLOOKUP(Y192,20230302Data!A:K,6,FALSE())</f>
        <v>0</v>
      </c>
      <c r="AE192" s="161" t="n">
        <f aca="false">VLOOKUP(Y192,20230302Data!A:K,7,FALSE())</f>
        <v>0</v>
      </c>
      <c r="AF192" s="161" t="n">
        <f aca="false">VLOOKUP(Y192,20230302Data!A:K,8,FALSE())</f>
        <v>0</v>
      </c>
      <c r="AG192" s="161" t="n">
        <f aca="false">VLOOKUP(Y192,20230302Data!A:K,9,FALSE())</f>
        <v>0</v>
      </c>
      <c r="AH192" s="161" t="str">
        <f aca="false">SUBSTITUTE(SUBSTITUTE(SUBSTITUTE(Y192,"-",""),"(",""),")","")</f>
        <v>7704010518</v>
      </c>
      <c r="AI192" s="161" t="str">
        <f aca="false">IFERROR(VLOOKUP(AH192,#REF!,3,FALSE()),"")</f>
        <v/>
      </c>
    </row>
    <row r="193" customFormat="false" ht="12.75" hidden="false" customHeight="true" outlineLevel="0" collapsed="false">
      <c r="A193" s="162" t="s">
        <v>1080</v>
      </c>
      <c r="B193" s="163" t="n">
        <v>192</v>
      </c>
      <c r="C193" s="163" t="s">
        <v>418</v>
      </c>
      <c r="D193" s="163" t="s">
        <v>1081</v>
      </c>
      <c r="E193" s="163" t="s">
        <v>1082</v>
      </c>
      <c r="F193" s="162" t="s">
        <v>1080</v>
      </c>
      <c r="G193" s="116" t="s">
        <v>1083</v>
      </c>
      <c r="H193" s="163"/>
      <c r="I193" s="163"/>
      <c r="J193" s="163"/>
      <c r="K193" s="163"/>
      <c r="L193" s="163"/>
      <c r="M193" s="163"/>
      <c r="N193" s="164"/>
      <c r="O193" s="164"/>
      <c r="P193" s="164" t="n">
        <v>45045</v>
      </c>
      <c r="Q193" s="162" t="s">
        <v>32</v>
      </c>
      <c r="R193" s="164"/>
      <c r="S193" s="163"/>
      <c r="T193" s="165"/>
      <c r="U193" s="219"/>
      <c r="V193" s="219" t="n">
        <v>45073</v>
      </c>
      <c r="W193" s="163"/>
      <c r="X193" s="163" t="s">
        <v>438</v>
      </c>
      <c r="Y193" s="162" t="s">
        <v>1080</v>
      </c>
      <c r="Z193" s="167" t="s">
        <v>1083</v>
      </c>
      <c r="AA193" s="168" t="str">
        <f aca="false">VLOOKUP(Y193,20230302Data!A:K,2,FALSE())</f>
        <v>小6－2</v>
      </c>
      <c r="AB193" s="168" t="str">
        <f aca="false">VLOOKUP(Y193,20230302Data!A:K,3,FALSE())</f>
        <v>久留 綾夏</v>
      </c>
      <c r="AC193" s="169" t="str">
        <f aca="false">VLOOKUP(Y193,20230302Data!A:K,4,FALSE())</f>
        <v>勇</v>
      </c>
      <c r="AD193" s="169" t="n">
        <f aca="false">VLOOKUP(Y193,20230302Data!A:K,6,FALSE())</f>
        <v>0</v>
      </c>
      <c r="AE193" s="169" t="n">
        <f aca="false">VLOOKUP(Y193,20230302Data!A:K,7,FALSE())</f>
        <v>0</v>
      </c>
      <c r="AF193" s="169" t="n">
        <f aca="false">VLOOKUP(Y193,20230302Data!A:K,8,FALSE())</f>
        <v>0</v>
      </c>
      <c r="AG193" s="169" t="n">
        <f aca="false">VLOOKUP(Y193,20230302Data!A:K,9,FALSE())</f>
        <v>0</v>
      </c>
      <c r="AH193" s="169" t="str">
        <f aca="false">SUBSTITUTE(SUBSTITUTE(SUBSTITUTE(Y193,"-",""),"(",""),")","")</f>
        <v>7705457018</v>
      </c>
      <c r="AI193" s="169" t="str">
        <f aca="false">IFERROR(VLOOKUP(AH193,#REF!,3,FALSE()),"")</f>
        <v/>
      </c>
    </row>
    <row r="194" customFormat="false" ht="12.75" hidden="false" customHeight="true" outlineLevel="0" collapsed="false">
      <c r="A194" s="222" t="s">
        <v>1084</v>
      </c>
      <c r="B194" s="223" t="n">
        <v>193</v>
      </c>
      <c r="C194" s="223" t="s">
        <v>533</v>
      </c>
      <c r="D194" s="223" t="s">
        <v>1085</v>
      </c>
      <c r="E194" s="223" t="s">
        <v>543</v>
      </c>
      <c r="F194" s="222" t="s">
        <v>1084</v>
      </c>
      <c r="G194" s="224" t="s">
        <v>1086</v>
      </c>
      <c r="H194" s="223"/>
      <c r="I194" s="223"/>
      <c r="J194" s="223"/>
      <c r="K194" s="223"/>
      <c r="L194" s="223"/>
      <c r="M194" s="223"/>
      <c r="N194" s="225"/>
      <c r="O194" s="223"/>
      <c r="P194" s="225"/>
      <c r="Q194" s="225"/>
      <c r="R194" s="225"/>
      <c r="S194" s="225"/>
      <c r="T194" s="226"/>
      <c r="U194" s="231"/>
      <c r="V194" s="231"/>
      <c r="W194" s="223" t="s">
        <v>859</v>
      </c>
      <c r="X194" s="223" t="s">
        <v>918</v>
      </c>
      <c r="Y194" s="222" t="s">
        <v>1084</v>
      </c>
      <c r="Z194" s="229" t="s">
        <v>1086</v>
      </c>
      <c r="AA194" s="228" t="str">
        <f aca="false">VLOOKUP(Y194,20230302Data!A:K,2,FALSE())</f>
        <v>中1－1</v>
      </c>
      <c r="AB194" s="228" t="str">
        <f aca="false">VLOOKUP(Y194,20230302Data!A:K,3,FALSE())</f>
        <v>木谷 優治</v>
      </c>
      <c r="AC194" s="230" t="str">
        <f aca="false">VLOOKUP(Y194,20230302Data!A:K,4,FALSE())</f>
        <v>健</v>
      </c>
      <c r="AD194" s="230" t="n">
        <f aca="false">VLOOKUP(Y194,20230302Data!A:K,6,FALSE())</f>
        <v>0</v>
      </c>
      <c r="AE194" s="230" t="n">
        <f aca="false">VLOOKUP(Y194,20230302Data!A:K,7,FALSE())</f>
        <v>0</v>
      </c>
      <c r="AF194" s="230" t="n">
        <f aca="false">VLOOKUP(Y194,20230302Data!A:K,8,FALSE())</f>
        <v>0</v>
      </c>
      <c r="AG194" s="230" t="n">
        <f aca="false">VLOOKUP(Y194,20230302Data!A:K,9,FALSE())</f>
        <v>0</v>
      </c>
      <c r="AH194" s="230" t="str">
        <f aca="false">SUBSTITUTE(SUBSTITUTE(SUBSTITUTE(Y194,"-",""),"(",""),")","")</f>
        <v>4705092767</v>
      </c>
      <c r="AI194" s="230" t="str">
        <f aca="false">IFERROR(VLOOKUP(AH194,#REF!,3,FALSE()),"")</f>
        <v/>
      </c>
    </row>
    <row r="195" customFormat="false" ht="12.75" hidden="false" customHeight="true" outlineLevel="0" collapsed="false">
      <c r="A195" s="162" t="s">
        <v>1087</v>
      </c>
      <c r="B195" s="163" t="n">
        <v>194</v>
      </c>
      <c r="C195" s="163" t="s">
        <v>533</v>
      </c>
      <c r="D195" s="163" t="s">
        <v>1088</v>
      </c>
      <c r="E195" s="163" t="s">
        <v>1089</v>
      </c>
      <c r="F195" s="162" t="s">
        <v>1087</v>
      </c>
      <c r="G195" s="211" t="s">
        <v>1090</v>
      </c>
      <c r="H195" s="116"/>
      <c r="I195" s="116"/>
      <c r="J195" s="116"/>
      <c r="K195" s="116"/>
      <c r="L195" s="116"/>
      <c r="M195" s="116"/>
      <c r="N195" s="164"/>
      <c r="O195" s="164"/>
      <c r="P195" s="164"/>
      <c r="Q195" s="163"/>
      <c r="R195" s="164" t="n">
        <v>45059</v>
      </c>
      <c r="S195" s="162" t="s">
        <v>126</v>
      </c>
      <c r="T195" s="165"/>
      <c r="U195" s="166"/>
      <c r="V195" s="166"/>
      <c r="W195" s="116"/>
      <c r="X195" s="116"/>
      <c r="Y195" s="162" t="s">
        <v>1087</v>
      </c>
      <c r="Z195" s="167" t="s">
        <v>1091</v>
      </c>
      <c r="AA195" s="168" t="str">
        <f aca="false">VLOOKUP(Y195,20230302Data!A:K,2,FALSE())</f>
        <v>中1－1</v>
      </c>
      <c r="AB195" s="168" t="str">
        <f aca="false">VLOOKUP(Y195,20230302Data!A:K,3,FALSE())</f>
        <v>辻 海澄</v>
      </c>
      <c r="AC195" s="169" t="str">
        <f aca="false">VLOOKUP(Y195,20230302Data!A:K,4,FALSE())</f>
        <v>有樹</v>
      </c>
      <c r="AD195" s="169" t="n">
        <f aca="false">VLOOKUP(Y195,20230302Data!A:K,6,FALSE())</f>
        <v>0</v>
      </c>
      <c r="AE195" s="169" t="n">
        <f aca="false">VLOOKUP(Y195,20230302Data!A:K,7,FALSE())</f>
        <v>0</v>
      </c>
      <c r="AF195" s="169" t="n">
        <f aca="false">VLOOKUP(Y195,20230302Data!A:K,8,FALSE())</f>
        <v>0</v>
      </c>
      <c r="AG195" s="169" t="n">
        <f aca="false">VLOOKUP(Y195,20230302Data!A:K,9,FALSE())</f>
        <v>0</v>
      </c>
      <c r="AH195" s="169" t="str">
        <f aca="false">SUBSTITUTE(SUBSTITUTE(SUBSTITUTE(Y195,"-",""),"(",""),")","")</f>
        <v>5139033075</v>
      </c>
      <c r="AI195" s="169" t="str">
        <f aca="false">IFERROR(VLOOKUP(AH195,#REF!,3,FALSE()),"")</f>
        <v/>
      </c>
    </row>
    <row r="196" customFormat="false" ht="12.75" hidden="false" customHeight="true" outlineLevel="0" collapsed="false">
      <c r="A196" s="162" t="s">
        <v>1092</v>
      </c>
      <c r="B196" s="163" t="n">
        <v>195</v>
      </c>
      <c r="C196" s="163" t="s">
        <v>533</v>
      </c>
      <c r="D196" s="163" t="s">
        <v>1093</v>
      </c>
      <c r="E196" s="163" t="s">
        <v>1094</v>
      </c>
      <c r="F196" s="162" t="s">
        <v>1092</v>
      </c>
      <c r="G196" s="116" t="s">
        <v>1095</v>
      </c>
      <c r="H196" s="163" t="s">
        <v>949</v>
      </c>
      <c r="I196" s="163" t="s">
        <v>1096</v>
      </c>
      <c r="J196" s="163"/>
      <c r="K196" s="163"/>
      <c r="L196" s="163"/>
      <c r="M196" s="163"/>
      <c r="N196" s="164" t="n">
        <v>45066</v>
      </c>
      <c r="O196" s="162" t="s">
        <v>335</v>
      </c>
      <c r="P196" s="164"/>
      <c r="Q196" s="163"/>
      <c r="R196" s="164"/>
      <c r="S196" s="164"/>
      <c r="T196" s="165"/>
      <c r="U196" s="219"/>
      <c r="V196" s="219"/>
      <c r="W196" s="163"/>
      <c r="X196" s="163" t="s">
        <v>1097</v>
      </c>
      <c r="Y196" s="162" t="s">
        <v>1092</v>
      </c>
      <c r="Z196" s="167" t="s">
        <v>1095</v>
      </c>
      <c r="AA196" s="168" t="str">
        <f aca="false">VLOOKUP(Y196,20230302Data!A:K,2,FALSE())</f>
        <v>中1－1</v>
      </c>
      <c r="AB196" s="168" t="str">
        <f aca="false">VLOOKUP(Y196,20230302Data!A:K,3,FALSE())</f>
        <v>鈴木 想来</v>
      </c>
      <c r="AC196" s="169" t="str">
        <f aca="false">VLOOKUP(Y196,20230302Data!A:K,4,FALSE())</f>
        <v>良仁</v>
      </c>
      <c r="AD196" s="169" t="str">
        <f aca="false">VLOOKUP(Y196,20230302Data!A:K,6,FALSE())</f>
        <v>高1</v>
      </c>
      <c r="AE196" s="169" t="str">
        <f aca="false">VLOOKUP(Y196,20230302Data!A:K,7,FALSE())</f>
        <v>鈴木 紗和</v>
      </c>
      <c r="AF196" s="169" t="n">
        <f aca="false">VLOOKUP(Y196,20230302Data!A:K,8,FALSE())</f>
        <v>0</v>
      </c>
      <c r="AG196" s="169" t="n">
        <f aca="false">VLOOKUP(Y196,20230302Data!A:K,9,FALSE())</f>
        <v>0</v>
      </c>
      <c r="AH196" s="169" t="str">
        <f aca="false">SUBSTITUTE(SUBSTITUTE(SUBSTITUTE(Y196,"-",""),"(",""),")","")</f>
        <v>7069364707</v>
      </c>
      <c r="AI196" s="169" t="str">
        <f aca="false">IFERROR(VLOOKUP(AH196,#REF!,3,FALSE()),"")</f>
        <v/>
      </c>
    </row>
    <row r="197" customFormat="false" ht="12.75" hidden="false" customHeight="true" outlineLevel="0" collapsed="false">
      <c r="A197" s="162" t="s">
        <v>1098</v>
      </c>
      <c r="B197" s="163" t="n">
        <v>196</v>
      </c>
      <c r="C197" s="163" t="s">
        <v>533</v>
      </c>
      <c r="D197" s="163" t="s">
        <v>1099</v>
      </c>
      <c r="E197" s="163" t="s">
        <v>1100</v>
      </c>
      <c r="F197" s="162" t="s">
        <v>1098</v>
      </c>
      <c r="G197" s="116" t="s">
        <v>1101</v>
      </c>
      <c r="H197" s="116"/>
      <c r="I197" s="116"/>
      <c r="J197" s="116"/>
      <c r="K197" s="116"/>
      <c r="L197" s="116"/>
      <c r="M197" s="116"/>
      <c r="N197" s="164"/>
      <c r="O197" s="164"/>
      <c r="P197" s="164"/>
      <c r="Q197" s="164"/>
      <c r="R197" s="164"/>
      <c r="S197" s="163"/>
      <c r="T197" s="165"/>
      <c r="U197" s="166"/>
      <c r="V197" s="166"/>
      <c r="W197" s="116"/>
      <c r="X197" s="116"/>
      <c r="Y197" s="162" t="s">
        <v>1098</v>
      </c>
      <c r="Z197" s="167" t="s">
        <v>1101</v>
      </c>
      <c r="AA197" s="168" t="str">
        <f aca="false">VLOOKUP(Y197,20230302Data!A:K,2,FALSE())</f>
        <v>中1－1</v>
      </c>
      <c r="AB197" s="168" t="str">
        <f aca="false">VLOOKUP(Y197,20230302Data!A:K,3,FALSE())</f>
        <v>横垣 雪菜</v>
      </c>
      <c r="AC197" s="169" t="str">
        <f aca="false">VLOOKUP(Y197,20230302Data!A:K,4,FALSE())</f>
        <v>俊秀</v>
      </c>
      <c r="AD197" s="169" t="n">
        <f aca="false">VLOOKUP(Y197,20230302Data!A:K,6,FALSE())</f>
        <v>0</v>
      </c>
      <c r="AE197" s="169" t="n">
        <f aca="false">VLOOKUP(Y197,20230302Data!A:K,7,FALSE())</f>
        <v>0</v>
      </c>
      <c r="AF197" s="169" t="n">
        <f aca="false">VLOOKUP(Y197,20230302Data!A:K,8,FALSE())</f>
        <v>0</v>
      </c>
      <c r="AG197" s="169" t="n">
        <f aca="false">VLOOKUP(Y197,20230302Data!A:K,9,FALSE())</f>
        <v>0</v>
      </c>
      <c r="AH197" s="169" t="str">
        <f aca="false">SUBSTITUTE(SUBSTITUTE(SUBSTITUTE(Y197,"-",""),"(",""),")","")</f>
        <v>6783001756</v>
      </c>
      <c r="AI197" s="169" t="str">
        <f aca="false">IFERROR(VLOOKUP(AH197,#REF!,3,FALSE()),"")</f>
        <v/>
      </c>
    </row>
    <row r="198" customFormat="false" ht="12.75" hidden="false" customHeight="true" outlineLevel="0" collapsed="false">
      <c r="A198" s="162" t="s">
        <v>1102</v>
      </c>
      <c r="B198" s="163" t="n">
        <v>197</v>
      </c>
      <c r="C198" s="163" t="s">
        <v>533</v>
      </c>
      <c r="D198" s="163" t="s">
        <v>1103</v>
      </c>
      <c r="E198" s="163" t="s">
        <v>1104</v>
      </c>
      <c r="F198" s="162" t="s">
        <v>1102</v>
      </c>
      <c r="G198" s="116" t="s">
        <v>1105</v>
      </c>
      <c r="H198" s="116"/>
      <c r="I198" s="116"/>
      <c r="J198" s="116"/>
      <c r="K198" s="116"/>
      <c r="L198" s="116"/>
      <c r="M198" s="116"/>
      <c r="N198" s="164"/>
      <c r="O198" s="164"/>
      <c r="P198" s="164"/>
      <c r="Q198" s="163"/>
      <c r="R198" s="164"/>
      <c r="S198" s="163"/>
      <c r="T198" s="165"/>
      <c r="U198" s="166"/>
      <c r="V198" s="166"/>
      <c r="W198" s="116"/>
      <c r="X198" s="116"/>
      <c r="Y198" s="162" t="s">
        <v>1102</v>
      </c>
      <c r="Z198" s="167" t="s">
        <v>1106</v>
      </c>
      <c r="AA198" s="168" t="str">
        <f aca="false">VLOOKUP(Y198,20230302Data!A:K,2,FALSE())</f>
        <v>中1－1</v>
      </c>
      <c r="AB198" s="168" t="str">
        <f aca="false">VLOOKUP(Y198,20230302Data!A:K,3,FALSE())</f>
        <v>辻田 美桜</v>
      </c>
      <c r="AC198" s="169" t="str">
        <f aca="false">VLOOKUP(Y198,20230302Data!A:K,4,FALSE())</f>
        <v>卓治</v>
      </c>
      <c r="AD198" s="169" t="n">
        <f aca="false">VLOOKUP(Y198,20230302Data!A:K,6,FALSE())</f>
        <v>0</v>
      </c>
      <c r="AE198" s="169" t="n">
        <f aca="false">VLOOKUP(Y198,20230302Data!A:K,7,FALSE())</f>
        <v>0</v>
      </c>
      <c r="AF198" s="169" t="n">
        <f aca="false">VLOOKUP(Y198,20230302Data!A:K,8,FALSE())</f>
        <v>0</v>
      </c>
      <c r="AG198" s="169" t="n">
        <f aca="false">VLOOKUP(Y198,20230302Data!A:K,9,FALSE())</f>
        <v>0</v>
      </c>
      <c r="AH198" s="169" t="str">
        <f aca="false">SUBSTITUTE(SUBSTITUTE(SUBSTITUTE(Y198,"-",""),"(",""),")","")</f>
        <v>4782136177</v>
      </c>
      <c r="AI198" s="169" t="str">
        <f aca="false">IFERROR(VLOOKUP(AH198,#REF!,3,FALSE()),"")</f>
        <v/>
      </c>
    </row>
    <row r="199" customFormat="false" ht="12.75" hidden="false" customHeight="true" outlineLevel="0" collapsed="false">
      <c r="A199" s="162" t="s">
        <v>1107</v>
      </c>
      <c r="B199" s="163" t="n">
        <v>198</v>
      </c>
      <c r="C199" s="163" t="s">
        <v>533</v>
      </c>
      <c r="D199" s="163" t="s">
        <v>1108</v>
      </c>
      <c r="E199" s="163" t="s">
        <v>1109</v>
      </c>
      <c r="F199" s="162" t="s">
        <v>1107</v>
      </c>
      <c r="G199" s="116" t="s">
        <v>1110</v>
      </c>
      <c r="H199" s="116"/>
      <c r="I199" s="116"/>
      <c r="J199" s="116"/>
      <c r="K199" s="116"/>
      <c r="L199" s="116"/>
      <c r="M199" s="116"/>
      <c r="N199" s="164"/>
      <c r="O199" s="163"/>
      <c r="P199" s="164"/>
      <c r="Q199" s="163"/>
      <c r="R199" s="164"/>
      <c r="S199" s="164"/>
      <c r="T199" s="165"/>
      <c r="U199" s="166"/>
      <c r="V199" s="166"/>
      <c r="W199" s="116"/>
      <c r="X199" s="116"/>
      <c r="Y199" s="162" t="s">
        <v>1107</v>
      </c>
      <c r="Z199" s="167" t="s">
        <v>1110</v>
      </c>
      <c r="AA199" s="168" t="str">
        <f aca="false">VLOOKUP(Y199,20230302Data!A:K,2,FALSE())</f>
        <v>中1－1</v>
      </c>
      <c r="AB199" s="168" t="str">
        <f aca="false">VLOOKUP(Y199,20230302Data!A:K,3,FALSE())</f>
        <v>山﨑 美宙</v>
      </c>
      <c r="AC199" s="169" t="str">
        <f aca="false">VLOOKUP(Y199,20230302Data!A:K,4,FALSE())</f>
        <v>勇治</v>
      </c>
      <c r="AD199" s="169" t="n">
        <f aca="false">VLOOKUP(Y199,20230302Data!A:K,6,FALSE())</f>
        <v>0</v>
      </c>
      <c r="AE199" s="169" t="n">
        <f aca="false">VLOOKUP(Y199,20230302Data!A:K,7,FALSE())</f>
        <v>0</v>
      </c>
      <c r="AF199" s="169" t="n">
        <f aca="false">VLOOKUP(Y199,20230302Data!A:K,8,FALSE())</f>
        <v>0</v>
      </c>
      <c r="AG199" s="169" t="n">
        <f aca="false">VLOOKUP(Y199,20230302Data!A:K,9,FALSE())</f>
        <v>0</v>
      </c>
      <c r="AH199" s="169" t="str">
        <f aca="false">SUBSTITUTE(SUBSTITUTE(SUBSTITUTE(Y199,"-",""),"(",""),")","")</f>
        <v>4703344767</v>
      </c>
      <c r="AI199" s="169" t="str">
        <f aca="false">IFERROR(VLOOKUP(AH199,#REF!,3,FALSE()),"")</f>
        <v/>
      </c>
    </row>
    <row r="200" customFormat="false" ht="12.75" hidden="false" customHeight="true" outlineLevel="0" collapsed="false">
      <c r="A200" s="202" t="s">
        <v>1111</v>
      </c>
      <c r="B200" s="203" t="n">
        <v>199</v>
      </c>
      <c r="C200" s="203" t="s">
        <v>1112</v>
      </c>
      <c r="D200" s="203" t="s">
        <v>1113</v>
      </c>
      <c r="E200" s="203" t="s">
        <v>1114</v>
      </c>
      <c r="F200" s="202" t="s">
        <v>1111</v>
      </c>
      <c r="G200" s="204" t="s">
        <v>1115</v>
      </c>
      <c r="H200" s="203"/>
      <c r="I200" s="203"/>
      <c r="J200" s="204"/>
      <c r="K200" s="204"/>
      <c r="L200" s="204"/>
      <c r="M200" s="204"/>
      <c r="N200" s="155"/>
      <c r="O200" s="186"/>
      <c r="P200" s="155"/>
      <c r="Q200" s="155"/>
      <c r="R200" s="205" t="n">
        <v>45059</v>
      </c>
      <c r="S200" s="202" t="s">
        <v>32</v>
      </c>
      <c r="T200" s="206"/>
      <c r="U200" s="215" t="n">
        <v>44681</v>
      </c>
      <c r="V200" s="215"/>
      <c r="W200" s="216" t="s">
        <v>240</v>
      </c>
      <c r="X200" s="204"/>
      <c r="Y200" s="202" t="s">
        <v>1111</v>
      </c>
      <c r="Z200" s="217" t="s">
        <v>1115</v>
      </c>
      <c r="AA200" s="208" t="str">
        <f aca="false">VLOOKUP(Y200,20230302Data!A:K,2,FALSE())</f>
        <v>中1－1</v>
      </c>
      <c r="AB200" s="208" t="str">
        <f aca="false">VLOOKUP(Y200,20230302Data!A:K,3,FALSE())</f>
        <v>柳田 唯花</v>
      </c>
      <c r="AC200" s="209" t="str">
        <f aca="false">VLOOKUP(Y200,20230302Data!A:K,4,FALSE())</f>
        <v>大輔</v>
      </c>
      <c r="AD200" s="209" t="str">
        <f aca="false">VLOOKUP(Y200,20230302Data!A:K,6,FALSE())</f>
        <v>高1</v>
      </c>
      <c r="AE200" s="209" t="str">
        <f aca="false">VLOOKUP(Y200,20230302Data!A:K,7,FALSE())</f>
        <v>柳田 舞花</v>
      </c>
      <c r="AF200" s="209" t="n">
        <f aca="false">VLOOKUP(Y200,20230302Data!A:K,8,FALSE())</f>
        <v>0</v>
      </c>
      <c r="AG200" s="209" t="n">
        <f aca="false">VLOOKUP(Y200,20230302Data!A:K,9,FALSE())</f>
        <v>0</v>
      </c>
      <c r="AH200" s="209" t="str">
        <f aca="false">SUBSTITUTE(SUBSTITUTE(SUBSTITUTE(Y200,"-",""),"(",""),")","")</f>
        <v>6025172619</v>
      </c>
      <c r="AI200" s="209" t="str">
        <f aca="false">IFERROR(VLOOKUP(AH200,#REF!,3,FALSE()),"")</f>
        <v/>
      </c>
    </row>
    <row r="201" customFormat="false" ht="12.75" hidden="false" customHeight="true" outlineLevel="0" collapsed="false">
      <c r="A201" s="162" t="s">
        <v>1116</v>
      </c>
      <c r="B201" s="163" t="n">
        <v>200</v>
      </c>
      <c r="C201" s="163" t="s">
        <v>215</v>
      </c>
      <c r="D201" s="163" t="s">
        <v>1117</v>
      </c>
      <c r="E201" s="163" t="s">
        <v>1118</v>
      </c>
      <c r="F201" s="162" t="s">
        <v>1116</v>
      </c>
      <c r="G201" s="116" t="s">
        <v>1119</v>
      </c>
      <c r="H201" s="163"/>
      <c r="I201" s="116"/>
      <c r="J201" s="116"/>
      <c r="K201" s="116"/>
      <c r="L201" s="116"/>
      <c r="M201" s="116"/>
      <c r="N201" s="164"/>
      <c r="O201" s="164"/>
      <c r="P201" s="164"/>
      <c r="Q201" s="163"/>
      <c r="R201" s="164"/>
      <c r="S201" s="163"/>
      <c r="T201" s="165"/>
      <c r="U201" s="166"/>
      <c r="V201" s="166"/>
      <c r="W201" s="116"/>
      <c r="X201" s="116"/>
      <c r="Y201" s="162" t="s">
        <v>1116</v>
      </c>
      <c r="Z201" s="167" t="s">
        <v>1119</v>
      </c>
      <c r="AA201" s="168" t="str">
        <f aca="false">VLOOKUP(Y201,20230302Data!A:K,2,FALSE())</f>
        <v>中2－1</v>
      </c>
      <c r="AB201" s="168" t="str">
        <f aca="false">VLOOKUP(Y201,20230302Data!A:K,3,FALSE())</f>
        <v>鎌田 空</v>
      </c>
      <c r="AC201" s="169" t="str">
        <f aca="false">VLOOKUP(Y201,20230302Data!A:K,4,FALSE())</f>
        <v>俊一郎</v>
      </c>
      <c r="AD201" s="169" t="n">
        <f aca="false">VLOOKUP(Y201,20230302Data!A:K,6,FALSE())</f>
        <v>0</v>
      </c>
      <c r="AE201" s="169" t="n">
        <f aca="false">VLOOKUP(Y201,20230302Data!A:K,7,FALSE())</f>
        <v>0</v>
      </c>
      <c r="AF201" s="169" t="n">
        <f aca="false">VLOOKUP(Y201,20230302Data!A:K,8,FALSE())</f>
        <v>0</v>
      </c>
      <c r="AG201" s="169" t="n">
        <f aca="false">VLOOKUP(Y201,20230302Data!A:K,9,FALSE())</f>
        <v>0</v>
      </c>
      <c r="AH201" s="169" t="str">
        <f aca="false">SUBSTITUTE(SUBSTITUTE(SUBSTITUTE(Y201,"-",""),"(",""),")","")</f>
        <v>7708782463</v>
      </c>
      <c r="AI201" s="169" t="str">
        <f aca="false">IFERROR(VLOOKUP(AH201,#REF!,3,FALSE()),"")</f>
        <v/>
      </c>
    </row>
    <row r="202" customFormat="false" ht="12.75" hidden="false" customHeight="true" outlineLevel="0" collapsed="false">
      <c r="A202" s="162" t="s">
        <v>1120</v>
      </c>
      <c r="B202" s="163" t="n">
        <v>201</v>
      </c>
      <c r="C202" s="163" t="s">
        <v>215</v>
      </c>
      <c r="D202" s="163" t="s">
        <v>1121</v>
      </c>
      <c r="E202" s="163" t="s">
        <v>1122</v>
      </c>
      <c r="F202" s="162" t="s">
        <v>1123</v>
      </c>
      <c r="G202" s="211" t="s">
        <v>1124</v>
      </c>
      <c r="H202" s="116"/>
      <c r="I202" s="116"/>
      <c r="J202" s="116"/>
      <c r="K202" s="116"/>
      <c r="L202" s="116"/>
      <c r="M202" s="116"/>
      <c r="N202" s="164"/>
      <c r="O202" s="164"/>
      <c r="P202" s="164"/>
      <c r="Q202" s="164"/>
      <c r="R202" s="164" t="n">
        <v>45045</v>
      </c>
      <c r="S202" s="162" t="s">
        <v>126</v>
      </c>
      <c r="T202" s="165"/>
      <c r="U202" s="166"/>
      <c r="V202" s="166"/>
      <c r="W202" s="116"/>
      <c r="X202" s="116"/>
      <c r="Y202" s="162" t="s">
        <v>1120</v>
      </c>
      <c r="Z202" s="167" t="s">
        <v>1125</v>
      </c>
      <c r="AA202" s="168" t="str">
        <f aca="false">VLOOKUP(Y202,20230302Data!A:K,2,FALSE())</f>
        <v>中2－1</v>
      </c>
      <c r="AB202" s="168" t="str">
        <f aca="false">VLOOKUP(Y202,20230302Data!A:K,3,FALSE())</f>
        <v>永田 圭</v>
      </c>
      <c r="AC202" s="169" t="str">
        <f aca="false">VLOOKUP(Y202,20230302Data!A:K,4,FALSE())</f>
        <v>秀二</v>
      </c>
      <c r="AD202" s="169" t="n">
        <f aca="false">VLOOKUP(Y202,20230302Data!A:K,6,FALSE())</f>
        <v>0</v>
      </c>
      <c r="AE202" s="169" t="n">
        <f aca="false">VLOOKUP(Y202,20230302Data!A:K,7,FALSE())</f>
        <v>0</v>
      </c>
      <c r="AF202" s="169" t="n">
        <f aca="false">VLOOKUP(Y202,20230302Data!A:K,8,FALSE())</f>
        <v>0</v>
      </c>
      <c r="AG202" s="169" t="n">
        <f aca="false">VLOOKUP(Y202,20230302Data!A:K,9,FALSE())</f>
        <v>0</v>
      </c>
      <c r="AH202" s="169" t="str">
        <f aca="false">SUBSTITUTE(SUBSTITUTE(SUBSTITUTE(Y202,"-",""),"(",""),")","")</f>
        <v>7707975731</v>
      </c>
      <c r="AI202" s="169" t="str">
        <f aca="false">IFERROR(VLOOKUP(AH202,#REF!,3,FALSE()),"")</f>
        <v/>
      </c>
    </row>
    <row r="203" customFormat="false" ht="12.75" hidden="false" customHeight="true" outlineLevel="0" collapsed="false">
      <c r="A203" s="162" t="s">
        <v>1126</v>
      </c>
      <c r="B203" s="163" t="n">
        <v>202</v>
      </c>
      <c r="C203" s="163" t="s">
        <v>215</v>
      </c>
      <c r="D203" s="163" t="s">
        <v>1127</v>
      </c>
      <c r="E203" s="163" t="s">
        <v>1128</v>
      </c>
      <c r="F203" s="162" t="s">
        <v>1126</v>
      </c>
      <c r="G203" s="116" t="s">
        <v>1129</v>
      </c>
      <c r="H203" s="163" t="s">
        <v>1130</v>
      </c>
      <c r="I203" s="163" t="s">
        <v>1131</v>
      </c>
      <c r="J203" s="163"/>
      <c r="K203" s="163"/>
      <c r="L203" s="163"/>
      <c r="M203" s="163"/>
      <c r="N203" s="164"/>
      <c r="O203" s="164"/>
      <c r="P203" s="164"/>
      <c r="Q203" s="164"/>
      <c r="R203" s="163"/>
      <c r="S203" s="164"/>
      <c r="T203" s="165"/>
      <c r="U203" s="219"/>
      <c r="V203" s="219"/>
      <c r="W203" s="163"/>
      <c r="X203" s="163" t="s">
        <v>1097</v>
      </c>
      <c r="Y203" s="162" t="s">
        <v>1126</v>
      </c>
      <c r="Z203" s="167" t="s">
        <v>1132</v>
      </c>
      <c r="AA203" s="168" t="str">
        <f aca="false">VLOOKUP(Y203,20230302Data!A:K,2,FALSE())</f>
        <v>中2－1</v>
      </c>
      <c r="AB203" s="168" t="str">
        <f aca="false">VLOOKUP(Y203,20230302Data!A:K,3,FALSE())</f>
        <v>堂園 玲士</v>
      </c>
      <c r="AC203" s="169" t="str">
        <f aca="false">VLOOKUP(Y203,20230302Data!A:K,4,FALSE())</f>
        <v>覚ニ</v>
      </c>
      <c r="AD203" s="169" t="str">
        <f aca="false">VLOOKUP(Y203,20230302Data!A:K,6,FALSE())</f>
        <v>高2</v>
      </c>
      <c r="AE203" s="169" t="str">
        <f aca="false">VLOOKUP(Y203,20230302Data!A:K,7,FALSE())</f>
        <v>堂園 遼馬</v>
      </c>
      <c r="AF203" s="169" t="n">
        <f aca="false">VLOOKUP(Y203,20230302Data!A:K,8,FALSE())</f>
        <v>0</v>
      </c>
      <c r="AG203" s="169" t="n">
        <f aca="false">VLOOKUP(Y203,20230302Data!A:K,9,FALSE())</f>
        <v>0</v>
      </c>
      <c r="AH203" s="169" t="str">
        <f aca="false">SUBSTITUTE(SUBSTITUTE(SUBSTITUTE(Y203,"-",""),"(",""),")","")</f>
        <v>4042590142</v>
      </c>
      <c r="AI203" s="169" t="str">
        <f aca="false">IFERROR(VLOOKUP(AH203,#REF!,3,FALSE()),"")</f>
        <v/>
      </c>
    </row>
    <row r="204" customFormat="false" ht="12.75" hidden="false" customHeight="true" outlineLevel="0" collapsed="false">
      <c r="A204" s="162" t="s">
        <v>1133</v>
      </c>
      <c r="B204" s="163" t="n">
        <v>203</v>
      </c>
      <c r="C204" s="163" t="s">
        <v>215</v>
      </c>
      <c r="D204" s="163" t="s">
        <v>1134</v>
      </c>
      <c r="E204" s="163" t="s">
        <v>434</v>
      </c>
      <c r="F204" s="162" t="s">
        <v>1133</v>
      </c>
      <c r="G204" s="116" t="s">
        <v>1135</v>
      </c>
      <c r="H204" s="116"/>
      <c r="I204" s="116"/>
      <c r="J204" s="116"/>
      <c r="K204" s="116"/>
      <c r="L204" s="116"/>
      <c r="M204" s="116"/>
      <c r="N204" s="164"/>
      <c r="O204" s="163"/>
      <c r="P204" s="164"/>
      <c r="Q204" s="164"/>
      <c r="R204" s="164"/>
      <c r="S204" s="163"/>
      <c r="T204" s="165"/>
      <c r="U204" s="166"/>
      <c r="V204" s="166"/>
      <c r="W204" s="116"/>
      <c r="X204" s="116"/>
      <c r="Y204" s="162" t="s">
        <v>1133</v>
      </c>
      <c r="Z204" s="167" t="s">
        <v>1135</v>
      </c>
      <c r="AA204" s="168" t="str">
        <f aca="false">VLOOKUP(Y204,20230302Data!A:K,2,FALSE())</f>
        <v>中2－1</v>
      </c>
      <c r="AB204" s="168" t="str">
        <f aca="false">VLOOKUP(Y204,20230302Data!A:K,3,FALSE())</f>
        <v>森 海聖</v>
      </c>
      <c r="AC204" s="169" t="str">
        <f aca="false">VLOOKUP(Y204,20230302Data!A:K,4,FALSE())</f>
        <v>大樹</v>
      </c>
      <c r="AD204" s="169" t="n">
        <f aca="false">VLOOKUP(Y204,20230302Data!A:K,6,FALSE())</f>
        <v>0</v>
      </c>
      <c r="AE204" s="169" t="n">
        <f aca="false">VLOOKUP(Y204,20230302Data!A:K,7,FALSE())</f>
        <v>0</v>
      </c>
      <c r="AF204" s="169" t="n">
        <f aca="false">VLOOKUP(Y204,20230302Data!A:K,8,FALSE())</f>
        <v>0</v>
      </c>
      <c r="AG204" s="169" t="n">
        <f aca="false">VLOOKUP(Y204,20230302Data!A:K,9,FALSE())</f>
        <v>0</v>
      </c>
      <c r="AH204" s="169" t="str">
        <f aca="false">SUBSTITUTE(SUBSTITUTE(SUBSTITUTE(Y204,"-",""),"(",""),")","")</f>
        <v>4705039520</v>
      </c>
      <c r="AI204" s="169" t="str">
        <f aca="false">IFERROR(VLOOKUP(AH204,#REF!,3,FALSE()),"")</f>
        <v/>
      </c>
    </row>
    <row r="205" customFormat="false" ht="12.75" hidden="false" customHeight="true" outlineLevel="0" collapsed="false">
      <c r="A205" s="162" t="s">
        <v>1136</v>
      </c>
      <c r="B205" s="163" t="n">
        <v>204</v>
      </c>
      <c r="C205" s="163" t="s">
        <v>215</v>
      </c>
      <c r="D205" s="163" t="s">
        <v>1137</v>
      </c>
      <c r="E205" s="163" t="s">
        <v>1138</v>
      </c>
      <c r="F205" s="162" t="s">
        <v>1136</v>
      </c>
      <c r="G205" s="116" t="s">
        <v>1139</v>
      </c>
      <c r="H205" s="163" t="s">
        <v>1130</v>
      </c>
      <c r="I205" s="163" t="s">
        <v>1140</v>
      </c>
      <c r="J205" s="163"/>
      <c r="K205" s="163"/>
      <c r="L205" s="163"/>
      <c r="M205" s="163"/>
      <c r="N205" s="163"/>
      <c r="O205" s="163"/>
      <c r="P205" s="164"/>
      <c r="Q205" s="164"/>
      <c r="R205" s="164"/>
      <c r="S205" s="164"/>
      <c r="T205" s="165"/>
      <c r="U205" s="219"/>
      <c r="V205" s="219"/>
      <c r="W205" s="163"/>
      <c r="X205" s="163" t="s">
        <v>1141</v>
      </c>
      <c r="Y205" s="162" t="s">
        <v>1136</v>
      </c>
      <c r="Z205" s="167" t="s">
        <v>1139</v>
      </c>
      <c r="AA205" s="168" t="str">
        <f aca="false">VLOOKUP(Y205,20230302Data!A:K,2,FALSE())</f>
        <v>中2－1</v>
      </c>
      <c r="AB205" s="168" t="str">
        <f aca="false">VLOOKUP(Y205,20230302Data!A:K,3,FALSE())</f>
        <v>清水 太一</v>
      </c>
      <c r="AC205" s="169" t="str">
        <f aca="false">VLOOKUP(Y205,20230302Data!A:K,4,FALSE())</f>
        <v>一宏</v>
      </c>
      <c r="AD205" s="169" t="str">
        <f aca="false">VLOOKUP(Y205,20230302Data!A:K,6,FALSE())</f>
        <v>高2</v>
      </c>
      <c r="AE205" s="169" t="str">
        <f aca="false">VLOOKUP(Y205,20230302Data!A:K,7,FALSE())</f>
        <v>清水 一誠</v>
      </c>
      <c r="AF205" s="169" t="n">
        <f aca="false">VLOOKUP(Y205,20230302Data!A:K,8,FALSE())</f>
        <v>0</v>
      </c>
      <c r="AG205" s="169" t="n">
        <f aca="false">VLOOKUP(Y205,20230302Data!A:K,9,FALSE())</f>
        <v>0</v>
      </c>
      <c r="AH205" s="169" t="str">
        <f aca="false">SUBSTITUTE(SUBSTITUTE(SUBSTITUTE(Y205,"-",""),"(",""),")","")</f>
        <v>4042139658</v>
      </c>
      <c r="AI205" s="169" t="str">
        <f aca="false">IFERROR(VLOOKUP(AH205,#REF!,3,FALSE()),"")</f>
        <v/>
      </c>
    </row>
    <row r="206" customFormat="false" ht="12.75" hidden="false" customHeight="true" outlineLevel="0" collapsed="false">
      <c r="A206" s="177" t="s">
        <v>1142</v>
      </c>
      <c r="B206" s="178" t="n">
        <v>205</v>
      </c>
      <c r="C206" s="178" t="s">
        <v>215</v>
      </c>
      <c r="D206" s="178" t="s">
        <v>1143</v>
      </c>
      <c r="E206" s="178" t="s">
        <v>1144</v>
      </c>
      <c r="F206" s="177" t="s">
        <v>1142</v>
      </c>
      <c r="G206" s="179" t="s">
        <v>1145</v>
      </c>
      <c r="H206" s="179"/>
      <c r="I206" s="179"/>
      <c r="J206" s="179"/>
      <c r="K206" s="179"/>
      <c r="L206" s="179"/>
      <c r="M206" s="179"/>
      <c r="N206" s="180"/>
      <c r="O206" s="180"/>
      <c r="P206" s="180"/>
      <c r="Q206" s="180"/>
      <c r="R206" s="155"/>
      <c r="S206" s="155"/>
      <c r="T206" s="181"/>
      <c r="U206" s="200"/>
      <c r="V206" s="200"/>
      <c r="W206" s="201" t="s">
        <v>60</v>
      </c>
      <c r="X206" s="179"/>
      <c r="Y206" s="177" t="s">
        <v>1142</v>
      </c>
      <c r="Z206" s="183" t="s">
        <v>1145</v>
      </c>
      <c r="AA206" s="183" t="str">
        <f aca="false">VLOOKUP(Y206,20230302Data!A:K,2,FALSE())</f>
        <v>中2－1</v>
      </c>
      <c r="AB206" s="183" t="str">
        <f aca="false">VLOOKUP(Y206,20230302Data!A:K,3,FALSE())</f>
        <v>ロンドノ 花</v>
      </c>
      <c r="AC206" s="184" t="str">
        <f aca="false">VLOOKUP(Y206,20230302Data!A:K,4,FALSE())</f>
        <v>フィッシャージオバー二</v>
      </c>
      <c r="AD206" s="184" t="n">
        <f aca="false">VLOOKUP(Y206,20230302Data!A:K,6,FALSE())</f>
        <v>0</v>
      </c>
      <c r="AE206" s="184" t="n">
        <f aca="false">VLOOKUP(Y206,20230302Data!A:K,7,FALSE())</f>
        <v>0</v>
      </c>
      <c r="AF206" s="184" t="n">
        <f aca="false">VLOOKUP(Y206,20230302Data!A:K,8,FALSE())</f>
        <v>0</v>
      </c>
      <c r="AG206" s="184" t="n">
        <f aca="false">VLOOKUP(Y206,20230302Data!A:K,9,FALSE())</f>
        <v>0</v>
      </c>
      <c r="AH206" s="184" t="str">
        <f aca="false">SUBSTITUTE(SUBSTITUTE(SUBSTITUTE(Y206,"-",""),"(",""),")","")</f>
        <v>7707787351</v>
      </c>
      <c r="AI206" s="184" t="str">
        <f aca="false">IFERROR(VLOOKUP(AH206,#REF!,3,FALSE()),"")</f>
        <v/>
      </c>
    </row>
    <row r="207" customFormat="false" ht="12.75" hidden="false" customHeight="true" outlineLevel="0" collapsed="false">
      <c r="A207" s="162" t="s">
        <v>1146</v>
      </c>
      <c r="B207" s="163" t="n">
        <v>206</v>
      </c>
      <c r="C207" s="163" t="s">
        <v>215</v>
      </c>
      <c r="D207" s="163" t="s">
        <v>1147</v>
      </c>
      <c r="E207" s="163" t="s">
        <v>1148</v>
      </c>
      <c r="F207" s="162" t="s">
        <v>1146</v>
      </c>
      <c r="G207" s="116" t="s">
        <v>1149</v>
      </c>
      <c r="H207" s="116"/>
      <c r="I207" s="116"/>
      <c r="J207" s="116"/>
      <c r="K207" s="116"/>
      <c r="L207" s="116"/>
      <c r="M207" s="116"/>
      <c r="N207" s="164"/>
      <c r="O207" s="164"/>
      <c r="P207" s="164"/>
      <c r="Q207" s="163"/>
      <c r="R207" s="164" t="n">
        <v>45066</v>
      </c>
      <c r="S207" s="162" t="s">
        <v>49</v>
      </c>
      <c r="T207" s="165"/>
      <c r="U207" s="166"/>
      <c r="V207" s="166"/>
      <c r="W207" s="116"/>
      <c r="X207" s="116"/>
      <c r="Y207" s="162" t="s">
        <v>1146</v>
      </c>
      <c r="Z207" s="167" t="s">
        <v>1149</v>
      </c>
      <c r="AA207" s="168" t="str">
        <f aca="false">VLOOKUP(Y207,20230302Data!A:K,2,FALSE())</f>
        <v>中2－1</v>
      </c>
      <c r="AB207" s="168" t="str">
        <f aca="false">VLOOKUP(Y207,20230302Data!A:K,3,FALSE())</f>
        <v>髙木 美良</v>
      </c>
      <c r="AC207" s="169" t="str">
        <f aca="false">VLOOKUP(Y207,20230302Data!A:K,4,FALSE())</f>
        <v>洋治</v>
      </c>
      <c r="AD207" s="169" t="n">
        <f aca="false">VLOOKUP(Y207,20230302Data!A:K,6,FALSE())</f>
        <v>0</v>
      </c>
      <c r="AE207" s="169" t="n">
        <f aca="false">VLOOKUP(Y207,20230302Data!A:K,7,FALSE())</f>
        <v>0</v>
      </c>
      <c r="AF207" s="169" t="n">
        <f aca="false">VLOOKUP(Y207,20230302Data!A:K,8,FALSE())</f>
        <v>0</v>
      </c>
      <c r="AG207" s="169" t="n">
        <f aca="false">VLOOKUP(Y207,20230302Data!A:K,9,FALSE())</f>
        <v>0</v>
      </c>
      <c r="AH207" s="169" t="str">
        <f aca="false">SUBSTITUTE(SUBSTITUTE(SUBSTITUTE(Y207,"-",""),"(",""),")","")</f>
        <v>7066049952</v>
      </c>
      <c r="AI207" s="169" t="str">
        <f aca="false">IFERROR(VLOOKUP(AH207,#REF!,3,FALSE()),"")</f>
        <v/>
      </c>
    </row>
    <row r="208" customFormat="false" ht="12.75" hidden="false" customHeight="true" outlineLevel="0" collapsed="false">
      <c r="A208" s="162" t="s">
        <v>1150</v>
      </c>
      <c r="B208" s="163" t="n">
        <v>207</v>
      </c>
      <c r="C208" s="163" t="s">
        <v>215</v>
      </c>
      <c r="D208" s="163" t="s">
        <v>1151</v>
      </c>
      <c r="E208" s="163" t="s">
        <v>1152</v>
      </c>
      <c r="F208" s="162" t="s">
        <v>1150</v>
      </c>
      <c r="G208" s="116" t="s">
        <v>1153</v>
      </c>
      <c r="H208" s="116"/>
      <c r="I208" s="116"/>
      <c r="J208" s="116"/>
      <c r="K208" s="116"/>
      <c r="L208" s="116"/>
      <c r="M208" s="116"/>
      <c r="N208" s="164"/>
      <c r="O208" s="164"/>
      <c r="P208" s="164"/>
      <c r="Q208" s="163"/>
      <c r="R208" s="164" t="n">
        <v>45059</v>
      </c>
      <c r="S208" s="162" t="s">
        <v>49</v>
      </c>
      <c r="T208" s="165"/>
      <c r="U208" s="166"/>
      <c r="V208" s="166"/>
      <c r="W208" s="116"/>
      <c r="X208" s="116"/>
      <c r="Y208" s="162" t="s">
        <v>1150</v>
      </c>
      <c r="Z208" s="167" t="s">
        <v>1153</v>
      </c>
      <c r="AA208" s="168" t="str">
        <f aca="false">VLOOKUP(Y208,20230302Data!A:K,2,FALSE())</f>
        <v>中2－1</v>
      </c>
      <c r="AB208" s="168" t="str">
        <f aca="false">VLOOKUP(Y208,20230302Data!A:K,3,FALSE())</f>
        <v>髙田 彩也子</v>
      </c>
      <c r="AC208" s="169" t="str">
        <f aca="false">VLOOKUP(Y208,20230302Data!A:K,4,FALSE())</f>
        <v>ホー</v>
      </c>
      <c r="AD208" s="169" t="n">
        <f aca="false">VLOOKUP(Y208,20230302Data!A:K,6,FALSE())</f>
        <v>0</v>
      </c>
      <c r="AE208" s="169" t="n">
        <f aca="false">VLOOKUP(Y208,20230302Data!A:K,7,FALSE())</f>
        <v>0</v>
      </c>
      <c r="AF208" s="169" t="n">
        <f aca="false">VLOOKUP(Y208,20230302Data!A:K,8,FALSE())</f>
        <v>0</v>
      </c>
      <c r="AG208" s="169" t="n">
        <f aca="false">VLOOKUP(Y208,20230302Data!A:K,9,FALSE())</f>
        <v>0</v>
      </c>
      <c r="AH208" s="169" t="str">
        <f aca="false">SUBSTITUTE(SUBSTITUTE(SUBSTITUTE(Y208,"-",""),"(",""),")","")</f>
        <v>4043234728</v>
      </c>
      <c r="AI208" s="169" t="str">
        <f aca="false">IFERROR(VLOOKUP(AH208,#REF!,3,FALSE()),"")</f>
        <v/>
      </c>
    </row>
    <row r="209" customFormat="false" ht="12.75" hidden="false" customHeight="true" outlineLevel="0" collapsed="false">
      <c r="A209" s="170" t="s">
        <v>1154</v>
      </c>
      <c r="B209" s="171" t="n">
        <v>208</v>
      </c>
      <c r="C209" s="171" t="s">
        <v>215</v>
      </c>
      <c r="D209" s="171" t="s">
        <v>1155</v>
      </c>
      <c r="E209" s="171" t="s">
        <v>1156</v>
      </c>
      <c r="F209" s="170" t="s">
        <v>1154</v>
      </c>
      <c r="G209" s="170" t="s">
        <v>1157</v>
      </c>
      <c r="H209" s="171" t="s">
        <v>516</v>
      </c>
      <c r="I209" s="171" t="s">
        <v>1158</v>
      </c>
      <c r="J209" s="111"/>
      <c r="K209" s="111"/>
      <c r="L209" s="111"/>
      <c r="M209" s="111"/>
      <c r="N209" s="172"/>
      <c r="O209" s="171"/>
      <c r="P209" s="172"/>
      <c r="Q209" s="172"/>
      <c r="R209" s="155"/>
      <c r="S209" s="155"/>
      <c r="T209" s="173"/>
      <c r="U209" s="174"/>
      <c r="V209" s="174"/>
      <c r="W209" s="193" t="s">
        <v>152</v>
      </c>
      <c r="X209" s="111"/>
      <c r="Y209" s="170" t="s">
        <v>1154</v>
      </c>
      <c r="Z209" s="175" t="s">
        <v>1159</v>
      </c>
      <c r="AA209" s="175" t="str">
        <f aca="false">VLOOKUP(Y209,20230302Data!A:K,2,FALSE())</f>
        <v>中2－1</v>
      </c>
      <c r="AB209" s="175" t="str">
        <f aca="false">VLOOKUP(Y209,20230302Data!A:K,3,FALSE())</f>
        <v>降矢 瑚々</v>
      </c>
      <c r="AC209" s="176" t="str">
        <f aca="false">VLOOKUP(Y209,20230302Data!A:K,4,FALSE())</f>
        <v>雅士</v>
      </c>
      <c r="AD209" s="176" t="str">
        <f aca="false">VLOOKUP(Y209,20230302Data!A:K,6,FALSE())</f>
        <v>中3－1</v>
      </c>
      <c r="AE209" s="176" t="str">
        <f aca="false">VLOOKUP(Y209,20230302Data!A:K,7,FALSE())</f>
        <v>降矢 夏希</v>
      </c>
      <c r="AF209" s="176" t="n">
        <f aca="false">VLOOKUP(Y209,20230302Data!A:K,8,FALSE())</f>
        <v>0</v>
      </c>
      <c r="AG209" s="176" t="n">
        <f aca="false">VLOOKUP(Y209,20230302Data!A:K,9,FALSE())</f>
        <v>0</v>
      </c>
      <c r="AH209" s="176" t="str">
        <f aca="false">SUBSTITUTE(SUBSTITUTE(SUBSTITUTE(Y209,"-",""),"(",""),")","")</f>
        <v>8125254862</v>
      </c>
      <c r="AI209" s="176" t="str">
        <f aca="false">IFERROR(VLOOKUP(AH209,#REF!,3,FALSE()),"")</f>
        <v/>
      </c>
    </row>
    <row r="210" customFormat="false" ht="12.75" hidden="false" customHeight="true" outlineLevel="0" collapsed="false">
      <c r="A210" s="162" t="s">
        <v>1160</v>
      </c>
      <c r="B210" s="163" t="n">
        <v>209</v>
      </c>
      <c r="C210" s="163" t="s">
        <v>215</v>
      </c>
      <c r="D210" s="163" t="s">
        <v>1161</v>
      </c>
      <c r="E210" s="163" t="s">
        <v>1162</v>
      </c>
      <c r="F210" s="162" t="s">
        <v>1160</v>
      </c>
      <c r="G210" s="116" t="s">
        <v>1163</v>
      </c>
      <c r="H210" s="116"/>
      <c r="I210" s="116"/>
      <c r="J210" s="116"/>
      <c r="K210" s="116"/>
      <c r="L210" s="116"/>
      <c r="M210" s="116"/>
      <c r="N210" s="164"/>
      <c r="O210" s="163"/>
      <c r="P210" s="164"/>
      <c r="Q210" s="164"/>
      <c r="R210" s="164" t="n">
        <v>45073</v>
      </c>
      <c r="S210" s="162" t="s">
        <v>126</v>
      </c>
      <c r="T210" s="165"/>
      <c r="U210" s="166" t="n">
        <v>44674</v>
      </c>
      <c r="V210" s="166"/>
      <c r="W210" s="116"/>
      <c r="X210" s="116"/>
      <c r="Y210" s="162" t="s">
        <v>1160</v>
      </c>
      <c r="Z210" s="167" t="s">
        <v>1163</v>
      </c>
      <c r="AA210" s="168" t="str">
        <f aca="false">VLOOKUP(Y210,20230302Data!A:K,2,FALSE())</f>
        <v>中2－1</v>
      </c>
      <c r="AB210" s="168" t="str">
        <f aca="false">VLOOKUP(Y210,20230302Data!A:K,3,FALSE())</f>
        <v>中井 架</v>
      </c>
      <c r="AC210" s="169" t="str">
        <f aca="false">VLOOKUP(Y210,20230302Data!A:K,4,FALSE())</f>
        <v>隆介</v>
      </c>
      <c r="AD210" s="169" t="n">
        <f aca="false">VLOOKUP(Y210,20230302Data!A:K,6,FALSE())</f>
        <v>0</v>
      </c>
      <c r="AE210" s="169" t="n">
        <f aca="false">VLOOKUP(Y210,20230302Data!A:K,7,FALSE())</f>
        <v>0</v>
      </c>
      <c r="AF210" s="169" t="n">
        <f aca="false">VLOOKUP(Y210,20230302Data!A:K,8,FALSE())</f>
        <v>0</v>
      </c>
      <c r="AG210" s="169" t="n">
        <f aca="false">VLOOKUP(Y210,20230302Data!A:K,9,FALSE())</f>
        <v>0</v>
      </c>
      <c r="AH210" s="169" t="str">
        <f aca="false">SUBSTITUTE(SUBSTITUTE(SUBSTITUTE(Y210,"-",""),"(",""),")","")</f>
        <v>4705576096</v>
      </c>
      <c r="AI210" s="169" t="str">
        <f aca="false">IFERROR(VLOOKUP(AH210,#REF!,3,FALSE()),"")</f>
        <v/>
      </c>
    </row>
    <row r="211" customFormat="false" ht="12.75" hidden="false" customHeight="true" outlineLevel="0" collapsed="false">
      <c r="A211" s="162" t="s">
        <v>1164</v>
      </c>
      <c r="B211" s="163" t="n">
        <v>210</v>
      </c>
      <c r="C211" s="163" t="s">
        <v>516</v>
      </c>
      <c r="D211" s="163" t="s">
        <v>1165</v>
      </c>
      <c r="E211" s="162" t="s">
        <v>1166</v>
      </c>
      <c r="F211" s="162" t="s">
        <v>1164</v>
      </c>
      <c r="G211" s="116" t="s">
        <v>1167</v>
      </c>
      <c r="H211" s="163"/>
      <c r="I211" s="163"/>
      <c r="J211" s="116"/>
      <c r="K211" s="163"/>
      <c r="L211" s="116"/>
      <c r="M211" s="116"/>
      <c r="N211" s="164"/>
      <c r="O211" s="164"/>
      <c r="P211" s="164" t="n">
        <v>45031</v>
      </c>
      <c r="Q211" s="162" t="s">
        <v>67</v>
      </c>
      <c r="R211" s="164"/>
      <c r="S211" s="163"/>
      <c r="T211" s="165"/>
      <c r="U211" s="166"/>
      <c r="V211" s="166"/>
      <c r="W211" s="116"/>
      <c r="X211" s="116"/>
      <c r="Y211" s="162" t="s">
        <v>1164</v>
      </c>
      <c r="Z211" s="167" t="s">
        <v>1167</v>
      </c>
      <c r="AA211" s="168" t="str">
        <f aca="false">VLOOKUP(Y211,20230302Data!A:K,2,FALSE())</f>
        <v>中2－1</v>
      </c>
      <c r="AB211" s="168" t="str">
        <f aca="false">VLOOKUP(Y211,20230302Data!A:K,3,FALSE())</f>
        <v>加藤 一輝</v>
      </c>
      <c r="AC211" s="169" t="str">
        <f aca="false">VLOOKUP(Y211,20230302Data!A:K,4,FALSE())</f>
        <v>WELLS</v>
      </c>
      <c r="AD211" s="169" t="str">
        <f aca="false">VLOOKUP(Y211,20230302Data!A:K,6,FALSE())</f>
        <v>中3－1</v>
      </c>
      <c r="AE211" s="169" t="str">
        <f aca="false">VLOOKUP(Y211,20230302Data!A:K,7,FALSE())</f>
        <v>加藤 愛梨花</v>
      </c>
      <c r="AF211" s="169" t="n">
        <f aca="false">VLOOKUP(Y211,20230302Data!A:K,8,FALSE())</f>
        <v>0</v>
      </c>
      <c r="AG211" s="169" t="n">
        <f aca="false">VLOOKUP(Y211,20230302Data!A:K,9,FALSE())</f>
        <v>0</v>
      </c>
      <c r="AH211" s="169" t="str">
        <f aca="false">SUBSTITUTE(SUBSTITUTE(SUBSTITUTE(Y211,"-",""),"(",""),")","")</f>
        <v>4044322345</v>
      </c>
      <c r="AI211" s="169" t="str">
        <f aca="false">IFERROR(VLOOKUP(AH211,#REF!,3,FALSE()),"")</f>
        <v/>
      </c>
    </row>
    <row r="212" customFormat="false" ht="12.75" hidden="false" customHeight="true" outlineLevel="0" collapsed="false">
      <c r="A212" s="162" t="s">
        <v>1168</v>
      </c>
      <c r="B212" s="163" t="n">
        <v>211</v>
      </c>
      <c r="C212" s="163" t="s">
        <v>516</v>
      </c>
      <c r="D212" s="163" t="s">
        <v>1169</v>
      </c>
      <c r="E212" s="163" t="s">
        <v>1170</v>
      </c>
      <c r="F212" s="162" t="s">
        <v>1168</v>
      </c>
      <c r="G212" s="116" t="s">
        <v>1171</v>
      </c>
      <c r="H212" s="116"/>
      <c r="I212" s="116"/>
      <c r="J212" s="116"/>
      <c r="K212" s="116"/>
      <c r="L212" s="116"/>
      <c r="M212" s="116"/>
      <c r="N212" s="164" t="n">
        <v>45038</v>
      </c>
      <c r="O212" s="162" t="s">
        <v>335</v>
      </c>
      <c r="P212" s="164"/>
      <c r="Q212" s="164"/>
      <c r="R212" s="164"/>
      <c r="S212" s="164"/>
      <c r="T212" s="165"/>
      <c r="U212" s="166"/>
      <c r="V212" s="166"/>
      <c r="W212" s="116"/>
      <c r="X212" s="116"/>
      <c r="Y212" s="162" t="s">
        <v>1168</v>
      </c>
      <c r="Z212" s="167" t="s">
        <v>1171</v>
      </c>
      <c r="AA212" s="168" t="str">
        <f aca="false">VLOOKUP(Y212,20230302Data!A:K,2,FALSE())</f>
        <v>中3－1</v>
      </c>
      <c r="AB212" s="168" t="str">
        <f aca="false">VLOOKUP(Y212,20230302Data!A:K,3,FALSE())</f>
        <v>平田 健太郎</v>
      </c>
      <c r="AC212" s="169" t="str">
        <f aca="false">VLOOKUP(Y212,20230302Data!A:K,4,FALSE())</f>
        <v>雅史</v>
      </c>
      <c r="AD212" s="169" t="n">
        <f aca="false">VLOOKUP(Y212,20230302Data!A:K,6,FALSE())</f>
        <v>0</v>
      </c>
      <c r="AE212" s="169" t="n">
        <f aca="false">VLOOKUP(Y212,20230302Data!A:K,7,FALSE())</f>
        <v>0</v>
      </c>
      <c r="AF212" s="169" t="n">
        <f aca="false">VLOOKUP(Y212,20230302Data!A:K,8,FALSE())</f>
        <v>0</v>
      </c>
      <c r="AG212" s="169" t="n">
        <f aca="false">VLOOKUP(Y212,20230302Data!A:K,9,FALSE())</f>
        <v>0</v>
      </c>
      <c r="AH212" s="169" t="str">
        <f aca="false">SUBSTITUTE(SUBSTITUTE(SUBSTITUTE(Y212,"-",""),"(",""),")","")</f>
        <v>6786087394</v>
      </c>
      <c r="AI212" s="169" t="str">
        <f aca="false">IFERROR(VLOOKUP(AH212,#REF!,3,FALSE()),"")</f>
        <v/>
      </c>
    </row>
    <row r="213" customFormat="false" ht="12.75" hidden="false" customHeight="true" outlineLevel="0" collapsed="false">
      <c r="A213" s="177" t="s">
        <v>1172</v>
      </c>
      <c r="B213" s="178" t="n">
        <v>212</v>
      </c>
      <c r="C213" s="178" t="s">
        <v>516</v>
      </c>
      <c r="D213" s="178" t="s">
        <v>1173</v>
      </c>
      <c r="E213" s="178" t="s">
        <v>1174</v>
      </c>
      <c r="F213" s="177" t="s">
        <v>1172</v>
      </c>
      <c r="G213" s="179" t="s">
        <v>1175</v>
      </c>
      <c r="H213" s="179"/>
      <c r="I213" s="179"/>
      <c r="J213" s="179"/>
      <c r="K213" s="179"/>
      <c r="L213" s="179"/>
      <c r="M213" s="179"/>
      <c r="N213" s="180"/>
      <c r="O213" s="180"/>
      <c r="P213" s="180"/>
      <c r="Q213" s="180"/>
      <c r="R213" s="155"/>
      <c r="S213" s="155"/>
      <c r="T213" s="181"/>
      <c r="U213" s="200"/>
      <c r="V213" s="200"/>
      <c r="W213" s="201" t="s">
        <v>60</v>
      </c>
      <c r="X213" s="179"/>
      <c r="Y213" s="177" t="s">
        <v>1172</v>
      </c>
      <c r="Z213" s="183" t="s">
        <v>1175</v>
      </c>
      <c r="AA213" s="183" t="str">
        <f aca="false">VLOOKUP(Y213,20230302Data!A:K,2,FALSE())</f>
        <v>中3－1</v>
      </c>
      <c r="AB213" s="183" t="str">
        <f aca="false">VLOOKUP(Y213,20230302Data!A:K,3,FALSE())</f>
        <v>ピローン 弘樹</v>
      </c>
      <c r="AC213" s="184" t="str">
        <f aca="false">VLOOKUP(Y213,20230302Data!A:K,4,FALSE())</f>
        <v>グレゴリー</v>
      </c>
      <c r="AD213" s="184" t="n">
        <f aca="false">VLOOKUP(Y213,20230302Data!A:K,6,FALSE())</f>
        <v>0</v>
      </c>
      <c r="AE213" s="184" t="n">
        <f aca="false">VLOOKUP(Y213,20230302Data!A:K,7,FALSE())</f>
        <v>0</v>
      </c>
      <c r="AF213" s="184" t="n">
        <f aca="false">VLOOKUP(Y213,20230302Data!A:K,8,FALSE())</f>
        <v>0</v>
      </c>
      <c r="AG213" s="184" t="n">
        <f aca="false">VLOOKUP(Y213,20230302Data!A:K,9,FALSE())</f>
        <v>0</v>
      </c>
      <c r="AH213" s="184" t="str">
        <f aca="false">SUBSTITUTE(SUBSTITUTE(SUBSTITUTE(Y213,"-",""),"(",""),")","")</f>
        <v>4042173719</v>
      </c>
      <c r="AI213" s="184" t="str">
        <f aca="false">IFERROR(VLOOKUP(AH213,#REF!,3,FALSE()),"")</f>
        <v/>
      </c>
    </row>
    <row r="214" customFormat="false" ht="12.75" hidden="false" customHeight="true" outlineLevel="0" collapsed="false">
      <c r="A214" s="162" t="s">
        <v>1176</v>
      </c>
      <c r="B214" s="163" t="n">
        <v>213</v>
      </c>
      <c r="C214" s="163" t="s">
        <v>516</v>
      </c>
      <c r="D214" s="163" t="s">
        <v>1177</v>
      </c>
      <c r="E214" s="163" t="s">
        <v>1178</v>
      </c>
      <c r="F214" s="162" t="s">
        <v>1176</v>
      </c>
      <c r="G214" s="116" t="s">
        <v>1179</v>
      </c>
      <c r="H214" s="163"/>
      <c r="I214" s="163"/>
      <c r="J214" s="163"/>
      <c r="K214" s="163"/>
      <c r="L214" s="163"/>
      <c r="M214" s="163"/>
      <c r="N214" s="164"/>
      <c r="O214" s="164"/>
      <c r="P214" s="164"/>
      <c r="Q214" s="164"/>
      <c r="R214" s="164"/>
      <c r="S214" s="164"/>
      <c r="T214" s="165"/>
      <c r="U214" s="219"/>
      <c r="V214" s="219"/>
      <c r="W214" s="163"/>
      <c r="X214" s="163" t="s">
        <v>989</v>
      </c>
      <c r="Y214" s="162" t="s">
        <v>1176</v>
      </c>
      <c r="Z214" s="167" t="s">
        <v>1179</v>
      </c>
      <c r="AA214" s="168" t="str">
        <f aca="false">VLOOKUP(Y214,20230302Data!A:K,2,FALSE())</f>
        <v>中3－1</v>
      </c>
      <c r="AB214" s="168" t="str">
        <f aca="false">VLOOKUP(Y214,20230302Data!A:K,3,FALSE())</f>
        <v>斧 理美</v>
      </c>
      <c r="AC214" s="169" t="str">
        <f aca="false">VLOOKUP(Y214,20230302Data!A:K,4,FALSE())</f>
        <v>正一郎</v>
      </c>
      <c r="AD214" s="169" t="n">
        <f aca="false">VLOOKUP(Y214,20230302Data!A:K,6,FALSE())</f>
        <v>0</v>
      </c>
      <c r="AE214" s="169" t="n">
        <f aca="false">VLOOKUP(Y214,20230302Data!A:K,7,FALSE())</f>
        <v>0</v>
      </c>
      <c r="AF214" s="169" t="n">
        <f aca="false">VLOOKUP(Y214,20230302Data!A:K,8,FALSE())</f>
        <v>0</v>
      </c>
      <c r="AG214" s="169" t="n">
        <f aca="false">VLOOKUP(Y214,20230302Data!A:K,9,FALSE())</f>
        <v>0</v>
      </c>
      <c r="AH214" s="169" t="str">
        <f aca="false">SUBSTITUTE(SUBSTITUTE(SUBSTITUTE(Y214,"-",""),"(",""),")","")</f>
        <v>7702321039</v>
      </c>
      <c r="AI214" s="169" t="str">
        <f aca="false">IFERROR(VLOOKUP(AH214,#REF!,3,FALSE()),"")</f>
        <v/>
      </c>
    </row>
    <row r="215" customFormat="false" ht="12.75" hidden="false" customHeight="true" outlineLevel="0" collapsed="false">
      <c r="A215" s="185" t="s">
        <v>1180</v>
      </c>
      <c r="B215" s="186" t="n">
        <v>214</v>
      </c>
      <c r="C215" s="186" t="s">
        <v>516</v>
      </c>
      <c r="D215" s="186" t="s">
        <v>1181</v>
      </c>
      <c r="E215" s="186" t="s">
        <v>1182</v>
      </c>
      <c r="F215" s="185" t="s">
        <v>1180</v>
      </c>
      <c r="G215" s="187" t="s">
        <v>1183</v>
      </c>
      <c r="H215" s="186" t="s">
        <v>1130</v>
      </c>
      <c r="I215" s="186" t="s">
        <v>1184</v>
      </c>
      <c r="J215" s="186"/>
      <c r="K215" s="186"/>
      <c r="L215" s="186"/>
      <c r="M215" s="186"/>
      <c r="N215" s="155"/>
      <c r="O215" s="155"/>
      <c r="P215" s="155"/>
      <c r="Q215" s="155"/>
      <c r="R215" s="155"/>
      <c r="S215" s="186"/>
      <c r="T215" s="188"/>
      <c r="U215" s="189"/>
      <c r="V215" s="189"/>
      <c r="W215" s="186" t="s">
        <v>55</v>
      </c>
      <c r="X215" s="186" t="s">
        <v>1141</v>
      </c>
      <c r="Y215" s="185" t="s">
        <v>1180</v>
      </c>
      <c r="Z215" s="190" t="s">
        <v>1183</v>
      </c>
      <c r="AA215" s="190" t="str">
        <f aca="false">VLOOKUP(Y215,20230302Data!A:K,2,FALSE())</f>
        <v>中3－1</v>
      </c>
      <c r="AB215" s="190" t="str">
        <f aca="false">VLOOKUP(Y215,20230302Data!A:K,3,FALSE())</f>
        <v>矢崎 晃子</v>
      </c>
      <c r="AC215" s="191" t="str">
        <f aca="false">VLOOKUP(Y215,20230302Data!A:K,4,FALSE())</f>
        <v>保雄</v>
      </c>
      <c r="AD215" s="191" t="str">
        <f aca="false">VLOOKUP(Y215,20230302Data!A:K,6,FALSE())</f>
        <v>高2</v>
      </c>
      <c r="AE215" s="191" t="str">
        <f aca="false">VLOOKUP(Y215,20230302Data!A:K,7,FALSE())</f>
        <v>矢崎 菜々子</v>
      </c>
      <c r="AF215" s="191" t="n">
        <f aca="false">VLOOKUP(Y215,20230302Data!A:K,8,FALSE())</f>
        <v>0</v>
      </c>
      <c r="AG215" s="191" t="n">
        <f aca="false">VLOOKUP(Y215,20230302Data!A:K,9,FALSE())</f>
        <v>0</v>
      </c>
      <c r="AH215" s="191" t="str">
        <f aca="false">SUBSTITUTE(SUBSTITUTE(SUBSTITUTE(Y215,"-",""),"(",""),")","")</f>
        <v>7703292102</v>
      </c>
      <c r="AI215" s="191" t="str">
        <f aca="false">IFERROR(VLOOKUP(AH215,#REF!,3,FALSE()),"")</f>
        <v/>
      </c>
    </row>
    <row r="216" customFormat="false" ht="12.75" hidden="false" customHeight="true" outlineLevel="0" collapsed="false">
      <c r="A216" s="116" t="s">
        <v>1185</v>
      </c>
      <c r="B216" s="163" t="n">
        <v>215</v>
      </c>
      <c r="C216" s="163" t="s">
        <v>516</v>
      </c>
      <c r="D216" s="163" t="s">
        <v>1186</v>
      </c>
      <c r="E216" s="163" t="s">
        <v>1187</v>
      </c>
      <c r="F216" s="162" t="s">
        <v>1185</v>
      </c>
      <c r="G216" s="116" t="s">
        <v>1188</v>
      </c>
      <c r="H216" s="116"/>
      <c r="I216" s="116"/>
      <c r="J216" s="116"/>
      <c r="K216" s="116"/>
      <c r="L216" s="116"/>
      <c r="M216" s="116"/>
      <c r="N216" s="164"/>
      <c r="O216" s="163"/>
      <c r="P216" s="164" t="n">
        <v>45038</v>
      </c>
      <c r="Q216" s="162" t="s">
        <v>67</v>
      </c>
      <c r="R216" s="164"/>
      <c r="S216" s="164"/>
      <c r="T216" s="116"/>
      <c r="U216" s="166" t="n">
        <v>44793</v>
      </c>
      <c r="V216" s="166"/>
      <c r="W216" s="116"/>
      <c r="X216" s="116"/>
      <c r="Y216" s="116" t="s">
        <v>1185</v>
      </c>
      <c r="Z216" s="168"/>
      <c r="AA216" s="168" t="str">
        <f aca="false">VLOOKUP(Y216,20230302Data!A:K,2,FALSE())</f>
        <v>中3－1</v>
      </c>
      <c r="AB216" s="168" t="str">
        <f aca="false">VLOOKUP(Y216,20230302Data!A:K,3,FALSE())</f>
        <v>加藤 夕奈斗</v>
      </c>
      <c r="AC216" s="169" t="str">
        <f aca="false">VLOOKUP(Y216,20230302Data!A:K,4,FALSE())</f>
        <v>和昭</v>
      </c>
      <c r="AD216" s="169" t="n">
        <f aca="false">VLOOKUP(Y216,20230302Data!A:K,6,FALSE())</f>
        <v>0</v>
      </c>
      <c r="AE216" s="169" t="n">
        <f aca="false">VLOOKUP(Y216,20230302Data!A:K,7,FALSE())</f>
        <v>0</v>
      </c>
      <c r="AF216" s="169" t="n">
        <f aca="false">VLOOKUP(Y216,20230302Data!A:K,8,FALSE())</f>
        <v>0</v>
      </c>
      <c r="AG216" s="169" t="n">
        <f aca="false">VLOOKUP(Y216,20230302Data!A:K,9,FALSE())</f>
        <v>0</v>
      </c>
      <c r="AH216" s="169" t="str">
        <f aca="false">SUBSTITUTE(SUBSTITUTE(SUBSTITUTE(Y216,"-",""),"(",""),")","")</f>
        <v>4047406814</v>
      </c>
      <c r="AI216" s="169" t="str">
        <f aca="false">IFERROR(VLOOKUP(AH216,#REF!,3,FALSE()),"")</f>
        <v/>
      </c>
    </row>
    <row r="217" customFormat="false" ht="12.75" hidden="false" customHeight="true" outlineLevel="0" collapsed="false">
      <c r="A217" s="116" t="s">
        <v>1189</v>
      </c>
      <c r="B217" s="163" t="n">
        <v>216</v>
      </c>
      <c r="C217" s="220" t="s">
        <v>1190</v>
      </c>
      <c r="D217" s="163" t="s">
        <v>1191</v>
      </c>
      <c r="E217" s="220" t="s">
        <v>1192</v>
      </c>
      <c r="F217" s="211" t="s">
        <v>1193</v>
      </c>
      <c r="G217" s="116" t="s">
        <v>1194</v>
      </c>
      <c r="H217" s="163"/>
      <c r="I217" s="116"/>
      <c r="J217" s="116"/>
      <c r="K217" s="116"/>
      <c r="L217" s="116"/>
      <c r="M217" s="116"/>
      <c r="N217" s="163"/>
      <c r="O217" s="163"/>
      <c r="P217" s="164" t="n">
        <v>45059</v>
      </c>
      <c r="Q217" s="162" t="s">
        <v>67</v>
      </c>
      <c r="R217" s="163"/>
      <c r="S217" s="163"/>
      <c r="T217" s="116"/>
      <c r="U217" s="166" t="n">
        <v>44877</v>
      </c>
      <c r="V217" s="166"/>
      <c r="W217" s="116"/>
      <c r="X217" s="116"/>
      <c r="Y217" s="116" t="s">
        <v>1189</v>
      </c>
      <c r="Z217" s="116"/>
      <c r="AA217" s="168" t="str">
        <f aca="false">VLOOKUP(Y217,20230302Data!A:K,2,FALSE())</f>
        <v>中3－1</v>
      </c>
      <c r="AB217" s="168" t="str">
        <f aca="false">VLOOKUP(Y217,20230302Data!A:K,3,FALSE())</f>
        <v>藤澤 奏</v>
      </c>
      <c r="AC217" s="169" t="str">
        <f aca="false">VLOOKUP(Y217,20230302Data!A:K,4,FALSE())</f>
        <v>隆史</v>
      </c>
      <c r="AD217" s="169" t="n">
        <f aca="false">VLOOKUP(Y217,20230302Data!A:K,6,FALSE())</f>
        <v>0</v>
      </c>
      <c r="AE217" s="169" t="n">
        <f aca="false">VLOOKUP(Y217,20230302Data!A:K,7,FALSE())</f>
        <v>0</v>
      </c>
      <c r="AF217" s="169" t="n">
        <f aca="false">VLOOKUP(Y217,20230302Data!A:K,8,FALSE())</f>
        <v>0</v>
      </c>
      <c r="AG217" s="169" t="n">
        <f aca="false">VLOOKUP(Y217,20230302Data!A:K,9,FALSE())</f>
        <v>0</v>
      </c>
      <c r="AH217" s="169" t="str">
        <f aca="false">SUBSTITUTE(SUBSTITUTE(SUBSTITUTE(Y217,"-",""),"(",""),")","")</f>
        <v>4709573316</v>
      </c>
      <c r="AI217" s="169" t="str">
        <f aca="false">IFERROR(VLOOKUP(AH217,#REF!,3,FALSE()),"")</f>
        <v/>
      </c>
    </row>
    <row r="218" customFormat="false" ht="12.75" hidden="false" customHeight="true" outlineLevel="0" collapsed="false">
      <c r="A218" s="170" t="s">
        <v>1195</v>
      </c>
      <c r="B218" s="171" t="n">
        <v>217</v>
      </c>
      <c r="C218" s="193" t="s">
        <v>1196</v>
      </c>
      <c r="D218" s="171" t="s">
        <v>1197</v>
      </c>
      <c r="E218" s="193" t="s">
        <v>1198</v>
      </c>
      <c r="F218" s="170" t="s">
        <v>1195</v>
      </c>
      <c r="G218" s="170" t="s">
        <v>1199</v>
      </c>
      <c r="H218" s="171" t="s">
        <v>1130</v>
      </c>
      <c r="I218" s="171" t="s">
        <v>1200</v>
      </c>
      <c r="J218" s="111"/>
      <c r="K218" s="111"/>
      <c r="L218" s="111"/>
      <c r="M218" s="111"/>
      <c r="N218" s="171"/>
      <c r="O218" s="171"/>
      <c r="P218" s="171"/>
      <c r="Q218" s="171"/>
      <c r="R218" s="186"/>
      <c r="S218" s="186"/>
      <c r="T218" s="111" t="s">
        <v>1201</v>
      </c>
      <c r="U218" s="174"/>
      <c r="V218" s="174"/>
      <c r="W218" s="193" t="s">
        <v>33</v>
      </c>
      <c r="X218" s="111"/>
      <c r="Y218" s="170" t="s">
        <v>1195</v>
      </c>
      <c r="Z218" s="111"/>
      <c r="AA218" s="175" t="str">
        <f aca="false">VLOOKUP(Y218,20230302Data!A:K,2,FALSE())</f>
        <v>中3－1</v>
      </c>
      <c r="AB218" s="175" t="str">
        <f aca="false">VLOOKUP(Y218,20230302Data!A:K,3,FALSE())</f>
        <v>岡部 佳衣</v>
      </c>
      <c r="AC218" s="176" t="str">
        <f aca="false">VLOOKUP(Y218,20230302Data!A:K,4,FALSE())</f>
        <v>HENDERSON</v>
      </c>
      <c r="AD218" s="176" t="str">
        <f aca="false">VLOOKUP(Y218,20230302Data!A:K,6,FALSE())</f>
        <v>高2</v>
      </c>
      <c r="AE218" s="176" t="str">
        <f aca="false">VLOOKUP(Y218,20230302Data!A:K,7,FALSE())</f>
        <v>岡部 快居</v>
      </c>
      <c r="AF218" s="176" t="n">
        <f aca="false">VLOOKUP(Y218,20230302Data!A:K,8,FALSE())</f>
        <v>0</v>
      </c>
      <c r="AG218" s="176" t="n">
        <f aca="false">VLOOKUP(Y218,20230302Data!A:K,9,FALSE())</f>
        <v>0</v>
      </c>
      <c r="AH218" s="176" t="str">
        <f aca="false">SUBSTITUTE(SUBSTITUTE(SUBSTITUTE(Y218,"-",""),"(",""),")","")</f>
        <v>4702499236</v>
      </c>
      <c r="AI218" s="176" t="str">
        <f aca="false">IFERROR(VLOOKUP(AH218,#REF!,3,FALSE()),"")</f>
        <v/>
      </c>
    </row>
    <row r="219" customFormat="false" ht="12.75" hidden="false" customHeight="true" outlineLevel="0" collapsed="false">
      <c r="A219" s="162" t="s">
        <v>1202</v>
      </c>
      <c r="B219" s="163" t="n">
        <v>218</v>
      </c>
      <c r="C219" s="163" t="s">
        <v>949</v>
      </c>
      <c r="D219" s="163" t="s">
        <v>1203</v>
      </c>
      <c r="E219" s="163" t="s">
        <v>1204</v>
      </c>
      <c r="F219" s="162" t="s">
        <v>1202</v>
      </c>
      <c r="G219" s="116" t="s">
        <v>1205</v>
      </c>
      <c r="H219" s="163"/>
      <c r="I219" s="163"/>
      <c r="J219" s="163"/>
      <c r="K219" s="163"/>
      <c r="L219" s="163"/>
      <c r="M219" s="163"/>
      <c r="N219" s="164"/>
      <c r="O219" s="164"/>
      <c r="P219" s="164"/>
      <c r="Q219" s="164"/>
      <c r="R219" s="164"/>
      <c r="S219" s="164"/>
      <c r="T219" s="165"/>
      <c r="U219" s="219"/>
      <c r="V219" s="219"/>
      <c r="W219" s="163"/>
      <c r="X219" s="163" t="s">
        <v>1097</v>
      </c>
      <c r="Y219" s="162" t="s">
        <v>1202</v>
      </c>
      <c r="Z219" s="167" t="s">
        <v>1205</v>
      </c>
      <c r="AA219" s="168" t="str">
        <f aca="false">VLOOKUP(Y219,20230302Data!A:K,2,FALSE())</f>
        <v>高1</v>
      </c>
      <c r="AB219" s="168" t="str">
        <f aca="false">VLOOKUP(Y219,20230302Data!A:K,3,FALSE())</f>
        <v>執行 創志朗</v>
      </c>
      <c r="AC219" s="169" t="str">
        <f aca="false">VLOOKUP(Y219,20230302Data!A:K,4,FALSE())</f>
        <v>拓宇</v>
      </c>
      <c r="AD219" s="169" t="n">
        <f aca="false">VLOOKUP(Y219,20230302Data!A:K,6,FALSE())</f>
        <v>0</v>
      </c>
      <c r="AE219" s="169" t="n">
        <f aca="false">VLOOKUP(Y219,20230302Data!A:K,7,FALSE())</f>
        <v>0</v>
      </c>
      <c r="AF219" s="169" t="n">
        <f aca="false">VLOOKUP(Y219,20230302Data!A:K,8,FALSE())</f>
        <v>0</v>
      </c>
      <c r="AG219" s="169" t="n">
        <f aca="false">VLOOKUP(Y219,20230302Data!A:K,9,FALSE())</f>
        <v>0</v>
      </c>
      <c r="AH219" s="169" t="str">
        <f aca="false">SUBSTITUTE(SUBSTITUTE(SUBSTITUTE(Y219,"-",""),"(",""),")","")</f>
        <v>4043871279</v>
      </c>
      <c r="AI219" s="169" t="str">
        <f aca="false">IFERROR(VLOOKUP(AH219,#REF!,3,FALSE()),"")</f>
        <v/>
      </c>
    </row>
    <row r="220" customFormat="false" ht="12.75" hidden="false" customHeight="true" outlineLevel="0" collapsed="false">
      <c r="A220" s="162" t="s">
        <v>1206</v>
      </c>
      <c r="B220" s="163" t="n">
        <v>219</v>
      </c>
      <c r="C220" s="163" t="s">
        <v>949</v>
      </c>
      <c r="D220" s="163" t="s">
        <v>1207</v>
      </c>
      <c r="E220" s="163" t="s">
        <v>1208</v>
      </c>
      <c r="F220" s="162" t="s">
        <v>1206</v>
      </c>
      <c r="G220" s="116" t="s">
        <v>1209</v>
      </c>
      <c r="H220" s="116"/>
      <c r="I220" s="116"/>
      <c r="J220" s="116"/>
      <c r="K220" s="116"/>
      <c r="L220" s="116"/>
      <c r="M220" s="116"/>
      <c r="N220" s="163"/>
      <c r="O220" s="163"/>
      <c r="P220" s="164"/>
      <c r="Q220" s="163"/>
      <c r="R220" s="164" t="n">
        <v>45045</v>
      </c>
      <c r="S220" s="162" t="s">
        <v>49</v>
      </c>
      <c r="T220" s="116"/>
      <c r="U220" s="166"/>
      <c r="V220" s="166"/>
      <c r="W220" s="116"/>
      <c r="X220" s="116"/>
      <c r="Y220" s="162" t="s">
        <v>1206</v>
      </c>
      <c r="Z220" s="167" t="s">
        <v>1209</v>
      </c>
      <c r="AA220" s="168" t="str">
        <f aca="false">VLOOKUP(Y220,20230302Data!A:K,2,FALSE())</f>
        <v>高1</v>
      </c>
      <c r="AB220" s="168" t="str">
        <f aca="false">VLOOKUP(Y220,20230302Data!A:K,3,FALSE())</f>
        <v>日栁 杏花</v>
      </c>
      <c r="AC220" s="169" t="str">
        <f aca="false">VLOOKUP(Y220,20230302Data!A:K,4,FALSE())</f>
        <v>章彦</v>
      </c>
      <c r="AD220" s="169" t="n">
        <f aca="false">VLOOKUP(Y220,20230302Data!A:K,6,FALSE())</f>
        <v>0</v>
      </c>
      <c r="AE220" s="169" t="n">
        <f aca="false">VLOOKUP(Y220,20230302Data!A:K,7,FALSE())</f>
        <v>0</v>
      </c>
      <c r="AF220" s="169" t="n">
        <f aca="false">VLOOKUP(Y220,20230302Data!A:K,8,FALSE())</f>
        <v>0</v>
      </c>
      <c r="AG220" s="169" t="n">
        <f aca="false">VLOOKUP(Y220,20230302Data!A:K,9,FALSE())</f>
        <v>0</v>
      </c>
      <c r="AH220" s="169" t="str">
        <f aca="false">SUBSTITUTE(SUBSTITUTE(SUBSTITUTE(Y220,"-",""),"(",""),")","")</f>
        <v>4702709693</v>
      </c>
      <c r="AI220" s="169" t="str">
        <f aca="false">IFERROR(VLOOKUP(AH220,#REF!,3,FALSE()),"")</f>
        <v/>
      </c>
    </row>
    <row r="221" customFormat="false" ht="12.75" hidden="false" customHeight="true" outlineLevel="0" collapsed="false">
      <c r="A221" s="162" t="s">
        <v>1210</v>
      </c>
      <c r="B221" s="163" t="n">
        <v>220</v>
      </c>
      <c r="C221" s="163" t="s">
        <v>949</v>
      </c>
      <c r="D221" s="163" t="s">
        <v>1211</v>
      </c>
      <c r="E221" s="163" t="s">
        <v>1212</v>
      </c>
      <c r="F221" s="162" t="s">
        <v>1210</v>
      </c>
      <c r="G221" s="116" t="s">
        <v>1213</v>
      </c>
      <c r="H221" s="116"/>
      <c r="I221" s="116"/>
      <c r="J221" s="116"/>
      <c r="K221" s="116"/>
      <c r="L221" s="116"/>
      <c r="M221" s="116"/>
      <c r="N221" s="164" t="n">
        <v>45031</v>
      </c>
      <c r="O221" s="162" t="s">
        <v>49</v>
      </c>
      <c r="P221" s="164"/>
      <c r="Q221" s="163"/>
      <c r="R221" s="164"/>
      <c r="S221" s="163"/>
      <c r="T221" s="116"/>
      <c r="U221" s="166"/>
      <c r="V221" s="166"/>
      <c r="W221" s="116"/>
      <c r="X221" s="116"/>
      <c r="Y221" s="162" t="s">
        <v>1210</v>
      </c>
      <c r="Z221" s="167" t="s">
        <v>1213</v>
      </c>
      <c r="AA221" s="168" t="str">
        <f aca="false">VLOOKUP(Y221,20230302Data!A:K,2,FALSE())</f>
        <v>高1</v>
      </c>
      <c r="AB221" s="168" t="str">
        <f aca="false">VLOOKUP(Y221,20230302Data!A:K,3,FALSE())</f>
        <v>三島 芽愛</v>
      </c>
      <c r="AC221" s="169" t="str">
        <f aca="false">VLOOKUP(Y221,20230302Data!A:K,4,FALSE())</f>
        <v>孝史</v>
      </c>
      <c r="AD221" s="169" t="n">
        <f aca="false">VLOOKUP(Y221,20230302Data!A:K,6,FALSE())</f>
        <v>0</v>
      </c>
      <c r="AE221" s="169" t="n">
        <f aca="false">VLOOKUP(Y221,20230302Data!A:K,7,FALSE())</f>
        <v>0</v>
      </c>
      <c r="AF221" s="169" t="n">
        <f aca="false">VLOOKUP(Y221,20230302Data!A:K,8,FALSE())</f>
        <v>0</v>
      </c>
      <c r="AG221" s="169" t="n">
        <f aca="false">VLOOKUP(Y221,20230302Data!A:K,9,FALSE())</f>
        <v>0</v>
      </c>
      <c r="AH221" s="169" t="str">
        <f aca="false">SUBSTITUTE(SUBSTITUTE(SUBSTITUTE(Y221,"-",""),"(",""),")","")</f>
        <v>2014035684</v>
      </c>
      <c r="AI221" s="169" t="str">
        <f aca="false">IFERROR(VLOOKUP(AH221,#REF!,3,FALSE()),"")</f>
        <v/>
      </c>
    </row>
    <row r="222" customFormat="false" ht="12.75" hidden="false" customHeight="true" outlineLevel="0" collapsed="false">
      <c r="A222" s="162" t="s">
        <v>1214</v>
      </c>
      <c r="B222" s="163" t="n">
        <v>221</v>
      </c>
      <c r="C222" s="163" t="s">
        <v>949</v>
      </c>
      <c r="D222" s="163" t="s">
        <v>1215</v>
      </c>
      <c r="E222" s="163" t="s">
        <v>1216</v>
      </c>
      <c r="F222" s="162" t="s">
        <v>1214</v>
      </c>
      <c r="G222" s="116" t="s">
        <v>1217</v>
      </c>
      <c r="H222" s="116"/>
      <c r="I222" s="116"/>
      <c r="J222" s="116"/>
      <c r="K222" s="116"/>
      <c r="L222" s="116"/>
      <c r="M222" s="116"/>
      <c r="N222" s="164"/>
      <c r="O222" s="163"/>
      <c r="P222" s="164"/>
      <c r="Q222" s="163"/>
      <c r="R222" s="164" t="n">
        <v>45073</v>
      </c>
      <c r="S222" s="162" t="s">
        <v>49</v>
      </c>
      <c r="T222" s="116"/>
      <c r="U222" s="166"/>
      <c r="V222" s="166"/>
      <c r="W222" s="116"/>
      <c r="X222" s="116"/>
      <c r="Y222" s="162" t="s">
        <v>1214</v>
      </c>
      <c r="Z222" s="167" t="s">
        <v>1217</v>
      </c>
      <c r="AA222" s="168" t="str">
        <f aca="false">VLOOKUP(Y222,20230302Data!A:K,2,FALSE())</f>
        <v>高1</v>
      </c>
      <c r="AB222" s="168" t="str">
        <f aca="false">VLOOKUP(Y222,20230302Data!A:K,3,FALSE())</f>
        <v>バークス レイラニ華子</v>
      </c>
      <c r="AC222" s="169" t="str">
        <f aca="false">VLOOKUP(Y222,20230302Data!A:K,4,FALSE())</f>
        <v>リッキー</v>
      </c>
      <c r="AD222" s="169" t="n">
        <f aca="false">VLOOKUP(Y222,20230302Data!A:K,6,FALSE())</f>
        <v>0</v>
      </c>
      <c r="AE222" s="169" t="n">
        <f aca="false">VLOOKUP(Y222,20230302Data!A:K,7,FALSE())</f>
        <v>0</v>
      </c>
      <c r="AF222" s="169" t="n">
        <f aca="false">VLOOKUP(Y222,20230302Data!A:K,8,FALSE())</f>
        <v>0</v>
      </c>
      <c r="AG222" s="169" t="n">
        <f aca="false">VLOOKUP(Y222,20230302Data!A:K,9,FALSE())</f>
        <v>0</v>
      </c>
      <c r="AH222" s="169" t="str">
        <f aca="false">SUBSTITUTE(SUBSTITUTE(SUBSTITUTE(Y222,"-",""),"(",""),")","")</f>
        <v>2024985081</v>
      </c>
      <c r="AI222" s="169" t="str">
        <f aca="false">IFERROR(VLOOKUP(AH222,#REF!,3,FALSE()),"")</f>
        <v/>
      </c>
    </row>
    <row r="223" customFormat="false" ht="12.75" hidden="false" customHeight="true" outlineLevel="0" collapsed="false">
      <c r="A223" s="202" t="s">
        <v>1218</v>
      </c>
      <c r="B223" s="203" t="n">
        <v>222</v>
      </c>
      <c r="C223" s="203" t="s">
        <v>949</v>
      </c>
      <c r="D223" s="203" t="s">
        <v>1219</v>
      </c>
      <c r="E223" s="203" t="s">
        <v>1220</v>
      </c>
      <c r="F223" s="202" t="s">
        <v>1218</v>
      </c>
      <c r="G223" s="204" t="s">
        <v>1221</v>
      </c>
      <c r="H223" s="204"/>
      <c r="I223" s="204"/>
      <c r="J223" s="204"/>
      <c r="K223" s="204"/>
      <c r="L223" s="204"/>
      <c r="M223" s="204"/>
      <c r="N223" s="155"/>
      <c r="O223" s="186"/>
      <c r="P223" s="155"/>
      <c r="Q223" s="186"/>
      <c r="R223" s="205" t="n">
        <v>45038</v>
      </c>
      <c r="S223" s="202" t="s">
        <v>32</v>
      </c>
      <c r="T223" s="261"/>
      <c r="U223" s="215" t="n">
        <v>44674</v>
      </c>
      <c r="V223" s="215"/>
      <c r="W223" s="216" t="s">
        <v>240</v>
      </c>
      <c r="X223" s="204"/>
      <c r="Y223" s="202" t="s">
        <v>1218</v>
      </c>
      <c r="Z223" s="217" t="s">
        <v>1221</v>
      </c>
      <c r="AA223" s="208" t="str">
        <f aca="false">VLOOKUP(Y223,20230302Data!A:K,2,FALSE())</f>
        <v>高1</v>
      </c>
      <c r="AB223" s="208" t="str">
        <f aca="false">VLOOKUP(Y223,20230302Data!A:K,3,FALSE())</f>
        <v>宅野 希生</v>
      </c>
      <c r="AC223" s="209" t="str">
        <f aca="false">VLOOKUP(Y223,20230302Data!A:K,4,FALSE())</f>
        <v>智</v>
      </c>
      <c r="AD223" s="209" t="n">
        <f aca="false">VLOOKUP(Y223,20230302Data!A:K,6,FALSE())</f>
        <v>0</v>
      </c>
      <c r="AE223" s="209" t="n">
        <f aca="false">VLOOKUP(Y223,20230302Data!A:K,7,FALSE())</f>
        <v>0</v>
      </c>
      <c r="AF223" s="209" t="n">
        <f aca="false">VLOOKUP(Y223,20230302Data!A:K,8,FALSE())</f>
        <v>0</v>
      </c>
      <c r="AG223" s="209" t="n">
        <f aca="false">VLOOKUP(Y223,20230302Data!A:K,9,FALSE())</f>
        <v>0</v>
      </c>
      <c r="AH223" s="209" t="str">
        <f aca="false">SUBSTITUTE(SUBSTITUTE(SUBSTITUTE(Y223,"-",""),"(",""),")","")</f>
        <v>4706283728</v>
      </c>
      <c r="AI223" s="209" t="str">
        <f aca="false">IFERROR(VLOOKUP(AH223,#REF!,3,FALSE()),"")</f>
        <v/>
      </c>
    </row>
    <row r="224" customFormat="false" ht="15.75" hidden="false" customHeight="true" outlineLevel="0" collapsed="false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140"/>
      <c r="P224" s="20"/>
      <c r="Q224" s="140"/>
      <c r="R224" s="20"/>
      <c r="S224" s="140"/>
      <c r="T224" s="20"/>
      <c r="U224" s="20"/>
      <c r="V224" s="20"/>
      <c r="W224" s="20"/>
      <c r="X224" s="20"/>
      <c r="Y224" s="20"/>
      <c r="Z224" s="140"/>
      <c r="AA224" s="20"/>
      <c r="AB224" s="20"/>
      <c r="AC224" s="20"/>
      <c r="AD224" s="20"/>
      <c r="AE224" s="20"/>
      <c r="AF224" s="20"/>
      <c r="AG224" s="20"/>
      <c r="AH224" s="20"/>
      <c r="AI224" s="20"/>
    </row>
    <row r="225" customFormat="false" ht="15.75" hidden="false" customHeight="true" outlineLevel="0" collapsed="false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140"/>
      <c r="P225" s="20"/>
      <c r="Q225" s="140"/>
      <c r="R225" s="20"/>
      <c r="S225" s="140"/>
      <c r="T225" s="20"/>
      <c r="U225" s="20"/>
      <c r="V225" s="20"/>
      <c r="W225" s="20"/>
      <c r="X225" s="20"/>
      <c r="Y225" s="20"/>
      <c r="Z225" s="140"/>
      <c r="AA225" s="20"/>
      <c r="AB225" s="20"/>
      <c r="AC225" s="20"/>
      <c r="AD225" s="20"/>
      <c r="AE225" s="20"/>
      <c r="AF225" s="20"/>
      <c r="AG225" s="20"/>
      <c r="AH225" s="20"/>
      <c r="AI225" s="20"/>
    </row>
    <row r="226" customFormat="false" ht="15.75" hidden="false" customHeight="true" outlineLevel="0" collapsed="false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140"/>
      <c r="P226" s="20"/>
      <c r="Q226" s="140"/>
      <c r="R226" s="20"/>
      <c r="S226" s="140"/>
      <c r="T226" s="20"/>
      <c r="U226" s="20"/>
      <c r="V226" s="20"/>
      <c r="W226" s="20"/>
      <c r="X226" s="20"/>
      <c r="Y226" s="20"/>
      <c r="Z226" s="140"/>
      <c r="AA226" s="20"/>
      <c r="AB226" s="20"/>
      <c r="AC226" s="20"/>
      <c r="AD226" s="20"/>
      <c r="AE226" s="20"/>
      <c r="AF226" s="20"/>
      <c r="AG226" s="20"/>
      <c r="AH226" s="20"/>
      <c r="AI226" s="20"/>
    </row>
    <row r="227" customFormat="false" ht="15.75" hidden="false" customHeight="true" outlineLevel="0" collapsed="false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140"/>
      <c r="P227" s="20"/>
      <c r="Q227" s="140"/>
      <c r="R227" s="20"/>
      <c r="S227" s="140"/>
      <c r="T227" s="20"/>
      <c r="U227" s="20"/>
      <c r="V227" s="20"/>
      <c r="W227" s="20"/>
      <c r="X227" s="20"/>
      <c r="Y227" s="20"/>
      <c r="Z227" s="140"/>
      <c r="AA227" s="20"/>
      <c r="AB227" s="20"/>
      <c r="AC227" s="20"/>
      <c r="AD227" s="20"/>
      <c r="AE227" s="20"/>
      <c r="AF227" s="20"/>
      <c r="AG227" s="20"/>
      <c r="AH227" s="20"/>
      <c r="AI227" s="20"/>
    </row>
    <row r="228" customFormat="false" ht="15.75" hidden="false" customHeight="true" outlineLevel="0" collapsed="false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140"/>
      <c r="P228" s="20"/>
      <c r="Q228" s="140"/>
      <c r="R228" s="20"/>
      <c r="S228" s="140"/>
      <c r="T228" s="20"/>
      <c r="U228" s="20"/>
      <c r="V228" s="20"/>
      <c r="W228" s="20"/>
      <c r="X228" s="20"/>
      <c r="Y228" s="20"/>
      <c r="Z228" s="140"/>
      <c r="AA228" s="20"/>
      <c r="AB228" s="20"/>
      <c r="AC228" s="20"/>
      <c r="AD228" s="20"/>
      <c r="AE228" s="20"/>
      <c r="AF228" s="20"/>
      <c r="AG228" s="20"/>
      <c r="AH228" s="20"/>
      <c r="AI228" s="20"/>
    </row>
    <row r="229" customFormat="false" ht="15.75" hidden="false" customHeight="true" outlineLevel="0" collapsed="false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140"/>
      <c r="P229" s="20"/>
      <c r="Q229" s="140"/>
      <c r="R229" s="20"/>
      <c r="S229" s="140"/>
      <c r="T229" s="20"/>
      <c r="U229" s="20"/>
      <c r="V229" s="20"/>
      <c r="W229" s="20"/>
      <c r="X229" s="20"/>
      <c r="Y229" s="20"/>
      <c r="Z229" s="140"/>
      <c r="AA229" s="20"/>
      <c r="AB229" s="20"/>
      <c r="AC229" s="20"/>
      <c r="AD229" s="20"/>
      <c r="AE229" s="20"/>
      <c r="AF229" s="20"/>
      <c r="AG229" s="20"/>
      <c r="AH229" s="20"/>
      <c r="AI229" s="20"/>
    </row>
    <row r="230" customFormat="false" ht="15.75" hidden="false" customHeight="true" outlineLevel="0" collapsed="false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140"/>
      <c r="P230" s="20"/>
      <c r="Q230" s="140"/>
      <c r="R230" s="20"/>
      <c r="S230" s="140"/>
      <c r="T230" s="20"/>
      <c r="U230" s="20"/>
      <c r="V230" s="20"/>
      <c r="W230" s="20"/>
      <c r="X230" s="20"/>
      <c r="Y230" s="20"/>
      <c r="Z230" s="140"/>
      <c r="AA230" s="20"/>
      <c r="AB230" s="20"/>
      <c r="AC230" s="20"/>
      <c r="AD230" s="20"/>
      <c r="AE230" s="20"/>
      <c r="AF230" s="20"/>
      <c r="AG230" s="20"/>
      <c r="AH230" s="20"/>
      <c r="AI230" s="20"/>
    </row>
    <row r="231" customFormat="false" ht="15.75" hidden="false" customHeight="true" outlineLevel="0" collapsed="false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140"/>
      <c r="P231" s="20"/>
      <c r="Q231" s="140"/>
      <c r="R231" s="20"/>
      <c r="S231" s="140"/>
      <c r="T231" s="20"/>
      <c r="U231" s="20"/>
      <c r="V231" s="20"/>
      <c r="W231" s="20"/>
      <c r="X231" s="20"/>
      <c r="Y231" s="20"/>
      <c r="Z231" s="140"/>
      <c r="AA231" s="20"/>
      <c r="AB231" s="20"/>
      <c r="AC231" s="20"/>
      <c r="AD231" s="20"/>
      <c r="AE231" s="20"/>
      <c r="AF231" s="20"/>
      <c r="AG231" s="20"/>
      <c r="AH231" s="20"/>
      <c r="AI231" s="20"/>
    </row>
    <row r="232" customFormat="false" ht="15.75" hidden="false" customHeight="true" outlineLevel="0" collapsed="false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140"/>
      <c r="P232" s="20"/>
      <c r="Q232" s="140"/>
      <c r="R232" s="20"/>
      <c r="S232" s="140"/>
      <c r="T232" s="20"/>
      <c r="U232" s="20"/>
      <c r="V232" s="20"/>
      <c r="W232" s="20"/>
      <c r="X232" s="20"/>
      <c r="Y232" s="20"/>
      <c r="Z232" s="140"/>
      <c r="AA232" s="20"/>
      <c r="AB232" s="20"/>
      <c r="AC232" s="20"/>
      <c r="AD232" s="20"/>
      <c r="AE232" s="20"/>
      <c r="AF232" s="20"/>
      <c r="AG232" s="20"/>
      <c r="AH232" s="20"/>
      <c r="AI232" s="20"/>
    </row>
    <row r="233" customFormat="false" ht="12.75" hidden="false" customHeight="true" outlineLevel="0" collapsed="false">
      <c r="A233" s="20"/>
      <c r="B233" s="20"/>
      <c r="C233" s="20"/>
      <c r="D233" s="140"/>
      <c r="E233" s="20"/>
      <c r="F233" s="20"/>
      <c r="G233" s="20"/>
      <c r="H233" s="140"/>
      <c r="I233" s="140"/>
      <c r="J233" s="20"/>
      <c r="K233" s="20"/>
      <c r="L233" s="20"/>
      <c r="M233" s="20"/>
      <c r="N233" s="140"/>
      <c r="O233" s="140"/>
      <c r="P233" s="140"/>
      <c r="Q233" s="140"/>
      <c r="R233" s="140"/>
      <c r="S233" s="140"/>
      <c r="T233" s="20"/>
      <c r="U233" s="141"/>
      <c r="V233" s="141"/>
      <c r="W233" s="20"/>
      <c r="X233" s="20"/>
      <c r="Y233" s="20"/>
      <c r="Z233" s="20"/>
      <c r="AA233" s="20"/>
      <c r="AB233" s="20"/>
      <c r="AC233" s="169"/>
      <c r="AD233" s="169"/>
      <c r="AE233" s="169"/>
      <c r="AF233" s="169"/>
      <c r="AG233" s="169"/>
      <c r="AH233" s="169"/>
      <c r="AI233" s="20"/>
    </row>
    <row r="234" customFormat="false" ht="12.75" hidden="false" customHeight="true" outlineLevel="0" collapsed="false">
      <c r="A234" s="20"/>
      <c r="B234" s="20"/>
      <c r="C234" s="20"/>
      <c r="D234" s="140"/>
      <c r="E234" s="20"/>
      <c r="F234" s="20"/>
      <c r="G234" s="20"/>
      <c r="H234" s="140"/>
      <c r="I234" s="140"/>
      <c r="J234" s="20"/>
      <c r="K234" s="20"/>
      <c r="L234" s="20"/>
      <c r="M234" s="20"/>
      <c r="N234" s="140"/>
      <c r="O234" s="140"/>
      <c r="P234" s="140"/>
      <c r="Q234" s="140"/>
      <c r="R234" s="140"/>
      <c r="S234" s="140"/>
      <c r="T234" s="20"/>
      <c r="U234" s="141"/>
      <c r="V234" s="141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</row>
    <row r="235" customFormat="false" ht="12.75" hidden="false" customHeight="true" outlineLevel="0" collapsed="false">
      <c r="A235" s="20"/>
      <c r="B235" s="20"/>
      <c r="C235" s="20"/>
      <c r="D235" s="140"/>
      <c r="E235" s="20"/>
      <c r="F235" s="20"/>
      <c r="G235" s="20"/>
      <c r="H235" s="140"/>
      <c r="I235" s="140"/>
      <c r="J235" s="20"/>
      <c r="K235" s="20"/>
      <c r="L235" s="20"/>
      <c r="M235" s="20"/>
      <c r="N235" s="140"/>
      <c r="O235" s="140"/>
      <c r="P235" s="140"/>
      <c r="Q235" s="140"/>
      <c r="R235" s="140"/>
      <c r="S235" s="140"/>
      <c r="T235" s="20"/>
      <c r="U235" s="141"/>
      <c r="V235" s="141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</row>
    <row r="236" customFormat="false" ht="12.75" hidden="false" customHeight="true" outlineLevel="0" collapsed="false">
      <c r="A236" s="20"/>
      <c r="B236" s="20"/>
      <c r="C236" s="20"/>
      <c r="D236" s="140"/>
      <c r="E236" s="20"/>
      <c r="F236" s="20"/>
      <c r="G236" s="20"/>
      <c r="H236" s="20"/>
      <c r="I236" s="20"/>
      <c r="J236" s="20"/>
      <c r="K236" s="20"/>
      <c r="L236" s="20"/>
      <c r="M236" s="20"/>
      <c r="N236" s="140"/>
      <c r="O236" s="140"/>
      <c r="P236" s="140"/>
      <c r="Q236" s="140"/>
      <c r="R236" s="140"/>
      <c r="S236" s="140"/>
      <c r="T236" s="20"/>
      <c r="U236" s="141"/>
      <c r="V236" s="141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</row>
    <row r="237" customFormat="false" ht="12.75" hidden="false" customHeight="true" outlineLevel="0" collapsed="false">
      <c r="A237" s="20"/>
      <c r="B237" s="20"/>
      <c r="C237" s="20"/>
      <c r="D237" s="140"/>
      <c r="E237" s="20"/>
      <c r="F237" s="20"/>
      <c r="G237" s="20"/>
      <c r="H237" s="20"/>
      <c r="I237" s="20"/>
      <c r="J237" s="20"/>
      <c r="K237" s="20"/>
      <c r="L237" s="20"/>
      <c r="M237" s="20"/>
      <c r="N237" s="140"/>
      <c r="O237" s="140"/>
      <c r="P237" s="140"/>
      <c r="Q237" s="140"/>
      <c r="R237" s="140"/>
      <c r="S237" s="140"/>
      <c r="T237" s="20"/>
      <c r="U237" s="141"/>
      <c r="V237" s="141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</row>
    <row r="238" customFormat="false" ht="12.75" hidden="false" customHeight="true" outlineLevel="0" collapsed="false">
      <c r="A238" s="20"/>
      <c r="B238" s="20"/>
      <c r="C238" s="20"/>
      <c r="D238" s="20"/>
      <c r="E238" s="20"/>
      <c r="F238" s="20"/>
      <c r="G238" s="20"/>
      <c r="H238" s="262" t="s">
        <v>1222</v>
      </c>
      <c r="I238" s="20"/>
      <c r="J238" s="20"/>
      <c r="K238" s="20"/>
      <c r="L238" s="20"/>
      <c r="M238" s="20"/>
      <c r="N238" s="262"/>
      <c r="O238" s="262"/>
      <c r="P238" s="262"/>
      <c r="Q238" s="262"/>
      <c r="R238" s="262"/>
      <c r="S238" s="262"/>
      <c r="T238" s="20"/>
      <c r="U238" s="141"/>
      <c r="V238" s="141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</row>
    <row r="239" customFormat="false" ht="12.75" hidden="false" customHeight="true" outlineLevel="0" collapsed="false">
      <c r="A239" s="20"/>
      <c r="B239" s="20"/>
      <c r="C239" s="20"/>
      <c r="D239" s="20"/>
      <c r="E239" s="20"/>
      <c r="F239" s="20"/>
      <c r="G239" s="20"/>
      <c r="H239" s="262" t="s">
        <v>1223</v>
      </c>
      <c r="I239" s="20"/>
      <c r="J239" s="20"/>
      <c r="K239" s="20"/>
      <c r="L239" s="20"/>
      <c r="M239" s="20"/>
      <c r="N239" s="262"/>
      <c r="O239" s="262"/>
      <c r="P239" s="262"/>
      <c r="Q239" s="262"/>
      <c r="R239" s="262"/>
      <c r="S239" s="262"/>
      <c r="T239" s="20"/>
      <c r="U239" s="141"/>
      <c r="V239" s="141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</row>
    <row r="240" customFormat="false" ht="12.75" hidden="false" customHeight="true" outlineLevel="0" collapsed="false">
      <c r="A240" s="20"/>
      <c r="B240" s="20"/>
      <c r="C240" s="20"/>
      <c r="D240" s="20"/>
      <c r="E240" s="20"/>
      <c r="F240" s="20"/>
      <c r="G240" s="20"/>
      <c r="H240" s="262" t="s">
        <v>1224</v>
      </c>
      <c r="I240" s="20"/>
      <c r="J240" s="20"/>
      <c r="K240" s="20"/>
      <c r="L240" s="20"/>
      <c r="M240" s="20"/>
      <c r="N240" s="262"/>
      <c r="O240" s="262"/>
      <c r="P240" s="262"/>
      <c r="Q240" s="262"/>
      <c r="R240" s="262"/>
      <c r="S240" s="262"/>
      <c r="T240" s="20"/>
      <c r="U240" s="141"/>
      <c r="V240" s="141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</row>
    <row r="241" customFormat="false" ht="12.75" hidden="false" customHeight="true" outlineLevel="0" collapsed="false">
      <c r="A241" s="20"/>
      <c r="B241" s="20"/>
      <c r="C241" s="20"/>
      <c r="D241" s="20"/>
      <c r="E241" s="20"/>
      <c r="F241" s="20"/>
      <c r="G241" s="20"/>
      <c r="H241" s="262" t="s">
        <v>1225</v>
      </c>
      <c r="I241" s="20"/>
      <c r="J241" s="20"/>
      <c r="K241" s="20"/>
      <c r="L241" s="20"/>
      <c r="M241" s="20"/>
      <c r="N241" s="262"/>
      <c r="O241" s="262"/>
      <c r="P241" s="262"/>
      <c r="Q241" s="262"/>
      <c r="R241" s="262"/>
      <c r="S241" s="262"/>
      <c r="T241" s="20"/>
      <c r="U241" s="141"/>
      <c r="V241" s="141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</row>
    <row r="242" customFormat="false" ht="12.75" hidden="false" customHeight="true" outlineLevel="0" collapsed="false">
      <c r="A242" s="20"/>
      <c r="B242" s="20"/>
      <c r="C242" s="20"/>
      <c r="D242" s="20"/>
      <c r="E242" s="20"/>
      <c r="F242" s="20"/>
      <c r="G242" s="20"/>
      <c r="H242" s="262" t="s">
        <v>1226</v>
      </c>
      <c r="I242" s="20"/>
      <c r="J242" s="20"/>
      <c r="K242" s="20"/>
      <c r="L242" s="20"/>
      <c r="M242" s="20"/>
      <c r="N242" s="262"/>
      <c r="O242" s="262"/>
      <c r="P242" s="262"/>
      <c r="Q242" s="262"/>
      <c r="R242" s="262"/>
      <c r="S242" s="262"/>
      <c r="T242" s="20"/>
      <c r="U242" s="141"/>
      <c r="V242" s="141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</row>
    <row r="243" customFormat="false" ht="12.75" hidden="false" customHeight="true" outlineLevel="0" collapsed="false">
      <c r="A243" s="20"/>
      <c r="B243" s="20"/>
      <c r="C243" s="20"/>
      <c r="D243" s="20"/>
      <c r="E243" s="20"/>
      <c r="F243" s="20"/>
      <c r="G243" s="20"/>
      <c r="H243" s="140" t="s">
        <v>1227</v>
      </c>
      <c r="I243" s="20"/>
      <c r="J243" s="20"/>
      <c r="K243" s="20"/>
      <c r="L243" s="20"/>
      <c r="M243" s="20"/>
      <c r="N243" s="262"/>
      <c r="O243" s="262"/>
      <c r="P243" s="262"/>
      <c r="Q243" s="262"/>
      <c r="R243" s="262"/>
      <c r="S243" s="262"/>
      <c r="T243" s="20"/>
      <c r="U243" s="141"/>
      <c r="V243" s="141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</row>
    <row r="244" customFormat="false" ht="12.75" hidden="false" customHeight="true" outlineLevel="0" collapsed="false">
      <c r="A244" s="20"/>
      <c r="B244" s="20"/>
      <c r="C244" s="20"/>
      <c r="D244" s="20"/>
      <c r="E244" s="20"/>
      <c r="F244" s="20"/>
      <c r="G244" s="20"/>
      <c r="H244" s="262" t="s">
        <v>1228</v>
      </c>
      <c r="I244" s="20"/>
      <c r="J244" s="20"/>
      <c r="K244" s="20"/>
      <c r="L244" s="20"/>
      <c r="M244" s="20"/>
      <c r="N244" s="262"/>
      <c r="O244" s="262"/>
      <c r="P244" s="262"/>
      <c r="Q244" s="262"/>
      <c r="R244" s="262"/>
      <c r="S244" s="262"/>
      <c r="T244" s="20"/>
      <c r="U244" s="141"/>
      <c r="V244" s="141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</row>
    <row r="245" customFormat="false" ht="12.75" hidden="false" customHeight="true" outlineLevel="0" collapsed="false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62"/>
      <c r="O245" s="262"/>
      <c r="P245" s="262"/>
      <c r="Q245" s="262"/>
      <c r="R245" s="262"/>
      <c r="S245" s="262"/>
      <c r="T245" s="20"/>
      <c r="U245" s="141"/>
      <c r="V245" s="141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</row>
    <row r="246" customFormat="false" ht="12.75" hidden="false" customHeight="true" outlineLevel="0" collapsed="false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62"/>
      <c r="O246" s="262"/>
      <c r="P246" s="262"/>
      <c r="Q246" s="262"/>
      <c r="R246" s="262"/>
      <c r="S246" s="262"/>
      <c r="T246" s="20"/>
      <c r="U246" s="141"/>
      <c r="V246" s="141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</row>
    <row r="247" customFormat="false" ht="12.75" hidden="false" customHeight="true" outlineLevel="0" collapsed="false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62"/>
      <c r="O247" s="262"/>
      <c r="P247" s="262"/>
      <c r="Q247" s="262"/>
      <c r="R247" s="262"/>
      <c r="S247" s="262"/>
      <c r="T247" s="20"/>
      <c r="U247" s="141"/>
      <c r="V247" s="141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</row>
    <row r="248" customFormat="false" ht="12.75" hidden="false" customHeight="true" outlineLevel="0" collapsed="false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62"/>
      <c r="O248" s="262"/>
      <c r="P248" s="262"/>
      <c r="Q248" s="262"/>
      <c r="R248" s="262"/>
      <c r="S248" s="262"/>
      <c r="T248" s="20"/>
      <c r="U248" s="141"/>
      <c r="V248" s="141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</row>
    <row r="249" customFormat="false" ht="12.75" hidden="false" customHeight="true" outlineLevel="0" collapsed="false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62"/>
      <c r="O249" s="262"/>
      <c r="P249" s="262"/>
      <c r="Q249" s="262"/>
      <c r="R249" s="262"/>
      <c r="S249" s="262"/>
      <c r="T249" s="20"/>
      <c r="U249" s="141"/>
      <c r="V249" s="141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</row>
    <row r="250" customFormat="false" ht="12.75" hidden="false" customHeight="true" outlineLevel="0" collapsed="false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62"/>
      <c r="O250" s="262"/>
      <c r="P250" s="262"/>
      <c r="Q250" s="262"/>
      <c r="R250" s="262"/>
      <c r="S250" s="262"/>
      <c r="T250" s="20"/>
      <c r="U250" s="141"/>
      <c r="V250" s="141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</row>
    <row r="251" customFormat="false" ht="12.75" hidden="false" customHeight="true" outlineLevel="0" collapsed="false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62"/>
      <c r="O251" s="262"/>
      <c r="P251" s="262"/>
      <c r="Q251" s="262"/>
      <c r="R251" s="262"/>
      <c r="S251" s="262"/>
      <c r="T251" s="20"/>
      <c r="U251" s="141"/>
      <c r="V251" s="141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</row>
    <row r="252" customFormat="false" ht="12.75" hidden="false" customHeight="true" outlineLevel="0" collapsed="false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62"/>
      <c r="O252" s="262"/>
      <c r="P252" s="262"/>
      <c r="Q252" s="262"/>
      <c r="R252" s="262"/>
      <c r="S252" s="262"/>
      <c r="T252" s="20"/>
      <c r="U252" s="141"/>
      <c r="V252" s="141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</row>
    <row r="253" customFormat="false" ht="12.75" hidden="false" customHeight="true" outlineLevel="0" collapsed="false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62"/>
      <c r="O253" s="262"/>
      <c r="P253" s="262"/>
      <c r="Q253" s="262"/>
      <c r="R253" s="262"/>
      <c r="S253" s="262"/>
      <c r="T253" s="20"/>
      <c r="U253" s="141"/>
      <c r="V253" s="141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</row>
    <row r="254" customFormat="false" ht="12.75" hidden="false" customHeight="true" outlineLevel="0" collapsed="false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62"/>
      <c r="O254" s="262"/>
      <c r="P254" s="262"/>
      <c r="Q254" s="262"/>
      <c r="R254" s="262"/>
      <c r="S254" s="262"/>
      <c r="T254" s="20"/>
      <c r="U254" s="141"/>
      <c r="V254" s="141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</row>
    <row r="255" customFormat="false" ht="12.75" hidden="false" customHeight="true" outlineLevel="0" collapsed="false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62"/>
      <c r="O255" s="262"/>
      <c r="P255" s="262"/>
      <c r="Q255" s="262"/>
      <c r="R255" s="262"/>
      <c r="S255" s="262"/>
      <c r="T255" s="20"/>
      <c r="U255" s="141"/>
      <c r="V255" s="141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</row>
    <row r="256" customFormat="false" ht="12.75" hidden="false" customHeight="true" outlineLevel="0" collapsed="false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62"/>
      <c r="O256" s="262"/>
      <c r="P256" s="262"/>
      <c r="Q256" s="262"/>
      <c r="R256" s="262"/>
      <c r="S256" s="262"/>
      <c r="T256" s="20"/>
      <c r="U256" s="141"/>
      <c r="V256" s="141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</row>
    <row r="257" customFormat="false" ht="12.75" hidden="false" customHeight="true" outlineLevel="0" collapsed="false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62"/>
      <c r="O257" s="262"/>
      <c r="P257" s="262"/>
      <c r="Q257" s="262"/>
      <c r="R257" s="262"/>
      <c r="S257" s="262"/>
      <c r="T257" s="20"/>
      <c r="U257" s="141"/>
      <c r="V257" s="141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</row>
    <row r="258" customFormat="false" ht="12.75" hidden="false" customHeight="true" outlineLevel="0" collapsed="false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62"/>
      <c r="O258" s="262"/>
      <c r="P258" s="262"/>
      <c r="Q258" s="262"/>
      <c r="R258" s="262"/>
      <c r="S258" s="262"/>
      <c r="T258" s="20"/>
      <c r="U258" s="141"/>
      <c r="V258" s="141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</row>
    <row r="259" customFormat="false" ht="12.75" hidden="false" customHeight="true" outlineLevel="0" collapsed="false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62"/>
      <c r="O259" s="262"/>
      <c r="P259" s="262"/>
      <c r="Q259" s="262"/>
      <c r="R259" s="262"/>
      <c r="S259" s="262"/>
      <c r="T259" s="20"/>
      <c r="U259" s="141"/>
      <c r="V259" s="141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</row>
    <row r="260" customFormat="false" ht="12.75" hidden="false" customHeight="true" outlineLevel="0" collapsed="false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62"/>
      <c r="O260" s="262"/>
      <c r="P260" s="262"/>
      <c r="Q260" s="262"/>
      <c r="R260" s="262"/>
      <c r="S260" s="262"/>
      <c r="T260" s="20"/>
      <c r="U260" s="141"/>
      <c r="V260" s="141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</row>
    <row r="261" customFormat="false" ht="12.75" hidden="false" customHeight="true" outlineLevel="0" collapsed="false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62"/>
      <c r="O261" s="262"/>
      <c r="P261" s="262"/>
      <c r="Q261" s="262"/>
      <c r="R261" s="262"/>
      <c r="S261" s="262"/>
      <c r="T261" s="20"/>
      <c r="U261" s="141"/>
      <c r="V261" s="141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</row>
    <row r="262" customFormat="false" ht="12.75" hidden="false" customHeight="true" outlineLevel="0" collapsed="false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62"/>
      <c r="O262" s="262"/>
      <c r="P262" s="262"/>
      <c r="Q262" s="262"/>
      <c r="R262" s="262"/>
      <c r="S262" s="262"/>
      <c r="T262" s="20"/>
      <c r="U262" s="141"/>
      <c r="V262" s="141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</row>
    <row r="263" customFormat="false" ht="12.75" hidden="false" customHeight="true" outlineLevel="0" collapsed="false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62"/>
      <c r="O263" s="262"/>
      <c r="P263" s="262"/>
      <c r="Q263" s="262"/>
      <c r="R263" s="262"/>
      <c r="S263" s="262"/>
      <c r="T263" s="20"/>
      <c r="U263" s="141"/>
      <c r="V263" s="141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</row>
    <row r="264" customFormat="false" ht="12.75" hidden="false" customHeight="true" outlineLevel="0" collapsed="false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62"/>
      <c r="O264" s="262"/>
      <c r="P264" s="262"/>
      <c r="Q264" s="262"/>
      <c r="R264" s="262"/>
      <c r="S264" s="262"/>
      <c r="T264" s="20"/>
      <c r="U264" s="141"/>
      <c r="V264" s="141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</row>
    <row r="265" customFormat="false" ht="12.75" hidden="false" customHeight="true" outlineLevel="0" collapsed="false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62"/>
      <c r="O265" s="262"/>
      <c r="P265" s="262"/>
      <c r="Q265" s="262"/>
      <c r="R265" s="262"/>
      <c r="S265" s="262"/>
      <c r="T265" s="20"/>
      <c r="U265" s="141"/>
      <c r="V265" s="141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</row>
    <row r="266" customFormat="false" ht="12.75" hidden="false" customHeight="true" outlineLevel="0" collapsed="false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62"/>
      <c r="O266" s="262"/>
      <c r="P266" s="262"/>
      <c r="Q266" s="262"/>
      <c r="R266" s="262"/>
      <c r="S266" s="262"/>
      <c r="T266" s="20"/>
      <c r="U266" s="141"/>
      <c r="V266" s="141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</row>
    <row r="267" customFormat="false" ht="12.75" hidden="false" customHeight="true" outlineLevel="0" collapsed="false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62"/>
      <c r="O267" s="262"/>
      <c r="P267" s="262"/>
      <c r="Q267" s="262"/>
      <c r="R267" s="262"/>
      <c r="S267" s="262"/>
      <c r="T267" s="20"/>
      <c r="U267" s="141"/>
      <c r="V267" s="141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</row>
    <row r="268" customFormat="false" ht="12.75" hidden="false" customHeight="true" outlineLevel="0" collapsed="false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62"/>
      <c r="O268" s="262"/>
      <c r="P268" s="262"/>
      <c r="Q268" s="262"/>
      <c r="R268" s="262"/>
      <c r="S268" s="262"/>
      <c r="T268" s="20"/>
      <c r="U268" s="141"/>
      <c r="V268" s="141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</row>
    <row r="269" customFormat="false" ht="12.75" hidden="false" customHeight="true" outlineLevel="0" collapsed="false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62"/>
      <c r="O269" s="262"/>
      <c r="P269" s="262"/>
      <c r="Q269" s="262"/>
      <c r="R269" s="262"/>
      <c r="S269" s="262"/>
      <c r="T269" s="20"/>
      <c r="U269" s="141"/>
      <c r="V269" s="141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</row>
    <row r="270" customFormat="false" ht="12.75" hidden="false" customHeight="true" outlineLevel="0" collapsed="false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62"/>
      <c r="O270" s="262"/>
      <c r="P270" s="262"/>
      <c r="Q270" s="262"/>
      <c r="R270" s="262"/>
      <c r="S270" s="262"/>
      <c r="T270" s="20"/>
      <c r="U270" s="141"/>
      <c r="V270" s="141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</row>
    <row r="271" customFormat="false" ht="12.75" hidden="false" customHeight="true" outlineLevel="0" collapsed="false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62"/>
      <c r="O271" s="262"/>
      <c r="P271" s="262"/>
      <c r="Q271" s="262"/>
      <c r="R271" s="262"/>
      <c r="S271" s="262"/>
      <c r="T271" s="20"/>
      <c r="U271" s="141"/>
      <c r="V271" s="141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</row>
    <row r="272" customFormat="false" ht="12.75" hidden="false" customHeight="true" outlineLevel="0" collapsed="false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62"/>
      <c r="O272" s="262"/>
      <c r="P272" s="262"/>
      <c r="Q272" s="262"/>
      <c r="R272" s="262"/>
      <c r="S272" s="262"/>
      <c r="T272" s="20"/>
      <c r="U272" s="141"/>
      <c r="V272" s="141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</row>
    <row r="273" customFormat="false" ht="12.75" hidden="false" customHeight="true" outlineLevel="0" collapsed="false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62"/>
      <c r="O273" s="262"/>
      <c r="P273" s="262"/>
      <c r="Q273" s="262"/>
      <c r="R273" s="262"/>
      <c r="S273" s="262"/>
      <c r="T273" s="20"/>
      <c r="U273" s="141"/>
      <c r="V273" s="141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</row>
    <row r="274" customFormat="false" ht="12.75" hidden="false" customHeight="true" outlineLevel="0" collapsed="false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62"/>
      <c r="O274" s="262"/>
      <c r="P274" s="262"/>
      <c r="Q274" s="262"/>
      <c r="R274" s="262"/>
      <c r="S274" s="262"/>
      <c r="T274" s="20"/>
      <c r="U274" s="141"/>
      <c r="V274" s="141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</row>
    <row r="275" customFormat="false" ht="12.75" hidden="false" customHeight="true" outlineLevel="0" collapsed="false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62"/>
      <c r="O275" s="262"/>
      <c r="P275" s="262"/>
      <c r="Q275" s="262"/>
      <c r="R275" s="262"/>
      <c r="S275" s="262"/>
      <c r="T275" s="20"/>
      <c r="U275" s="141"/>
      <c r="V275" s="141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</row>
    <row r="276" customFormat="false" ht="12.75" hidden="false" customHeight="true" outlineLevel="0" collapsed="false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62"/>
      <c r="O276" s="262"/>
      <c r="P276" s="262"/>
      <c r="Q276" s="262"/>
      <c r="R276" s="262"/>
      <c r="S276" s="262"/>
      <c r="T276" s="20"/>
      <c r="U276" s="141"/>
      <c r="V276" s="141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</row>
    <row r="277" customFormat="false" ht="12.75" hidden="false" customHeight="true" outlineLevel="0" collapsed="false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62"/>
      <c r="O277" s="262"/>
      <c r="P277" s="262"/>
      <c r="Q277" s="262"/>
      <c r="R277" s="262"/>
      <c r="S277" s="262"/>
      <c r="T277" s="20"/>
      <c r="U277" s="141"/>
      <c r="V277" s="141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</row>
    <row r="278" customFormat="false" ht="12.75" hidden="false" customHeight="true" outlineLevel="0" collapsed="false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62"/>
      <c r="O278" s="262"/>
      <c r="P278" s="262"/>
      <c r="Q278" s="262"/>
      <c r="R278" s="262"/>
      <c r="S278" s="262"/>
      <c r="T278" s="20"/>
      <c r="U278" s="141"/>
      <c r="V278" s="141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</row>
    <row r="279" customFormat="false" ht="12.75" hidden="false" customHeight="true" outlineLevel="0" collapsed="false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62"/>
      <c r="O279" s="262"/>
      <c r="P279" s="262"/>
      <c r="Q279" s="262"/>
      <c r="R279" s="262"/>
      <c r="S279" s="262"/>
      <c r="T279" s="20"/>
      <c r="U279" s="141"/>
      <c r="V279" s="141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</row>
    <row r="280" customFormat="false" ht="12.75" hidden="false" customHeight="true" outlineLevel="0" collapsed="false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62"/>
      <c r="O280" s="262"/>
      <c r="P280" s="262"/>
      <c r="Q280" s="262"/>
      <c r="R280" s="262"/>
      <c r="S280" s="262"/>
      <c r="T280" s="20"/>
      <c r="U280" s="141"/>
      <c r="V280" s="141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</row>
    <row r="281" customFormat="false" ht="12.75" hidden="false" customHeight="true" outlineLevel="0" collapsed="false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62"/>
      <c r="O281" s="262"/>
      <c r="P281" s="262"/>
      <c r="Q281" s="262"/>
      <c r="R281" s="262"/>
      <c r="S281" s="262"/>
      <c r="T281" s="20"/>
      <c r="U281" s="141"/>
      <c r="V281" s="141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</row>
    <row r="282" customFormat="false" ht="12.75" hidden="false" customHeight="true" outlineLevel="0" collapsed="false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62"/>
      <c r="O282" s="262"/>
      <c r="P282" s="262"/>
      <c r="Q282" s="262"/>
      <c r="R282" s="262"/>
      <c r="S282" s="262"/>
      <c r="T282" s="20"/>
      <c r="U282" s="141"/>
      <c r="V282" s="141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</row>
    <row r="283" customFormat="false" ht="12.75" hidden="false" customHeight="true" outlineLevel="0" collapsed="false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62"/>
      <c r="O283" s="262"/>
      <c r="P283" s="262"/>
      <c r="Q283" s="262"/>
      <c r="R283" s="262"/>
      <c r="S283" s="262"/>
      <c r="T283" s="20"/>
      <c r="U283" s="141"/>
      <c r="V283" s="141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</row>
    <row r="284" customFormat="false" ht="12.75" hidden="false" customHeight="true" outlineLevel="0" collapsed="false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62"/>
      <c r="O284" s="262"/>
      <c r="P284" s="262"/>
      <c r="Q284" s="262"/>
      <c r="R284" s="262"/>
      <c r="S284" s="262"/>
      <c r="T284" s="20"/>
      <c r="U284" s="141"/>
      <c r="V284" s="141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</row>
    <row r="285" customFormat="false" ht="12.75" hidden="false" customHeight="true" outlineLevel="0" collapsed="false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62"/>
      <c r="O285" s="262"/>
      <c r="P285" s="262"/>
      <c r="Q285" s="262"/>
      <c r="R285" s="262"/>
      <c r="S285" s="262"/>
      <c r="T285" s="20"/>
      <c r="U285" s="141"/>
      <c r="V285" s="141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</row>
    <row r="286" customFormat="false" ht="12.75" hidden="false" customHeight="true" outlineLevel="0" collapsed="false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62"/>
      <c r="O286" s="262"/>
      <c r="P286" s="262"/>
      <c r="Q286" s="262"/>
      <c r="R286" s="262"/>
      <c r="S286" s="262"/>
      <c r="T286" s="20"/>
      <c r="U286" s="141"/>
      <c r="V286" s="141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</row>
    <row r="287" customFormat="false" ht="12.75" hidden="false" customHeight="true" outlineLevel="0" collapsed="false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62"/>
      <c r="O287" s="262"/>
      <c r="P287" s="262"/>
      <c r="Q287" s="262"/>
      <c r="R287" s="262"/>
      <c r="S287" s="262"/>
      <c r="T287" s="20"/>
      <c r="U287" s="141"/>
      <c r="V287" s="141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</row>
    <row r="288" customFormat="false" ht="12.75" hidden="false" customHeight="true" outlineLevel="0" collapsed="false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62"/>
      <c r="O288" s="262"/>
      <c r="P288" s="262"/>
      <c r="Q288" s="262"/>
      <c r="R288" s="262"/>
      <c r="S288" s="262"/>
      <c r="T288" s="20"/>
      <c r="U288" s="141"/>
      <c r="V288" s="141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</row>
    <row r="289" customFormat="false" ht="12.75" hidden="false" customHeight="true" outlineLevel="0" collapsed="false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62"/>
      <c r="O289" s="262"/>
      <c r="P289" s="262"/>
      <c r="Q289" s="262"/>
      <c r="R289" s="262"/>
      <c r="S289" s="262"/>
      <c r="T289" s="20"/>
      <c r="U289" s="141"/>
      <c r="V289" s="141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</row>
    <row r="290" customFormat="false" ht="12.75" hidden="false" customHeight="true" outlineLevel="0" collapsed="false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62"/>
      <c r="O290" s="262"/>
      <c r="P290" s="262"/>
      <c r="Q290" s="262"/>
      <c r="R290" s="262"/>
      <c r="S290" s="262"/>
      <c r="T290" s="20"/>
      <c r="U290" s="141"/>
      <c r="V290" s="141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</row>
    <row r="291" customFormat="false" ht="12.75" hidden="false" customHeight="true" outlineLevel="0" collapsed="false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62"/>
      <c r="O291" s="262"/>
      <c r="P291" s="262"/>
      <c r="Q291" s="262"/>
      <c r="R291" s="262"/>
      <c r="S291" s="262"/>
      <c r="T291" s="20"/>
      <c r="U291" s="141"/>
      <c r="V291" s="141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</row>
    <row r="292" customFormat="false" ht="12.75" hidden="false" customHeight="true" outlineLevel="0" collapsed="false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62"/>
      <c r="O292" s="262"/>
      <c r="P292" s="262"/>
      <c r="Q292" s="262"/>
      <c r="R292" s="262"/>
      <c r="S292" s="262"/>
      <c r="T292" s="20"/>
      <c r="U292" s="141"/>
      <c r="V292" s="141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</row>
    <row r="293" customFormat="false" ht="12.75" hidden="false" customHeight="true" outlineLevel="0" collapsed="false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62"/>
      <c r="O293" s="262"/>
      <c r="P293" s="262"/>
      <c r="Q293" s="262"/>
      <c r="R293" s="262"/>
      <c r="S293" s="262"/>
      <c r="T293" s="20"/>
      <c r="U293" s="141"/>
      <c r="V293" s="141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</row>
    <row r="294" customFormat="false" ht="12.75" hidden="false" customHeight="true" outlineLevel="0" collapsed="false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62"/>
      <c r="O294" s="262"/>
      <c r="P294" s="262"/>
      <c r="Q294" s="262"/>
      <c r="R294" s="262"/>
      <c r="S294" s="262"/>
      <c r="T294" s="20"/>
      <c r="U294" s="141"/>
      <c r="V294" s="141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</row>
    <row r="295" customFormat="false" ht="12.75" hidden="false" customHeight="true" outlineLevel="0" collapsed="false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62"/>
      <c r="O295" s="262"/>
      <c r="P295" s="262"/>
      <c r="Q295" s="262"/>
      <c r="R295" s="262"/>
      <c r="S295" s="262"/>
      <c r="T295" s="20"/>
      <c r="U295" s="141"/>
      <c r="V295" s="141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</row>
    <row r="296" customFormat="false" ht="12.75" hidden="false" customHeight="true" outlineLevel="0" collapsed="false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62"/>
      <c r="O296" s="262"/>
      <c r="P296" s="262"/>
      <c r="Q296" s="262"/>
      <c r="R296" s="262"/>
      <c r="S296" s="262"/>
      <c r="T296" s="20"/>
      <c r="U296" s="141"/>
      <c r="V296" s="141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</row>
    <row r="297" customFormat="false" ht="12.75" hidden="false" customHeight="true" outlineLevel="0" collapsed="false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62"/>
      <c r="O297" s="262"/>
      <c r="P297" s="262"/>
      <c r="Q297" s="262"/>
      <c r="R297" s="262"/>
      <c r="S297" s="262"/>
      <c r="T297" s="20"/>
      <c r="U297" s="141"/>
      <c r="V297" s="141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</row>
    <row r="298" customFormat="false" ht="12.75" hidden="false" customHeight="true" outlineLevel="0" collapsed="false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62"/>
      <c r="O298" s="262"/>
      <c r="P298" s="262"/>
      <c r="Q298" s="262"/>
      <c r="R298" s="262"/>
      <c r="S298" s="262"/>
      <c r="T298" s="20"/>
      <c r="U298" s="141"/>
      <c r="V298" s="141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</row>
    <row r="299" customFormat="false" ht="12.75" hidden="false" customHeight="true" outlineLevel="0" collapsed="false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62"/>
      <c r="O299" s="262"/>
      <c r="P299" s="262"/>
      <c r="Q299" s="262"/>
      <c r="R299" s="262"/>
      <c r="S299" s="262"/>
      <c r="T299" s="20"/>
      <c r="U299" s="141"/>
      <c r="V299" s="141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</row>
    <row r="300" customFormat="false" ht="12.75" hidden="false" customHeight="true" outlineLevel="0" collapsed="false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62"/>
      <c r="O300" s="262"/>
      <c r="P300" s="262"/>
      <c r="Q300" s="262"/>
      <c r="R300" s="262"/>
      <c r="S300" s="262"/>
      <c r="T300" s="20"/>
      <c r="U300" s="141"/>
      <c r="V300" s="141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</row>
    <row r="301" customFormat="false" ht="12.75" hidden="false" customHeight="true" outlineLevel="0" collapsed="false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62"/>
      <c r="O301" s="262"/>
      <c r="P301" s="262"/>
      <c r="Q301" s="262"/>
      <c r="R301" s="262"/>
      <c r="S301" s="262"/>
      <c r="T301" s="20"/>
      <c r="U301" s="141"/>
      <c r="V301" s="141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</row>
    <row r="302" customFormat="false" ht="12.75" hidden="false" customHeight="true" outlineLevel="0" collapsed="false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62"/>
      <c r="O302" s="262"/>
      <c r="P302" s="262"/>
      <c r="Q302" s="262"/>
      <c r="R302" s="262"/>
      <c r="S302" s="262"/>
      <c r="T302" s="20"/>
      <c r="U302" s="141"/>
      <c r="V302" s="141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</row>
    <row r="303" customFormat="false" ht="12.75" hidden="false" customHeight="true" outlineLevel="0" collapsed="false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62"/>
      <c r="O303" s="262"/>
      <c r="P303" s="262"/>
      <c r="Q303" s="262"/>
      <c r="R303" s="262"/>
      <c r="S303" s="262"/>
      <c r="T303" s="20"/>
      <c r="U303" s="141"/>
      <c r="V303" s="141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</row>
    <row r="304" customFormat="false" ht="12.75" hidden="false" customHeight="true" outlineLevel="0" collapsed="false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62"/>
      <c r="O304" s="262"/>
      <c r="P304" s="262"/>
      <c r="Q304" s="262"/>
      <c r="R304" s="262"/>
      <c r="S304" s="262"/>
      <c r="T304" s="20"/>
      <c r="U304" s="141"/>
      <c r="V304" s="141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</row>
    <row r="305" customFormat="false" ht="12.75" hidden="false" customHeight="true" outlineLevel="0" collapsed="false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62"/>
      <c r="O305" s="262"/>
      <c r="P305" s="262"/>
      <c r="Q305" s="262"/>
      <c r="R305" s="262"/>
      <c r="S305" s="262"/>
      <c r="T305" s="20"/>
      <c r="U305" s="141"/>
      <c r="V305" s="141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</row>
    <row r="306" customFormat="false" ht="12.75" hidden="false" customHeight="true" outlineLevel="0" collapsed="false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62"/>
      <c r="O306" s="262"/>
      <c r="P306" s="262"/>
      <c r="Q306" s="262"/>
      <c r="R306" s="262"/>
      <c r="S306" s="262"/>
      <c r="T306" s="20"/>
      <c r="U306" s="141"/>
      <c r="V306" s="141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</row>
    <row r="307" customFormat="false" ht="12.75" hidden="false" customHeight="true" outlineLevel="0" collapsed="false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62"/>
      <c r="O307" s="262"/>
      <c r="P307" s="262"/>
      <c r="Q307" s="262"/>
      <c r="R307" s="262"/>
      <c r="S307" s="262"/>
      <c r="T307" s="20"/>
      <c r="U307" s="141"/>
      <c r="V307" s="141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</row>
    <row r="308" customFormat="false" ht="12.75" hidden="false" customHeight="true" outlineLevel="0" collapsed="false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62"/>
      <c r="O308" s="262"/>
      <c r="P308" s="262"/>
      <c r="Q308" s="262"/>
      <c r="R308" s="262"/>
      <c r="S308" s="262"/>
      <c r="T308" s="20"/>
      <c r="U308" s="141"/>
      <c r="V308" s="141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</row>
    <row r="309" customFormat="false" ht="12.75" hidden="false" customHeight="true" outlineLevel="0" collapsed="false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62"/>
      <c r="O309" s="262"/>
      <c r="P309" s="262"/>
      <c r="Q309" s="262"/>
      <c r="R309" s="262"/>
      <c r="S309" s="262"/>
      <c r="T309" s="20"/>
      <c r="U309" s="141"/>
      <c r="V309" s="141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</row>
    <row r="310" customFormat="false" ht="12.75" hidden="false" customHeight="true" outlineLevel="0" collapsed="false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62"/>
      <c r="O310" s="262"/>
      <c r="P310" s="262"/>
      <c r="Q310" s="262"/>
      <c r="R310" s="262"/>
      <c r="S310" s="262"/>
      <c r="T310" s="20"/>
      <c r="U310" s="141"/>
      <c r="V310" s="141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</row>
    <row r="311" customFormat="false" ht="12.75" hidden="false" customHeight="true" outlineLevel="0" collapsed="false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62"/>
      <c r="O311" s="262"/>
      <c r="P311" s="262"/>
      <c r="Q311" s="262"/>
      <c r="R311" s="262"/>
      <c r="S311" s="262"/>
      <c r="T311" s="20"/>
      <c r="U311" s="141"/>
      <c r="V311" s="141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</row>
    <row r="312" customFormat="false" ht="12.75" hidden="false" customHeight="true" outlineLevel="0" collapsed="false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62"/>
      <c r="O312" s="262"/>
      <c r="P312" s="262"/>
      <c r="Q312" s="262"/>
      <c r="R312" s="262"/>
      <c r="S312" s="262"/>
      <c r="T312" s="20"/>
      <c r="U312" s="141"/>
      <c r="V312" s="141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</row>
    <row r="313" customFormat="false" ht="12.75" hidden="false" customHeight="true" outlineLevel="0" collapsed="false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62"/>
      <c r="O313" s="262"/>
      <c r="P313" s="262"/>
      <c r="Q313" s="262"/>
      <c r="R313" s="262"/>
      <c r="S313" s="262"/>
      <c r="T313" s="20"/>
      <c r="U313" s="141"/>
      <c r="V313" s="141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</row>
    <row r="314" customFormat="false" ht="12.75" hidden="false" customHeight="true" outlineLevel="0" collapsed="false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62"/>
      <c r="O314" s="262"/>
      <c r="P314" s="262"/>
      <c r="Q314" s="262"/>
      <c r="R314" s="262"/>
      <c r="S314" s="262"/>
      <c r="T314" s="20"/>
      <c r="U314" s="141"/>
      <c r="V314" s="141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</row>
    <row r="315" customFormat="false" ht="12.75" hidden="false" customHeight="true" outlineLevel="0" collapsed="false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62"/>
      <c r="O315" s="262"/>
      <c r="P315" s="262"/>
      <c r="Q315" s="262"/>
      <c r="R315" s="262"/>
      <c r="S315" s="262"/>
      <c r="T315" s="20"/>
      <c r="U315" s="141"/>
      <c r="V315" s="141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</row>
    <row r="316" customFormat="false" ht="12.75" hidden="false" customHeight="true" outlineLevel="0" collapsed="false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62"/>
      <c r="O316" s="262"/>
      <c r="P316" s="262"/>
      <c r="Q316" s="262"/>
      <c r="R316" s="262"/>
      <c r="S316" s="262"/>
      <c r="T316" s="20"/>
      <c r="U316" s="141"/>
      <c r="V316" s="141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</row>
    <row r="317" customFormat="false" ht="12.75" hidden="false" customHeight="true" outlineLevel="0" collapsed="false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62"/>
      <c r="O317" s="262"/>
      <c r="P317" s="262"/>
      <c r="Q317" s="262"/>
      <c r="R317" s="262"/>
      <c r="S317" s="262"/>
      <c r="T317" s="20"/>
      <c r="U317" s="141"/>
      <c r="V317" s="141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</row>
    <row r="318" customFormat="false" ht="12.75" hidden="false" customHeight="true" outlineLevel="0" collapsed="false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62"/>
      <c r="O318" s="262"/>
      <c r="P318" s="262"/>
      <c r="Q318" s="262"/>
      <c r="R318" s="262"/>
      <c r="S318" s="262"/>
      <c r="T318" s="20"/>
      <c r="U318" s="141"/>
      <c r="V318" s="141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</row>
    <row r="319" customFormat="false" ht="12.75" hidden="false" customHeight="true" outlineLevel="0" collapsed="false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62"/>
      <c r="O319" s="262"/>
      <c r="P319" s="262"/>
      <c r="Q319" s="262"/>
      <c r="R319" s="262"/>
      <c r="S319" s="262"/>
      <c r="T319" s="20"/>
      <c r="U319" s="141"/>
      <c r="V319" s="141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</row>
    <row r="320" customFormat="false" ht="12.75" hidden="false" customHeight="true" outlineLevel="0" collapsed="false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62"/>
      <c r="O320" s="262"/>
      <c r="P320" s="262"/>
      <c r="Q320" s="262"/>
      <c r="R320" s="262"/>
      <c r="S320" s="262"/>
      <c r="T320" s="20"/>
      <c r="U320" s="141"/>
      <c r="V320" s="141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</row>
    <row r="321" customFormat="false" ht="12.75" hidden="false" customHeight="true" outlineLevel="0" collapsed="false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62"/>
      <c r="O321" s="262"/>
      <c r="P321" s="262"/>
      <c r="Q321" s="262"/>
      <c r="R321" s="262"/>
      <c r="S321" s="262"/>
      <c r="T321" s="20"/>
      <c r="U321" s="141"/>
      <c r="V321" s="141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</row>
    <row r="322" customFormat="false" ht="12.75" hidden="false" customHeight="true" outlineLevel="0" collapsed="false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62"/>
      <c r="O322" s="262"/>
      <c r="P322" s="262"/>
      <c r="Q322" s="262"/>
      <c r="R322" s="262"/>
      <c r="S322" s="262"/>
      <c r="T322" s="20"/>
      <c r="U322" s="141"/>
      <c r="V322" s="141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</row>
    <row r="323" customFormat="false" ht="12.75" hidden="false" customHeight="true" outlineLevel="0" collapsed="false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62"/>
      <c r="O323" s="262"/>
      <c r="P323" s="262"/>
      <c r="Q323" s="262"/>
      <c r="R323" s="262"/>
      <c r="S323" s="262"/>
      <c r="T323" s="20"/>
      <c r="U323" s="141"/>
      <c r="V323" s="141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</row>
    <row r="324" customFormat="false" ht="12.75" hidden="false" customHeight="true" outlineLevel="0" collapsed="false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62"/>
      <c r="O324" s="262"/>
      <c r="P324" s="262"/>
      <c r="Q324" s="262"/>
      <c r="R324" s="262"/>
      <c r="S324" s="262"/>
      <c r="T324" s="20"/>
      <c r="U324" s="141"/>
      <c r="V324" s="141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</row>
    <row r="325" customFormat="false" ht="12.75" hidden="false" customHeight="true" outlineLevel="0" collapsed="false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62"/>
      <c r="O325" s="262"/>
      <c r="P325" s="262"/>
      <c r="Q325" s="262"/>
      <c r="R325" s="262"/>
      <c r="S325" s="262"/>
      <c r="T325" s="20"/>
      <c r="U325" s="141"/>
      <c r="V325" s="141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</row>
    <row r="326" customFormat="false" ht="12.75" hidden="false" customHeight="true" outlineLevel="0" collapsed="false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62"/>
      <c r="O326" s="262"/>
      <c r="P326" s="262"/>
      <c r="Q326" s="262"/>
      <c r="R326" s="262"/>
      <c r="S326" s="262"/>
      <c r="T326" s="20"/>
      <c r="U326" s="141"/>
      <c r="V326" s="141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</row>
    <row r="327" customFormat="false" ht="12.75" hidden="false" customHeight="true" outlineLevel="0" collapsed="false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62"/>
      <c r="O327" s="262"/>
      <c r="P327" s="262"/>
      <c r="Q327" s="262"/>
      <c r="R327" s="262"/>
      <c r="S327" s="262"/>
      <c r="T327" s="20"/>
      <c r="U327" s="141"/>
      <c r="V327" s="141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</row>
    <row r="328" customFormat="false" ht="12.75" hidden="false" customHeight="true" outlineLevel="0" collapsed="false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62"/>
      <c r="O328" s="262"/>
      <c r="P328" s="262"/>
      <c r="Q328" s="262"/>
      <c r="R328" s="262"/>
      <c r="S328" s="262"/>
      <c r="T328" s="20"/>
      <c r="U328" s="141"/>
      <c r="V328" s="141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</row>
    <row r="329" customFormat="false" ht="12.75" hidden="false" customHeight="true" outlineLevel="0" collapsed="false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62"/>
      <c r="O329" s="262"/>
      <c r="P329" s="262"/>
      <c r="Q329" s="262"/>
      <c r="R329" s="262"/>
      <c r="S329" s="262"/>
      <c r="T329" s="20"/>
      <c r="U329" s="141"/>
      <c r="V329" s="141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</row>
    <row r="330" customFormat="false" ht="12.75" hidden="false" customHeight="true" outlineLevel="0" collapsed="false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62"/>
      <c r="O330" s="262"/>
      <c r="P330" s="262"/>
      <c r="Q330" s="262"/>
      <c r="R330" s="262"/>
      <c r="S330" s="262"/>
      <c r="T330" s="20"/>
      <c r="U330" s="141"/>
      <c r="V330" s="141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</row>
    <row r="331" customFormat="false" ht="12.75" hidden="false" customHeight="true" outlineLevel="0" collapsed="false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62"/>
      <c r="O331" s="262"/>
      <c r="P331" s="262"/>
      <c r="Q331" s="262"/>
      <c r="R331" s="262"/>
      <c r="S331" s="262"/>
      <c r="T331" s="20"/>
      <c r="U331" s="141"/>
      <c r="V331" s="141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</row>
    <row r="332" customFormat="false" ht="12.75" hidden="false" customHeight="true" outlineLevel="0" collapsed="false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62"/>
      <c r="O332" s="262"/>
      <c r="P332" s="262"/>
      <c r="Q332" s="262"/>
      <c r="R332" s="262"/>
      <c r="S332" s="262"/>
      <c r="T332" s="20"/>
      <c r="U332" s="141"/>
      <c r="V332" s="141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</row>
    <row r="333" customFormat="false" ht="12.75" hidden="false" customHeight="true" outlineLevel="0" collapsed="false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62"/>
      <c r="O333" s="262"/>
      <c r="P333" s="262"/>
      <c r="Q333" s="262"/>
      <c r="R333" s="262"/>
      <c r="S333" s="262"/>
      <c r="T333" s="20"/>
      <c r="U333" s="141"/>
      <c r="V333" s="141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</row>
    <row r="334" customFormat="false" ht="12.75" hidden="false" customHeight="true" outlineLevel="0" collapsed="false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62"/>
      <c r="O334" s="262"/>
      <c r="P334" s="262"/>
      <c r="Q334" s="262"/>
      <c r="R334" s="262"/>
      <c r="S334" s="262"/>
      <c r="T334" s="20"/>
      <c r="U334" s="141"/>
      <c r="V334" s="141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</row>
    <row r="335" customFormat="false" ht="12.75" hidden="false" customHeight="true" outlineLevel="0" collapsed="false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62"/>
      <c r="O335" s="262"/>
      <c r="P335" s="262"/>
      <c r="Q335" s="262"/>
      <c r="R335" s="262"/>
      <c r="S335" s="262"/>
      <c r="T335" s="20"/>
      <c r="U335" s="141"/>
      <c r="V335" s="141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</row>
    <row r="336" customFormat="false" ht="12.75" hidden="false" customHeight="true" outlineLevel="0" collapsed="false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62"/>
      <c r="O336" s="262"/>
      <c r="P336" s="262"/>
      <c r="Q336" s="262"/>
      <c r="R336" s="262"/>
      <c r="S336" s="262"/>
      <c r="T336" s="20"/>
      <c r="U336" s="141"/>
      <c r="V336" s="141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</row>
    <row r="337" customFormat="false" ht="12.75" hidden="false" customHeight="true" outlineLevel="0" collapsed="false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62"/>
      <c r="O337" s="262"/>
      <c r="P337" s="262"/>
      <c r="Q337" s="262"/>
      <c r="R337" s="262"/>
      <c r="S337" s="262"/>
      <c r="T337" s="20"/>
      <c r="U337" s="141"/>
      <c r="V337" s="141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</row>
    <row r="338" customFormat="false" ht="12.75" hidden="false" customHeight="true" outlineLevel="0" collapsed="false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62"/>
      <c r="O338" s="262"/>
      <c r="P338" s="262"/>
      <c r="Q338" s="262"/>
      <c r="R338" s="262"/>
      <c r="S338" s="262"/>
      <c r="T338" s="20"/>
      <c r="U338" s="141"/>
      <c r="V338" s="141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</row>
    <row r="339" customFormat="false" ht="12.75" hidden="false" customHeight="true" outlineLevel="0" collapsed="false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62"/>
      <c r="O339" s="262"/>
      <c r="P339" s="262"/>
      <c r="Q339" s="262"/>
      <c r="R339" s="262"/>
      <c r="S339" s="262"/>
      <c r="T339" s="20"/>
      <c r="U339" s="141"/>
      <c r="V339" s="141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</row>
    <row r="340" customFormat="false" ht="12.75" hidden="false" customHeight="true" outlineLevel="0" collapsed="false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62"/>
      <c r="O340" s="262"/>
      <c r="P340" s="262"/>
      <c r="Q340" s="262"/>
      <c r="R340" s="262"/>
      <c r="S340" s="262"/>
      <c r="T340" s="20"/>
      <c r="U340" s="141"/>
      <c r="V340" s="141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</row>
    <row r="341" customFormat="false" ht="12.75" hidden="false" customHeight="true" outlineLevel="0" collapsed="false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62"/>
      <c r="O341" s="262"/>
      <c r="P341" s="262"/>
      <c r="Q341" s="262"/>
      <c r="R341" s="262"/>
      <c r="S341" s="262"/>
      <c r="T341" s="20"/>
      <c r="U341" s="141"/>
      <c r="V341" s="141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</row>
    <row r="342" customFormat="false" ht="12.75" hidden="false" customHeight="true" outlineLevel="0" collapsed="false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62"/>
      <c r="O342" s="262"/>
      <c r="P342" s="262"/>
      <c r="Q342" s="262"/>
      <c r="R342" s="262"/>
      <c r="S342" s="262"/>
      <c r="T342" s="20"/>
      <c r="U342" s="141"/>
      <c r="V342" s="141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</row>
    <row r="343" customFormat="false" ht="12.75" hidden="false" customHeight="true" outlineLevel="0" collapsed="false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62"/>
      <c r="O343" s="262"/>
      <c r="P343" s="262"/>
      <c r="Q343" s="262"/>
      <c r="R343" s="262"/>
      <c r="S343" s="262"/>
      <c r="T343" s="20"/>
      <c r="U343" s="141"/>
      <c r="V343" s="141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</row>
    <row r="344" customFormat="false" ht="12.75" hidden="false" customHeight="true" outlineLevel="0" collapsed="false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62"/>
      <c r="O344" s="262"/>
      <c r="P344" s="262"/>
      <c r="Q344" s="262"/>
      <c r="R344" s="262"/>
      <c r="S344" s="262"/>
      <c r="T344" s="20"/>
      <c r="U344" s="141"/>
      <c r="V344" s="141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</row>
    <row r="345" customFormat="false" ht="12.75" hidden="false" customHeight="true" outlineLevel="0" collapsed="false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62"/>
      <c r="O345" s="262"/>
      <c r="P345" s="262"/>
      <c r="Q345" s="262"/>
      <c r="R345" s="262"/>
      <c r="S345" s="262"/>
      <c r="T345" s="20"/>
      <c r="U345" s="141"/>
      <c r="V345" s="141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</row>
    <row r="346" customFormat="false" ht="12.75" hidden="false" customHeight="true" outlineLevel="0" collapsed="false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62"/>
      <c r="O346" s="262"/>
      <c r="P346" s="262"/>
      <c r="Q346" s="262"/>
      <c r="R346" s="262"/>
      <c r="S346" s="262"/>
      <c r="T346" s="20"/>
      <c r="U346" s="141"/>
      <c r="V346" s="141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</row>
    <row r="347" customFormat="false" ht="12.75" hidden="false" customHeight="true" outlineLevel="0" collapsed="false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62"/>
      <c r="O347" s="262"/>
      <c r="P347" s="262"/>
      <c r="Q347" s="262"/>
      <c r="R347" s="262"/>
      <c r="S347" s="262"/>
      <c r="T347" s="20"/>
      <c r="U347" s="141"/>
      <c r="V347" s="141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</row>
    <row r="348" customFormat="false" ht="12.75" hidden="false" customHeight="true" outlineLevel="0" collapsed="false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62"/>
      <c r="O348" s="262"/>
      <c r="P348" s="262"/>
      <c r="Q348" s="262"/>
      <c r="R348" s="262"/>
      <c r="S348" s="262"/>
      <c r="T348" s="20"/>
      <c r="U348" s="141"/>
      <c r="V348" s="141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</row>
    <row r="349" customFormat="false" ht="12.75" hidden="false" customHeight="true" outlineLevel="0" collapsed="false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62"/>
      <c r="O349" s="262"/>
      <c r="P349" s="262"/>
      <c r="Q349" s="262"/>
      <c r="R349" s="262"/>
      <c r="S349" s="262"/>
      <c r="T349" s="20"/>
      <c r="U349" s="141"/>
      <c r="V349" s="141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</row>
    <row r="350" customFormat="false" ht="12.75" hidden="false" customHeight="true" outlineLevel="0" collapsed="false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62"/>
      <c r="O350" s="262"/>
      <c r="P350" s="262"/>
      <c r="Q350" s="262"/>
      <c r="R350" s="262"/>
      <c r="S350" s="262"/>
      <c r="T350" s="20"/>
      <c r="U350" s="141"/>
      <c r="V350" s="141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</row>
    <row r="351" customFormat="false" ht="12.75" hidden="false" customHeight="true" outlineLevel="0" collapsed="false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62"/>
      <c r="O351" s="262"/>
      <c r="P351" s="262"/>
      <c r="Q351" s="262"/>
      <c r="R351" s="262"/>
      <c r="S351" s="262"/>
      <c r="T351" s="20"/>
      <c r="U351" s="141"/>
      <c r="V351" s="141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</row>
    <row r="352" customFormat="false" ht="12.75" hidden="false" customHeight="true" outlineLevel="0" collapsed="false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62"/>
      <c r="O352" s="262"/>
      <c r="P352" s="262"/>
      <c r="Q352" s="262"/>
      <c r="R352" s="262"/>
      <c r="S352" s="262"/>
      <c r="T352" s="20"/>
      <c r="U352" s="141"/>
      <c r="V352" s="141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</row>
    <row r="353" customFormat="false" ht="12.75" hidden="false" customHeight="true" outlineLevel="0" collapsed="false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62"/>
      <c r="O353" s="262"/>
      <c r="P353" s="262"/>
      <c r="Q353" s="262"/>
      <c r="R353" s="262"/>
      <c r="S353" s="262"/>
      <c r="T353" s="20"/>
      <c r="U353" s="141"/>
      <c r="V353" s="141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</row>
    <row r="354" customFormat="false" ht="12.75" hidden="false" customHeight="true" outlineLevel="0" collapsed="false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62"/>
      <c r="O354" s="262"/>
      <c r="P354" s="262"/>
      <c r="Q354" s="262"/>
      <c r="R354" s="262"/>
      <c r="S354" s="262"/>
      <c r="T354" s="20"/>
      <c r="U354" s="141"/>
      <c r="V354" s="141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</row>
    <row r="355" customFormat="false" ht="12.75" hidden="false" customHeight="true" outlineLevel="0" collapsed="false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62"/>
      <c r="O355" s="262"/>
      <c r="P355" s="262"/>
      <c r="Q355" s="262"/>
      <c r="R355" s="262"/>
      <c r="S355" s="262"/>
      <c r="T355" s="20"/>
      <c r="U355" s="141"/>
      <c r="V355" s="141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</row>
    <row r="356" customFormat="false" ht="12.75" hidden="false" customHeight="true" outlineLevel="0" collapsed="false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62"/>
      <c r="O356" s="262"/>
      <c r="P356" s="262"/>
      <c r="Q356" s="262"/>
      <c r="R356" s="262"/>
      <c r="S356" s="262"/>
      <c r="T356" s="20"/>
      <c r="U356" s="141"/>
      <c r="V356" s="141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</row>
    <row r="357" customFormat="false" ht="12.75" hidden="false" customHeight="true" outlineLevel="0" collapsed="false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62"/>
      <c r="O357" s="262"/>
      <c r="P357" s="262"/>
      <c r="Q357" s="262"/>
      <c r="R357" s="262"/>
      <c r="S357" s="262"/>
      <c r="T357" s="20"/>
      <c r="U357" s="141"/>
      <c r="V357" s="141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</row>
    <row r="358" customFormat="false" ht="12.75" hidden="false" customHeight="true" outlineLevel="0" collapsed="false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62"/>
      <c r="O358" s="262"/>
      <c r="P358" s="262"/>
      <c r="Q358" s="262"/>
      <c r="R358" s="262"/>
      <c r="S358" s="262"/>
      <c r="T358" s="20"/>
      <c r="U358" s="141"/>
      <c r="V358" s="141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</row>
    <row r="359" customFormat="false" ht="12.75" hidden="false" customHeight="true" outlineLevel="0" collapsed="false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62"/>
      <c r="O359" s="262"/>
      <c r="P359" s="262"/>
      <c r="Q359" s="262"/>
      <c r="R359" s="262"/>
      <c r="S359" s="262"/>
      <c r="T359" s="20"/>
      <c r="U359" s="141"/>
      <c r="V359" s="141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</row>
    <row r="360" customFormat="false" ht="12.75" hidden="false" customHeight="true" outlineLevel="0" collapsed="false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62"/>
      <c r="O360" s="262"/>
      <c r="P360" s="262"/>
      <c r="Q360" s="262"/>
      <c r="R360" s="262"/>
      <c r="S360" s="262"/>
      <c r="T360" s="20"/>
      <c r="U360" s="141"/>
      <c r="V360" s="141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</row>
    <row r="361" customFormat="false" ht="12.75" hidden="false" customHeight="true" outlineLevel="0" collapsed="false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62"/>
      <c r="O361" s="262"/>
      <c r="P361" s="262"/>
      <c r="Q361" s="262"/>
      <c r="R361" s="262"/>
      <c r="S361" s="262"/>
      <c r="T361" s="20"/>
      <c r="U361" s="141"/>
      <c r="V361" s="141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</row>
    <row r="362" customFormat="false" ht="12.75" hidden="false" customHeight="true" outlineLevel="0" collapsed="false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62"/>
      <c r="O362" s="262"/>
      <c r="P362" s="262"/>
      <c r="Q362" s="262"/>
      <c r="R362" s="262"/>
      <c r="S362" s="262"/>
      <c r="T362" s="20"/>
      <c r="U362" s="141"/>
      <c r="V362" s="141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</row>
    <row r="363" customFormat="false" ht="12.75" hidden="false" customHeight="true" outlineLevel="0" collapsed="false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62"/>
      <c r="O363" s="262"/>
      <c r="P363" s="262"/>
      <c r="Q363" s="262"/>
      <c r="R363" s="262"/>
      <c r="S363" s="262"/>
      <c r="T363" s="20"/>
      <c r="U363" s="141"/>
      <c r="V363" s="141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</row>
    <row r="364" customFormat="false" ht="12.75" hidden="false" customHeight="true" outlineLevel="0" collapsed="false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62"/>
      <c r="O364" s="262"/>
      <c r="P364" s="262"/>
      <c r="Q364" s="262"/>
      <c r="R364" s="262"/>
      <c r="S364" s="262"/>
      <c r="T364" s="20"/>
      <c r="U364" s="141"/>
      <c r="V364" s="141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</row>
    <row r="365" customFormat="false" ht="12.75" hidden="false" customHeight="true" outlineLevel="0" collapsed="false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62"/>
      <c r="O365" s="262"/>
      <c r="P365" s="262"/>
      <c r="Q365" s="262"/>
      <c r="R365" s="262"/>
      <c r="S365" s="262"/>
      <c r="T365" s="20"/>
      <c r="U365" s="141"/>
      <c r="V365" s="141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</row>
    <row r="366" customFormat="false" ht="12.75" hidden="false" customHeight="true" outlineLevel="0" collapsed="false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62"/>
      <c r="O366" s="262"/>
      <c r="P366" s="262"/>
      <c r="Q366" s="262"/>
      <c r="R366" s="262"/>
      <c r="S366" s="262"/>
      <c r="T366" s="20"/>
      <c r="U366" s="141"/>
      <c r="V366" s="141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</row>
    <row r="367" customFormat="false" ht="12.75" hidden="false" customHeight="true" outlineLevel="0" collapsed="false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62"/>
      <c r="O367" s="262"/>
      <c r="P367" s="262"/>
      <c r="Q367" s="262"/>
      <c r="R367" s="262"/>
      <c r="S367" s="262"/>
      <c r="T367" s="20"/>
      <c r="U367" s="141"/>
      <c r="V367" s="141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</row>
    <row r="368" customFormat="false" ht="12.75" hidden="false" customHeight="true" outlineLevel="0" collapsed="false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62"/>
      <c r="O368" s="262"/>
      <c r="P368" s="262"/>
      <c r="Q368" s="262"/>
      <c r="R368" s="262"/>
      <c r="S368" s="262"/>
      <c r="T368" s="20"/>
      <c r="U368" s="141"/>
      <c r="V368" s="141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</row>
    <row r="369" customFormat="false" ht="12.75" hidden="false" customHeight="true" outlineLevel="0" collapsed="false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62"/>
      <c r="O369" s="262"/>
      <c r="P369" s="262"/>
      <c r="Q369" s="262"/>
      <c r="R369" s="262"/>
      <c r="S369" s="262"/>
      <c r="T369" s="20"/>
      <c r="U369" s="141"/>
      <c r="V369" s="141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</row>
    <row r="370" customFormat="false" ht="12.75" hidden="false" customHeight="true" outlineLevel="0" collapsed="false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62"/>
      <c r="O370" s="262"/>
      <c r="P370" s="262"/>
      <c r="Q370" s="262"/>
      <c r="R370" s="262"/>
      <c r="S370" s="262"/>
      <c r="T370" s="20"/>
      <c r="U370" s="141"/>
      <c r="V370" s="141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</row>
    <row r="371" customFormat="false" ht="12.75" hidden="false" customHeight="true" outlineLevel="0" collapsed="false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62"/>
      <c r="O371" s="262"/>
      <c r="P371" s="262"/>
      <c r="Q371" s="262"/>
      <c r="R371" s="262"/>
      <c r="S371" s="262"/>
      <c r="T371" s="20"/>
      <c r="U371" s="141"/>
      <c r="V371" s="141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</row>
    <row r="372" customFormat="false" ht="12.75" hidden="false" customHeight="true" outlineLevel="0" collapsed="false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62"/>
      <c r="O372" s="262"/>
      <c r="P372" s="262"/>
      <c r="Q372" s="262"/>
      <c r="R372" s="262"/>
      <c r="S372" s="262"/>
      <c r="T372" s="20"/>
      <c r="U372" s="141"/>
      <c r="V372" s="141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</row>
    <row r="373" customFormat="false" ht="12.75" hidden="false" customHeight="true" outlineLevel="0" collapsed="false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62"/>
      <c r="O373" s="262"/>
      <c r="P373" s="262"/>
      <c r="Q373" s="262"/>
      <c r="R373" s="262"/>
      <c r="S373" s="262"/>
      <c r="T373" s="20"/>
      <c r="U373" s="141"/>
      <c r="V373" s="141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</row>
    <row r="374" customFormat="false" ht="12.75" hidden="false" customHeight="true" outlineLevel="0" collapsed="false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62"/>
      <c r="O374" s="262"/>
      <c r="P374" s="262"/>
      <c r="Q374" s="262"/>
      <c r="R374" s="262"/>
      <c r="S374" s="262"/>
      <c r="T374" s="20"/>
      <c r="U374" s="141"/>
      <c r="V374" s="141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</row>
    <row r="375" customFormat="false" ht="12.75" hidden="false" customHeight="true" outlineLevel="0" collapsed="false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62"/>
      <c r="O375" s="262"/>
      <c r="P375" s="262"/>
      <c r="Q375" s="262"/>
      <c r="R375" s="262"/>
      <c r="S375" s="262"/>
      <c r="T375" s="20"/>
      <c r="U375" s="141"/>
      <c r="V375" s="141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</row>
    <row r="376" customFormat="false" ht="12.75" hidden="false" customHeight="true" outlineLevel="0" collapsed="false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62"/>
      <c r="O376" s="262"/>
      <c r="P376" s="262"/>
      <c r="Q376" s="262"/>
      <c r="R376" s="262"/>
      <c r="S376" s="262"/>
      <c r="T376" s="20"/>
      <c r="U376" s="141"/>
      <c r="V376" s="141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</row>
    <row r="377" customFormat="false" ht="12.75" hidden="false" customHeight="true" outlineLevel="0" collapsed="false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62"/>
      <c r="O377" s="262"/>
      <c r="P377" s="262"/>
      <c r="Q377" s="262"/>
      <c r="R377" s="262"/>
      <c r="S377" s="262"/>
      <c r="T377" s="20"/>
      <c r="U377" s="141"/>
      <c r="V377" s="141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</row>
    <row r="378" customFormat="false" ht="12.75" hidden="false" customHeight="true" outlineLevel="0" collapsed="false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62"/>
      <c r="O378" s="262"/>
      <c r="P378" s="262"/>
      <c r="Q378" s="262"/>
      <c r="R378" s="262"/>
      <c r="S378" s="262"/>
      <c r="T378" s="20"/>
      <c r="U378" s="141"/>
      <c r="V378" s="141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</row>
    <row r="379" customFormat="false" ht="12.75" hidden="false" customHeight="true" outlineLevel="0" collapsed="false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62"/>
      <c r="O379" s="262"/>
      <c r="P379" s="262"/>
      <c r="Q379" s="262"/>
      <c r="R379" s="262"/>
      <c r="S379" s="262"/>
      <c r="T379" s="20"/>
      <c r="U379" s="141"/>
      <c r="V379" s="141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</row>
    <row r="380" customFormat="false" ht="12.75" hidden="false" customHeight="true" outlineLevel="0" collapsed="false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62"/>
      <c r="O380" s="262"/>
      <c r="P380" s="262"/>
      <c r="Q380" s="262"/>
      <c r="R380" s="262"/>
      <c r="S380" s="262"/>
      <c r="T380" s="20"/>
      <c r="U380" s="141"/>
      <c r="V380" s="141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</row>
    <row r="381" customFormat="false" ht="12.75" hidden="false" customHeight="true" outlineLevel="0" collapsed="false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62"/>
      <c r="O381" s="262"/>
      <c r="P381" s="262"/>
      <c r="Q381" s="262"/>
      <c r="R381" s="262"/>
      <c r="S381" s="262"/>
      <c r="T381" s="20"/>
      <c r="U381" s="141"/>
      <c r="V381" s="141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</row>
    <row r="382" customFormat="false" ht="12.75" hidden="false" customHeight="true" outlineLevel="0" collapsed="false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62"/>
      <c r="O382" s="262"/>
      <c r="P382" s="262"/>
      <c r="Q382" s="262"/>
      <c r="R382" s="262"/>
      <c r="S382" s="262"/>
      <c r="T382" s="20"/>
      <c r="U382" s="141"/>
      <c r="V382" s="141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</row>
    <row r="383" customFormat="false" ht="12.75" hidden="false" customHeight="true" outlineLevel="0" collapsed="false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62"/>
      <c r="O383" s="262"/>
      <c r="P383" s="262"/>
      <c r="Q383" s="262"/>
      <c r="R383" s="262"/>
      <c r="S383" s="262"/>
      <c r="T383" s="20"/>
      <c r="U383" s="141"/>
      <c r="V383" s="141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</row>
    <row r="384" customFormat="false" ht="12.75" hidden="false" customHeight="true" outlineLevel="0" collapsed="false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62"/>
      <c r="O384" s="262"/>
      <c r="P384" s="262"/>
      <c r="Q384" s="262"/>
      <c r="R384" s="262"/>
      <c r="S384" s="262"/>
      <c r="T384" s="20"/>
      <c r="U384" s="141"/>
      <c r="V384" s="141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</row>
    <row r="385" customFormat="false" ht="12.75" hidden="false" customHeight="true" outlineLevel="0" collapsed="false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62"/>
      <c r="O385" s="262"/>
      <c r="P385" s="262"/>
      <c r="Q385" s="262"/>
      <c r="R385" s="262"/>
      <c r="S385" s="262"/>
      <c r="T385" s="20"/>
      <c r="U385" s="141"/>
      <c r="V385" s="141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</row>
    <row r="386" customFormat="false" ht="12.75" hidden="false" customHeight="true" outlineLevel="0" collapsed="false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62"/>
      <c r="O386" s="262"/>
      <c r="P386" s="262"/>
      <c r="Q386" s="262"/>
      <c r="R386" s="262"/>
      <c r="S386" s="262"/>
      <c r="T386" s="20"/>
      <c r="U386" s="141"/>
      <c r="V386" s="141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</row>
    <row r="387" customFormat="false" ht="12.75" hidden="false" customHeight="true" outlineLevel="0" collapsed="false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62"/>
      <c r="O387" s="262"/>
      <c r="P387" s="262"/>
      <c r="Q387" s="262"/>
      <c r="R387" s="262"/>
      <c r="S387" s="262"/>
      <c r="T387" s="20"/>
      <c r="U387" s="141"/>
      <c r="V387" s="141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</row>
    <row r="388" customFormat="false" ht="12.75" hidden="false" customHeight="true" outlineLevel="0" collapsed="false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62"/>
      <c r="O388" s="262"/>
      <c r="P388" s="262"/>
      <c r="Q388" s="262"/>
      <c r="R388" s="262"/>
      <c r="S388" s="262"/>
      <c r="T388" s="20"/>
      <c r="U388" s="141"/>
      <c r="V388" s="141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</row>
    <row r="389" customFormat="false" ht="12.75" hidden="false" customHeight="true" outlineLevel="0" collapsed="false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62"/>
      <c r="O389" s="262"/>
      <c r="P389" s="262"/>
      <c r="Q389" s="262"/>
      <c r="R389" s="262"/>
      <c r="S389" s="262"/>
      <c r="T389" s="20"/>
      <c r="U389" s="141"/>
      <c r="V389" s="141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</row>
    <row r="390" customFormat="false" ht="12.75" hidden="false" customHeight="true" outlineLevel="0" collapsed="false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62"/>
      <c r="O390" s="262"/>
      <c r="P390" s="262"/>
      <c r="Q390" s="262"/>
      <c r="R390" s="262"/>
      <c r="S390" s="262"/>
      <c r="T390" s="20"/>
      <c r="U390" s="141"/>
      <c r="V390" s="141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</row>
    <row r="391" customFormat="false" ht="12.75" hidden="false" customHeight="true" outlineLevel="0" collapsed="false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62"/>
      <c r="O391" s="262"/>
      <c r="P391" s="262"/>
      <c r="Q391" s="262"/>
      <c r="R391" s="262"/>
      <c r="S391" s="262"/>
      <c r="T391" s="20"/>
      <c r="U391" s="141"/>
      <c r="V391" s="141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</row>
    <row r="392" customFormat="false" ht="12.75" hidden="false" customHeight="true" outlineLevel="0" collapsed="false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62"/>
      <c r="O392" s="262"/>
      <c r="P392" s="262"/>
      <c r="Q392" s="262"/>
      <c r="R392" s="262"/>
      <c r="S392" s="262"/>
      <c r="T392" s="20"/>
      <c r="U392" s="141"/>
      <c r="V392" s="141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</row>
    <row r="393" customFormat="false" ht="12.75" hidden="false" customHeight="true" outlineLevel="0" collapsed="false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62"/>
      <c r="O393" s="262"/>
      <c r="P393" s="262"/>
      <c r="Q393" s="262"/>
      <c r="R393" s="262"/>
      <c r="S393" s="262"/>
      <c r="T393" s="20"/>
      <c r="U393" s="141"/>
      <c r="V393" s="141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</row>
    <row r="394" customFormat="false" ht="12.75" hidden="false" customHeight="true" outlineLevel="0" collapsed="false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62"/>
      <c r="O394" s="262"/>
      <c r="P394" s="262"/>
      <c r="Q394" s="262"/>
      <c r="R394" s="262"/>
      <c r="S394" s="262"/>
      <c r="T394" s="20"/>
      <c r="U394" s="141"/>
      <c r="V394" s="141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</row>
    <row r="395" customFormat="false" ht="12.75" hidden="false" customHeight="true" outlineLevel="0" collapsed="false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62"/>
      <c r="O395" s="262"/>
      <c r="P395" s="262"/>
      <c r="Q395" s="262"/>
      <c r="R395" s="262"/>
      <c r="S395" s="262"/>
      <c r="T395" s="20"/>
      <c r="U395" s="141"/>
      <c r="V395" s="141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</row>
    <row r="396" customFormat="false" ht="12.75" hidden="false" customHeight="true" outlineLevel="0" collapsed="false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62"/>
      <c r="O396" s="262"/>
      <c r="P396" s="262"/>
      <c r="Q396" s="262"/>
      <c r="R396" s="262"/>
      <c r="S396" s="262"/>
      <c r="T396" s="20"/>
      <c r="U396" s="141"/>
      <c r="V396" s="141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</row>
    <row r="397" customFormat="false" ht="12.75" hidden="false" customHeight="true" outlineLevel="0" collapsed="false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62"/>
      <c r="O397" s="262"/>
      <c r="P397" s="262"/>
      <c r="Q397" s="262"/>
      <c r="R397" s="262"/>
      <c r="S397" s="262"/>
      <c r="T397" s="20"/>
      <c r="U397" s="141"/>
      <c r="V397" s="141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</row>
    <row r="398" customFormat="false" ht="12.75" hidden="false" customHeight="true" outlineLevel="0" collapsed="false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62"/>
      <c r="O398" s="262"/>
      <c r="P398" s="262"/>
      <c r="Q398" s="262"/>
      <c r="R398" s="262"/>
      <c r="S398" s="262"/>
      <c r="T398" s="20"/>
      <c r="U398" s="141"/>
      <c r="V398" s="141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</row>
    <row r="399" customFormat="false" ht="12.75" hidden="false" customHeight="true" outlineLevel="0" collapsed="false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62"/>
      <c r="O399" s="262"/>
      <c r="P399" s="262"/>
      <c r="Q399" s="262"/>
      <c r="R399" s="262"/>
      <c r="S399" s="262"/>
      <c r="T399" s="20"/>
      <c r="U399" s="141"/>
      <c r="V399" s="141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</row>
    <row r="400" customFormat="false" ht="12.75" hidden="false" customHeight="true" outlineLevel="0" collapsed="false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62"/>
      <c r="O400" s="262"/>
      <c r="P400" s="262"/>
      <c r="Q400" s="262"/>
      <c r="R400" s="262"/>
      <c r="S400" s="262"/>
      <c r="T400" s="20"/>
      <c r="U400" s="141"/>
      <c r="V400" s="141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</row>
    <row r="401" customFormat="false" ht="12.75" hidden="false" customHeight="true" outlineLevel="0" collapsed="false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62"/>
      <c r="O401" s="262"/>
      <c r="P401" s="262"/>
      <c r="Q401" s="262"/>
      <c r="R401" s="262"/>
      <c r="S401" s="262"/>
      <c r="T401" s="20"/>
      <c r="U401" s="141"/>
      <c r="V401" s="141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</row>
    <row r="402" customFormat="false" ht="12.75" hidden="false" customHeight="true" outlineLevel="0" collapsed="false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62"/>
      <c r="O402" s="262"/>
      <c r="P402" s="262"/>
      <c r="Q402" s="262"/>
      <c r="R402" s="262"/>
      <c r="S402" s="262"/>
      <c r="T402" s="20"/>
      <c r="U402" s="141"/>
      <c r="V402" s="141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</row>
    <row r="403" customFormat="false" ht="12.75" hidden="false" customHeight="true" outlineLevel="0" collapsed="false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62"/>
      <c r="O403" s="262"/>
      <c r="P403" s="262"/>
      <c r="Q403" s="262"/>
      <c r="R403" s="262"/>
      <c r="S403" s="262"/>
      <c r="T403" s="20"/>
      <c r="U403" s="141"/>
      <c r="V403" s="141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</row>
    <row r="404" customFormat="false" ht="12.75" hidden="false" customHeight="true" outlineLevel="0" collapsed="false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62"/>
      <c r="O404" s="262"/>
      <c r="P404" s="262"/>
      <c r="Q404" s="262"/>
      <c r="R404" s="262"/>
      <c r="S404" s="262"/>
      <c r="T404" s="20"/>
      <c r="U404" s="141"/>
      <c r="V404" s="141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</row>
    <row r="405" customFormat="false" ht="12.75" hidden="false" customHeight="true" outlineLevel="0" collapsed="false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62"/>
      <c r="O405" s="262"/>
      <c r="P405" s="262"/>
      <c r="Q405" s="262"/>
      <c r="R405" s="262"/>
      <c r="S405" s="262"/>
      <c r="T405" s="20"/>
      <c r="U405" s="141"/>
      <c r="V405" s="141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</row>
    <row r="406" customFormat="false" ht="12.75" hidden="false" customHeight="true" outlineLevel="0" collapsed="false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62"/>
      <c r="O406" s="262"/>
      <c r="P406" s="262"/>
      <c r="Q406" s="262"/>
      <c r="R406" s="262"/>
      <c r="S406" s="262"/>
      <c r="T406" s="20"/>
      <c r="U406" s="141"/>
      <c r="V406" s="141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</row>
    <row r="407" customFormat="false" ht="12.75" hidden="false" customHeight="true" outlineLevel="0" collapsed="false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62"/>
      <c r="O407" s="262"/>
      <c r="P407" s="262"/>
      <c r="Q407" s="262"/>
      <c r="R407" s="262"/>
      <c r="S407" s="262"/>
      <c r="T407" s="20"/>
      <c r="U407" s="141"/>
      <c r="V407" s="141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</row>
    <row r="408" customFormat="false" ht="12.75" hidden="false" customHeight="true" outlineLevel="0" collapsed="false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62"/>
      <c r="O408" s="262"/>
      <c r="P408" s="262"/>
      <c r="Q408" s="262"/>
      <c r="R408" s="262"/>
      <c r="S408" s="262"/>
      <c r="T408" s="20"/>
      <c r="U408" s="141"/>
      <c r="V408" s="141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</row>
    <row r="409" customFormat="false" ht="12.75" hidden="false" customHeight="true" outlineLevel="0" collapsed="false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62"/>
      <c r="O409" s="262"/>
      <c r="P409" s="262"/>
      <c r="Q409" s="262"/>
      <c r="R409" s="262"/>
      <c r="S409" s="262"/>
      <c r="T409" s="20"/>
      <c r="U409" s="141"/>
      <c r="V409" s="141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</row>
    <row r="410" customFormat="false" ht="12.75" hidden="false" customHeight="true" outlineLevel="0" collapsed="false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62"/>
      <c r="O410" s="262"/>
      <c r="P410" s="262"/>
      <c r="Q410" s="262"/>
      <c r="R410" s="262"/>
      <c r="S410" s="262"/>
      <c r="T410" s="20"/>
      <c r="U410" s="141"/>
      <c r="V410" s="141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</row>
    <row r="411" customFormat="false" ht="12.75" hidden="false" customHeight="true" outlineLevel="0" collapsed="false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62"/>
      <c r="O411" s="262"/>
      <c r="P411" s="262"/>
      <c r="Q411" s="262"/>
      <c r="R411" s="262"/>
      <c r="S411" s="262"/>
      <c r="T411" s="20"/>
      <c r="U411" s="141"/>
      <c r="V411" s="141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</row>
    <row r="412" customFormat="false" ht="12.75" hidden="false" customHeight="true" outlineLevel="0" collapsed="false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62"/>
      <c r="O412" s="262"/>
      <c r="P412" s="262"/>
      <c r="Q412" s="262"/>
      <c r="R412" s="262"/>
      <c r="S412" s="262"/>
      <c r="T412" s="20"/>
      <c r="U412" s="141"/>
      <c r="V412" s="141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</row>
    <row r="413" customFormat="false" ht="12.75" hidden="false" customHeight="true" outlineLevel="0" collapsed="false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62"/>
      <c r="O413" s="262"/>
      <c r="P413" s="262"/>
      <c r="Q413" s="262"/>
      <c r="R413" s="262"/>
      <c r="S413" s="262"/>
      <c r="T413" s="20"/>
      <c r="U413" s="141"/>
      <c r="V413" s="141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</row>
    <row r="414" customFormat="false" ht="12.75" hidden="false" customHeight="true" outlineLevel="0" collapsed="false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62"/>
      <c r="O414" s="262"/>
      <c r="P414" s="262"/>
      <c r="Q414" s="262"/>
      <c r="R414" s="262"/>
      <c r="S414" s="262"/>
      <c r="T414" s="20"/>
      <c r="U414" s="141"/>
      <c r="V414" s="141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</row>
    <row r="415" customFormat="false" ht="12.75" hidden="false" customHeight="true" outlineLevel="0" collapsed="false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62"/>
      <c r="O415" s="262"/>
      <c r="P415" s="262"/>
      <c r="Q415" s="262"/>
      <c r="R415" s="262"/>
      <c r="S415" s="262"/>
      <c r="T415" s="20"/>
      <c r="U415" s="141"/>
      <c r="V415" s="141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</row>
    <row r="416" customFormat="false" ht="12.75" hidden="false" customHeight="true" outlineLevel="0" collapsed="false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62"/>
      <c r="O416" s="262"/>
      <c r="P416" s="262"/>
      <c r="Q416" s="262"/>
      <c r="R416" s="262"/>
      <c r="S416" s="262"/>
      <c r="T416" s="20"/>
      <c r="U416" s="141"/>
      <c r="V416" s="141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</row>
    <row r="417" customFormat="false" ht="12.75" hidden="false" customHeight="true" outlineLevel="0" collapsed="false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62"/>
      <c r="O417" s="262"/>
      <c r="P417" s="262"/>
      <c r="Q417" s="262"/>
      <c r="R417" s="262"/>
      <c r="S417" s="262"/>
      <c r="T417" s="20"/>
      <c r="U417" s="141"/>
      <c r="V417" s="141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</row>
    <row r="418" customFormat="false" ht="12.75" hidden="false" customHeight="true" outlineLevel="0" collapsed="false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62"/>
      <c r="O418" s="262"/>
      <c r="P418" s="262"/>
      <c r="Q418" s="262"/>
      <c r="R418" s="262"/>
      <c r="S418" s="262"/>
      <c r="T418" s="20"/>
      <c r="U418" s="141"/>
      <c r="V418" s="141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</row>
    <row r="419" customFormat="false" ht="12.75" hidden="false" customHeight="true" outlineLevel="0" collapsed="false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62"/>
      <c r="O419" s="262"/>
      <c r="P419" s="262"/>
      <c r="Q419" s="262"/>
      <c r="R419" s="262"/>
      <c r="S419" s="262"/>
      <c r="T419" s="20"/>
      <c r="U419" s="141"/>
      <c r="V419" s="141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</row>
    <row r="420" customFormat="false" ht="12.75" hidden="false" customHeight="true" outlineLevel="0" collapsed="false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62"/>
      <c r="O420" s="262"/>
      <c r="P420" s="262"/>
      <c r="Q420" s="262"/>
      <c r="R420" s="262"/>
      <c r="S420" s="262"/>
      <c r="T420" s="20"/>
      <c r="U420" s="141"/>
      <c r="V420" s="141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</row>
    <row r="421" customFormat="false" ht="12.75" hidden="false" customHeight="true" outlineLevel="0" collapsed="false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62"/>
      <c r="O421" s="262"/>
      <c r="P421" s="262"/>
      <c r="Q421" s="262"/>
      <c r="R421" s="262"/>
      <c r="S421" s="262"/>
      <c r="T421" s="20"/>
      <c r="U421" s="141"/>
      <c r="V421" s="141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</row>
    <row r="422" customFormat="false" ht="12.75" hidden="false" customHeight="true" outlineLevel="0" collapsed="false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62"/>
      <c r="O422" s="262"/>
      <c r="P422" s="262"/>
      <c r="Q422" s="262"/>
      <c r="R422" s="262"/>
      <c r="S422" s="262"/>
      <c r="T422" s="20"/>
      <c r="U422" s="141"/>
      <c r="V422" s="141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</row>
    <row r="423" customFormat="false" ht="12.75" hidden="false" customHeight="true" outlineLevel="0" collapsed="false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62"/>
      <c r="O423" s="262"/>
      <c r="P423" s="262"/>
      <c r="Q423" s="262"/>
      <c r="R423" s="262"/>
      <c r="S423" s="262"/>
      <c r="T423" s="20"/>
      <c r="U423" s="141"/>
      <c r="V423" s="141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</row>
    <row r="424" customFormat="false" ht="12.75" hidden="false" customHeight="true" outlineLevel="0" collapsed="false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62"/>
      <c r="O424" s="262"/>
      <c r="P424" s="262"/>
      <c r="Q424" s="262"/>
      <c r="R424" s="262"/>
      <c r="S424" s="262"/>
      <c r="T424" s="20"/>
      <c r="U424" s="141"/>
      <c r="V424" s="141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</row>
    <row r="425" customFormat="false" ht="12.75" hidden="false" customHeight="true" outlineLevel="0" collapsed="false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62"/>
      <c r="O425" s="262"/>
      <c r="P425" s="262"/>
      <c r="Q425" s="262"/>
      <c r="R425" s="262"/>
      <c r="S425" s="262"/>
      <c r="T425" s="20"/>
      <c r="U425" s="141"/>
      <c r="V425" s="141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</row>
    <row r="426" customFormat="false" ht="12.75" hidden="false" customHeight="true" outlineLevel="0" collapsed="false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62"/>
      <c r="O426" s="262"/>
      <c r="P426" s="262"/>
      <c r="Q426" s="262"/>
      <c r="R426" s="262"/>
      <c r="S426" s="262"/>
      <c r="T426" s="20"/>
      <c r="U426" s="141"/>
      <c r="V426" s="141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</row>
    <row r="427" customFormat="false" ht="12.75" hidden="false" customHeight="true" outlineLevel="0" collapsed="false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62"/>
      <c r="O427" s="262"/>
      <c r="P427" s="262"/>
      <c r="Q427" s="262"/>
      <c r="R427" s="262"/>
      <c r="S427" s="262"/>
      <c r="T427" s="20"/>
      <c r="U427" s="141"/>
      <c r="V427" s="141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</row>
    <row r="428" customFormat="false" ht="12.75" hidden="false" customHeight="true" outlineLevel="0" collapsed="false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62"/>
      <c r="O428" s="262"/>
      <c r="P428" s="262"/>
      <c r="Q428" s="262"/>
      <c r="R428" s="262"/>
      <c r="S428" s="262"/>
      <c r="T428" s="20"/>
      <c r="U428" s="141"/>
      <c r="V428" s="141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</row>
    <row r="429" customFormat="false" ht="12.75" hidden="false" customHeight="true" outlineLevel="0" collapsed="false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62"/>
      <c r="O429" s="262"/>
      <c r="P429" s="262"/>
      <c r="Q429" s="262"/>
      <c r="R429" s="262"/>
      <c r="S429" s="262"/>
      <c r="T429" s="20"/>
      <c r="U429" s="141"/>
      <c r="V429" s="141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</row>
    <row r="430" customFormat="false" ht="12.75" hidden="false" customHeight="true" outlineLevel="0" collapsed="false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62"/>
      <c r="O430" s="262"/>
      <c r="P430" s="262"/>
      <c r="Q430" s="262"/>
      <c r="R430" s="262"/>
      <c r="S430" s="262"/>
      <c r="T430" s="20"/>
      <c r="U430" s="141"/>
      <c r="V430" s="141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</row>
    <row r="431" customFormat="false" ht="12.75" hidden="false" customHeight="true" outlineLevel="0" collapsed="false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62"/>
      <c r="O431" s="262"/>
      <c r="P431" s="262"/>
      <c r="Q431" s="262"/>
      <c r="R431" s="262"/>
      <c r="S431" s="262"/>
      <c r="T431" s="20"/>
      <c r="U431" s="141"/>
      <c r="V431" s="141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</row>
    <row r="432" customFormat="false" ht="12.75" hidden="false" customHeight="true" outlineLevel="0" collapsed="false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62"/>
      <c r="O432" s="262"/>
      <c r="P432" s="262"/>
      <c r="Q432" s="262"/>
      <c r="R432" s="262"/>
      <c r="S432" s="262"/>
      <c r="T432" s="20"/>
      <c r="U432" s="141"/>
      <c r="V432" s="141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</row>
    <row r="433" customFormat="false" ht="12.75" hidden="false" customHeight="true" outlineLevel="0" collapsed="false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62"/>
      <c r="O433" s="262"/>
      <c r="P433" s="262"/>
      <c r="Q433" s="262"/>
      <c r="R433" s="262"/>
      <c r="S433" s="262"/>
      <c r="T433" s="20"/>
      <c r="U433" s="141"/>
      <c r="V433" s="141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</row>
    <row r="434" customFormat="false" ht="12.75" hidden="false" customHeight="true" outlineLevel="0" collapsed="false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62"/>
      <c r="O434" s="262"/>
      <c r="P434" s="262"/>
      <c r="Q434" s="262"/>
      <c r="R434" s="262"/>
      <c r="S434" s="262"/>
      <c r="T434" s="20"/>
      <c r="U434" s="141"/>
      <c r="V434" s="141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</row>
    <row r="435" customFormat="false" ht="12.75" hidden="false" customHeight="true" outlineLevel="0" collapsed="false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62"/>
      <c r="O435" s="262"/>
      <c r="P435" s="262"/>
      <c r="Q435" s="262"/>
      <c r="R435" s="262"/>
      <c r="S435" s="262"/>
      <c r="T435" s="20"/>
      <c r="U435" s="141"/>
      <c r="V435" s="141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</row>
    <row r="436" customFormat="false" ht="12.75" hidden="false" customHeight="true" outlineLevel="0" collapsed="false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62"/>
      <c r="O436" s="262"/>
      <c r="P436" s="262"/>
      <c r="Q436" s="262"/>
      <c r="R436" s="262"/>
      <c r="S436" s="262"/>
      <c r="T436" s="20"/>
      <c r="U436" s="141"/>
      <c r="V436" s="141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</row>
    <row r="437" customFormat="false" ht="12.75" hidden="false" customHeight="true" outlineLevel="0" collapsed="false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62"/>
      <c r="O437" s="262"/>
      <c r="P437" s="262"/>
      <c r="Q437" s="262"/>
      <c r="R437" s="262"/>
      <c r="S437" s="262"/>
      <c r="T437" s="20"/>
      <c r="U437" s="141"/>
      <c r="V437" s="141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</row>
    <row r="438" customFormat="false" ht="12.75" hidden="false" customHeight="true" outlineLevel="0" collapsed="false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62"/>
      <c r="O438" s="262"/>
      <c r="P438" s="262"/>
      <c r="Q438" s="262"/>
      <c r="R438" s="262"/>
      <c r="S438" s="262"/>
      <c r="T438" s="20"/>
      <c r="U438" s="141"/>
      <c r="V438" s="141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</row>
    <row r="439" customFormat="false" ht="12.75" hidden="false" customHeight="true" outlineLevel="0" collapsed="false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62"/>
      <c r="O439" s="262"/>
      <c r="P439" s="262"/>
      <c r="Q439" s="262"/>
      <c r="R439" s="262"/>
      <c r="S439" s="262"/>
      <c r="T439" s="20"/>
      <c r="U439" s="141"/>
      <c r="V439" s="141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</row>
    <row r="440" customFormat="false" ht="12.75" hidden="false" customHeight="true" outlineLevel="0" collapsed="false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62"/>
      <c r="O440" s="262"/>
      <c r="P440" s="262"/>
      <c r="Q440" s="262"/>
      <c r="R440" s="262"/>
      <c r="S440" s="262"/>
      <c r="T440" s="20"/>
      <c r="U440" s="141"/>
      <c r="V440" s="141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</row>
    <row r="441" customFormat="false" ht="12.75" hidden="false" customHeight="true" outlineLevel="0" collapsed="false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62"/>
      <c r="O441" s="262"/>
      <c r="P441" s="262"/>
      <c r="Q441" s="262"/>
      <c r="R441" s="262"/>
      <c r="S441" s="262"/>
      <c r="T441" s="20"/>
      <c r="U441" s="141"/>
      <c r="V441" s="141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</row>
    <row r="442" customFormat="false" ht="12.75" hidden="false" customHeight="true" outlineLevel="0" collapsed="false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62"/>
      <c r="O442" s="262"/>
      <c r="P442" s="262"/>
      <c r="Q442" s="262"/>
      <c r="R442" s="262"/>
      <c r="S442" s="262"/>
      <c r="T442" s="20"/>
      <c r="U442" s="141"/>
      <c r="V442" s="141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</row>
    <row r="443" customFormat="false" ht="12.75" hidden="false" customHeight="true" outlineLevel="0" collapsed="false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62"/>
      <c r="O443" s="262"/>
      <c r="P443" s="262"/>
      <c r="Q443" s="262"/>
      <c r="R443" s="262"/>
      <c r="S443" s="262"/>
      <c r="T443" s="20"/>
      <c r="U443" s="141"/>
      <c r="V443" s="141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</row>
    <row r="444" customFormat="false" ht="12.75" hidden="false" customHeight="true" outlineLevel="0" collapsed="false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62"/>
      <c r="O444" s="262"/>
      <c r="P444" s="262"/>
      <c r="Q444" s="262"/>
      <c r="R444" s="262"/>
      <c r="S444" s="262"/>
      <c r="T444" s="20"/>
      <c r="U444" s="141"/>
      <c r="V444" s="141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</row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3:AI223"/>
  <mergeCells count="6">
    <mergeCell ref="N3:O3"/>
    <mergeCell ref="P3:Q3"/>
    <mergeCell ref="R3:S3"/>
    <mergeCell ref="K36:L36"/>
    <mergeCell ref="K83:L83"/>
    <mergeCell ref="K115:L115"/>
  </mergeCells>
  <conditionalFormatting sqref="Z4">
    <cfRule type="cellIs" priority="2" operator="equal" aboveAverage="0" equalAverage="0" bottom="0" percent="0" rank="0" text="" dxfId="22">
      <formula>"＝"</formula>
    </cfRule>
  </conditionalFormatting>
  <conditionalFormatting sqref="Z4">
    <cfRule type="cellIs" priority="3" operator="equal" aboveAverage="0" equalAverage="0" bottom="0" percent="0" rank="0" text="" dxfId="23">
      <formula>G4</formula>
    </cfRule>
  </conditionalFormatting>
  <conditionalFormatting sqref="Z5">
    <cfRule type="expression" priority="4" aboveAverage="0" equalAverage="0" bottom="0" percent="0" rank="0" text="" dxfId="23">
      <formula>G5</formula>
    </cfRule>
  </conditionalFormatting>
  <hyperlinks>
    <hyperlink ref="G185" r:id="rId2" display="yoshikosugawa@hot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" zeroHeight="false" outlineLevelRow="0" outlineLevelCol="0"/>
  <cols>
    <col collapsed="false" customWidth="true" hidden="false" outlineLevel="0" max="4" min="1" style="1" width="1.63"/>
    <col collapsed="false" customWidth="true" hidden="false" outlineLevel="0" max="5" min="5" style="1" width="2.12"/>
    <col collapsed="false" customWidth="true" hidden="false" outlineLevel="0" max="11" min="6" style="1" width="1.63"/>
    <col collapsed="false" customWidth="true" hidden="false" outlineLevel="0" max="12" min="12" style="1" width="2.63"/>
    <col collapsed="false" customWidth="true" hidden="false" outlineLevel="0" max="13" min="13" style="1" width="3.25"/>
    <col collapsed="false" customWidth="true" hidden="false" outlineLevel="0" max="26" min="14" style="1" width="6.51"/>
  </cols>
  <sheetData>
    <row r="1" customFormat="false" ht="15" hidden="false" customHeight="true" outlineLevel="0" collapsed="false">
      <c r="A1" s="263" t="s">
        <v>1229</v>
      </c>
      <c r="B1" s="264" t="s">
        <v>7</v>
      </c>
      <c r="C1" s="264" t="s">
        <v>1230</v>
      </c>
      <c r="D1" s="264" t="s">
        <v>9</v>
      </c>
      <c r="E1" s="263" t="s">
        <v>1229</v>
      </c>
      <c r="F1" s="264" t="s">
        <v>12</v>
      </c>
      <c r="G1" s="264" t="s">
        <v>13</v>
      </c>
      <c r="H1" s="264" t="s">
        <v>14</v>
      </c>
      <c r="I1" s="264" t="s">
        <v>13</v>
      </c>
      <c r="J1" s="264" t="s">
        <v>91</v>
      </c>
      <c r="K1" s="264" t="s">
        <v>13</v>
      </c>
      <c r="L1" s="265" t="s">
        <v>1231</v>
      </c>
      <c r="M1" s="265" t="s">
        <v>1232</v>
      </c>
    </row>
    <row r="2" customFormat="false" ht="15" hidden="false" customHeight="true" outlineLevel="0" collapsed="false">
      <c r="A2" s="266" t="s">
        <v>116</v>
      </c>
      <c r="B2" s="267" t="s">
        <v>27</v>
      </c>
      <c r="C2" s="267" t="s">
        <v>1233</v>
      </c>
      <c r="D2" s="267" t="s">
        <v>118</v>
      </c>
      <c r="E2" s="266" t="s">
        <v>116</v>
      </c>
      <c r="F2" s="267" t="s">
        <v>1234</v>
      </c>
      <c r="G2" s="267" t="s">
        <v>121</v>
      </c>
      <c r="H2" s="268"/>
      <c r="I2" s="268"/>
      <c r="J2" s="268"/>
      <c r="K2" s="268"/>
      <c r="L2" s="262" t="str">
        <f aca="false">VLOOKUP(A2,'2023当番マスター(旧)'!A:D,4,FALSE())</f>
        <v>田代　　 匠　　　</v>
      </c>
      <c r="M2" s="262" t="str">
        <f aca="false">VLOOKUP(A2,2022当番マスター!A:E,4,FALSE())</f>
        <v>田代　　 匠　　　</v>
      </c>
    </row>
    <row r="3" customFormat="false" ht="15" hidden="false" customHeight="true" outlineLevel="0" collapsed="false">
      <c r="A3" s="266" t="s">
        <v>97</v>
      </c>
      <c r="B3" s="267" t="s">
        <v>27</v>
      </c>
      <c r="C3" s="267" t="s">
        <v>1235</v>
      </c>
      <c r="D3" s="267" t="s">
        <v>99</v>
      </c>
      <c r="E3" s="266" t="s">
        <v>97</v>
      </c>
      <c r="F3" s="267" t="s">
        <v>1236</v>
      </c>
      <c r="G3" s="267" t="s">
        <v>102</v>
      </c>
      <c r="H3" s="268"/>
      <c r="I3" s="268"/>
      <c r="J3" s="268"/>
      <c r="K3" s="268"/>
      <c r="L3" s="262" t="str">
        <f aca="false">VLOOKUP(A3,'2023当番マスター(旧)'!A:D,4,FALSE())</f>
        <v>高瀬　　 瑛太　　</v>
      </c>
      <c r="M3" s="262" t="str">
        <f aca="false">VLOOKUP(A3,2022当番マスター!A:E,4,FALSE())</f>
        <v>高瀬　　 瑛太　　</v>
      </c>
    </row>
    <row r="4" customFormat="false" ht="15" hidden="false" customHeight="true" outlineLevel="0" collapsed="false">
      <c r="A4" s="266" t="s">
        <v>122</v>
      </c>
      <c r="B4" s="267" t="s">
        <v>27</v>
      </c>
      <c r="C4" s="267" t="s">
        <v>1237</v>
      </c>
      <c r="D4" s="267" t="s">
        <v>124</v>
      </c>
      <c r="E4" s="266" t="s">
        <v>122</v>
      </c>
      <c r="F4" s="268"/>
      <c r="G4" s="268"/>
      <c r="H4" s="268"/>
      <c r="I4" s="268"/>
      <c r="J4" s="268"/>
      <c r="K4" s="268"/>
      <c r="L4" s="262" t="str">
        <f aca="false">VLOOKUP(A4,'2023当番マスター(旧)'!A:D,4,FALSE())</f>
        <v>船戸　　 建志　　</v>
      </c>
      <c r="M4" s="262" t="str">
        <f aca="false">VLOOKUP(A4,2022当番マスター!A:E,4,FALSE())</f>
        <v>船戸　　 建志　　</v>
      </c>
    </row>
    <row r="5" customFormat="false" ht="15" hidden="false" customHeight="true" outlineLevel="0" collapsed="false">
      <c r="A5" s="266" t="s">
        <v>110</v>
      </c>
      <c r="B5" s="267" t="s">
        <v>27</v>
      </c>
      <c r="C5" s="267" t="s">
        <v>1238</v>
      </c>
      <c r="D5" s="267" t="s">
        <v>112</v>
      </c>
      <c r="E5" s="266" t="s">
        <v>110</v>
      </c>
      <c r="F5" s="267" t="s">
        <v>1239</v>
      </c>
      <c r="G5" s="267" t="s">
        <v>115</v>
      </c>
      <c r="H5" s="268"/>
      <c r="I5" s="268"/>
      <c r="J5" s="268"/>
      <c r="K5" s="268"/>
      <c r="L5" s="262" t="str">
        <f aca="false">VLOOKUP(A5,'2023当番マスター(旧)'!A:D,4,FALSE())</f>
        <v>津田　　 悠真　　</v>
      </c>
      <c r="M5" s="262" t="str">
        <f aca="false">VLOOKUP(A5,2022当番マスター!A:E,4,FALSE())</f>
        <v>津田　　 悠真　　</v>
      </c>
    </row>
    <row r="6" customFormat="false" ht="15" hidden="false" customHeight="true" outlineLevel="0" collapsed="false">
      <c r="A6" s="266" t="s">
        <v>127</v>
      </c>
      <c r="B6" s="267" t="s">
        <v>27</v>
      </c>
      <c r="C6" s="267" t="s">
        <v>1240</v>
      </c>
      <c r="D6" s="267" t="s">
        <v>129</v>
      </c>
      <c r="E6" s="266" t="s">
        <v>127</v>
      </c>
      <c r="F6" s="267" t="s">
        <v>1241</v>
      </c>
      <c r="G6" s="267" t="s">
        <v>132</v>
      </c>
      <c r="H6" s="268"/>
      <c r="I6" s="268"/>
      <c r="J6" s="268"/>
      <c r="K6" s="268"/>
      <c r="L6" s="262" t="str">
        <f aca="false">VLOOKUP(A6,'2023当番マスター(旧)'!A:D,4,FALSE())</f>
        <v>渡部　　 浩市　　</v>
      </c>
      <c r="M6" s="262" t="str">
        <f aca="false">VLOOKUP(A6,2022当番マスター!A:E,4,FALSE())</f>
        <v>渡部　　 浩市　　</v>
      </c>
    </row>
    <row r="7" customFormat="false" ht="15" hidden="false" customHeight="true" outlineLevel="0" collapsed="false">
      <c r="A7" s="266" t="s">
        <v>198</v>
      </c>
      <c r="B7" s="267" t="s">
        <v>27</v>
      </c>
      <c r="C7" s="267" t="s">
        <v>1242</v>
      </c>
      <c r="D7" s="267" t="s">
        <v>200</v>
      </c>
      <c r="E7" s="266" t="s">
        <v>198</v>
      </c>
      <c r="F7" s="268"/>
      <c r="G7" s="268"/>
      <c r="H7" s="268"/>
      <c r="I7" s="268"/>
      <c r="J7" s="268"/>
      <c r="K7" s="268"/>
      <c r="L7" s="262" t="str">
        <f aca="false">VLOOKUP(A7,'2023当番マスター(旧)'!A:D,4,FALSE())</f>
        <v>塚越　　 豊</v>
      </c>
      <c r="M7" s="262" t="str">
        <f aca="false">VLOOKUP(A7,2022当番マスター!A:E,4,FALSE())</f>
        <v>塚越　　 豊</v>
      </c>
    </row>
    <row r="8" customFormat="false" ht="15" hidden="false" customHeight="true" outlineLevel="0" collapsed="false">
      <c r="A8" s="266" t="s">
        <v>202</v>
      </c>
      <c r="B8" s="267" t="s">
        <v>27</v>
      </c>
      <c r="C8" s="267" t="s">
        <v>1243</v>
      </c>
      <c r="D8" s="267" t="s">
        <v>204</v>
      </c>
      <c r="E8" s="266" t="s">
        <v>202</v>
      </c>
      <c r="F8" s="268"/>
      <c r="G8" s="268"/>
      <c r="H8" s="268"/>
      <c r="I8" s="268"/>
      <c r="J8" s="268"/>
      <c r="K8" s="268"/>
      <c r="L8" s="262" t="str">
        <f aca="false">VLOOKUP(A8,'2023当番マスター(旧)'!A:D,4,FALSE())</f>
        <v>齋藤　　 翔</v>
      </c>
      <c r="M8" s="262" t="str">
        <f aca="false">VLOOKUP(A8,2022当番マスター!A:E,4,FALSE())</f>
        <v>齋藤　　 翔</v>
      </c>
    </row>
    <row r="9" customFormat="false" ht="15" hidden="false" customHeight="true" outlineLevel="0" collapsed="false">
      <c r="A9" s="266" t="s">
        <v>105</v>
      </c>
      <c r="B9" s="267" t="s">
        <v>27</v>
      </c>
      <c r="C9" s="267" t="s">
        <v>1244</v>
      </c>
      <c r="D9" s="267" t="s">
        <v>107</v>
      </c>
      <c r="E9" s="266" t="s">
        <v>105</v>
      </c>
      <c r="F9" s="268"/>
      <c r="G9" s="268"/>
      <c r="H9" s="268"/>
      <c r="I9" s="268"/>
      <c r="J9" s="268"/>
      <c r="K9" s="268"/>
      <c r="L9" s="262" t="str">
        <f aca="false">VLOOKUP(A9,'2023当番マスター(旧)'!A:D,4,FALSE())</f>
        <v>清水　　 悠羽　　</v>
      </c>
      <c r="M9" s="262" t="str">
        <f aca="false">VLOOKUP(A9,2022当番マスター!A:E,4,FALSE())</f>
        <v>清水　　 悠羽　　</v>
      </c>
    </row>
    <row r="10" customFormat="false" ht="15" hidden="false" customHeight="true" outlineLevel="0" collapsed="false">
      <c r="A10" s="266" t="s">
        <v>166</v>
      </c>
      <c r="B10" s="267" t="s">
        <v>27</v>
      </c>
      <c r="C10" s="267" t="s">
        <v>1245</v>
      </c>
      <c r="D10" s="267" t="s">
        <v>168</v>
      </c>
      <c r="E10" s="266" t="s">
        <v>166</v>
      </c>
      <c r="F10" s="267" t="s">
        <v>1241</v>
      </c>
      <c r="G10" s="267" t="s">
        <v>170</v>
      </c>
      <c r="H10" s="268"/>
      <c r="I10" s="268"/>
      <c r="J10" s="268"/>
      <c r="K10" s="268"/>
      <c r="L10" s="262" t="str">
        <f aca="false">VLOOKUP(A10,'2023当番マスター(旧)'!A:D,4,FALSE())</f>
        <v>西島　　 江真　　</v>
      </c>
      <c r="M10" s="262" t="str">
        <f aca="false">VLOOKUP(A10,2022当番マスター!A:E,4,FALSE())</f>
        <v>西島　　 江真　　</v>
      </c>
    </row>
    <row r="11" customFormat="false" ht="15" hidden="false" customHeight="true" outlineLevel="0" collapsed="false">
      <c r="A11" s="266" t="s">
        <v>141</v>
      </c>
      <c r="B11" s="267" t="s">
        <v>27</v>
      </c>
      <c r="C11" s="267" t="s">
        <v>1246</v>
      </c>
      <c r="D11" s="267" t="s">
        <v>143</v>
      </c>
      <c r="E11" s="266" t="s">
        <v>141</v>
      </c>
      <c r="F11" s="268"/>
      <c r="G11" s="268"/>
      <c r="H11" s="268"/>
      <c r="I11" s="268"/>
      <c r="J11" s="268"/>
      <c r="K11" s="268"/>
      <c r="L11" s="262" t="str">
        <f aca="false">VLOOKUP(A11,'2023当番マスター(旧)'!A:D,4,FALSE())</f>
        <v>岩戸　　 友莉菜　</v>
      </c>
      <c r="M11" s="262" t="str">
        <f aca="false">VLOOKUP(A11,2022当番マスター!A:E,4,FALSE())</f>
        <v>岩戸　　 友莉菜　</v>
      </c>
    </row>
    <row r="12" customFormat="false" ht="15" hidden="false" customHeight="true" outlineLevel="0" collapsed="false">
      <c r="A12" s="269" t="s">
        <v>145</v>
      </c>
      <c r="B12" s="267" t="s">
        <v>27</v>
      </c>
      <c r="C12" s="267" t="s">
        <v>1247</v>
      </c>
      <c r="D12" s="267" t="s">
        <v>147</v>
      </c>
      <c r="E12" s="266" t="s">
        <v>145</v>
      </c>
      <c r="F12" s="267" t="s">
        <v>1248</v>
      </c>
      <c r="G12" s="267" t="s">
        <v>151</v>
      </c>
      <c r="H12" s="268"/>
      <c r="I12" s="268"/>
      <c r="J12" s="268"/>
      <c r="K12" s="268"/>
      <c r="L12" s="262" t="str">
        <f aca="false">VLOOKUP(A12,'2023当番マスター(旧)'!A:D,4,FALSE())</f>
        <v>江川　　 椎香　　</v>
      </c>
      <c r="M12" s="262" t="e">
        <f aca="false">VLOOKUP(A12,2022当番マスター!A:E,4,FALSE())</f>
        <v>#N/A</v>
      </c>
    </row>
    <row r="13" customFormat="false" ht="15" hidden="false" customHeight="true" outlineLevel="0" collapsed="false">
      <c r="A13" s="266" t="s">
        <v>194</v>
      </c>
      <c r="B13" s="267" t="s">
        <v>27</v>
      </c>
      <c r="C13" s="267" t="s">
        <v>1249</v>
      </c>
      <c r="D13" s="267" t="s">
        <v>1250</v>
      </c>
      <c r="E13" s="266" t="s">
        <v>194</v>
      </c>
      <c r="F13" s="268"/>
      <c r="G13" s="268"/>
      <c r="H13" s="268"/>
      <c r="I13" s="268"/>
      <c r="J13" s="268"/>
      <c r="K13" s="268"/>
      <c r="L13" s="262" t="str">
        <f aca="false">VLOOKUP(A13,'2023当番マスター(旧)'!A:D,4,FALSE())</f>
        <v>木下　　 さら　　</v>
      </c>
      <c r="M13" s="262" t="str">
        <f aca="false">VLOOKUP(A13,2022当番マスター!A:E,4,FALSE())</f>
        <v>木下　　 さら　　</v>
      </c>
    </row>
    <row r="14" customFormat="false" ht="15" hidden="false" customHeight="true" outlineLevel="0" collapsed="false">
      <c r="A14" s="266" t="s">
        <v>135</v>
      </c>
      <c r="B14" s="267" t="s">
        <v>27</v>
      </c>
      <c r="C14" s="267" t="s">
        <v>1251</v>
      </c>
      <c r="D14" s="267" t="s">
        <v>137</v>
      </c>
      <c r="E14" s="266" t="s">
        <v>135</v>
      </c>
      <c r="F14" s="267" t="s">
        <v>1241</v>
      </c>
      <c r="G14" s="267" t="s">
        <v>139</v>
      </c>
      <c r="H14" s="268"/>
      <c r="I14" s="268"/>
      <c r="J14" s="268"/>
      <c r="K14" s="268"/>
      <c r="L14" s="262" t="str">
        <f aca="false">VLOOKUP(A14,'2023当番マスター(旧)'!A:D,4,FALSE())</f>
        <v>冨永　　 奈央　　</v>
      </c>
      <c r="M14" s="262" t="str">
        <f aca="false">VLOOKUP(A14,2022当番マスター!A:E,4,FALSE())</f>
        <v>冨永　　 奈央　　</v>
      </c>
    </row>
    <row r="15" customFormat="false" ht="15" hidden="false" customHeight="true" outlineLevel="0" collapsed="false">
      <c r="A15" s="266" t="s">
        <v>173</v>
      </c>
      <c r="B15" s="267" t="s">
        <v>27</v>
      </c>
      <c r="C15" s="267" t="s">
        <v>1252</v>
      </c>
      <c r="D15" s="267" t="s">
        <v>175</v>
      </c>
      <c r="E15" s="266" t="s">
        <v>173</v>
      </c>
      <c r="F15" s="268"/>
      <c r="G15" s="268"/>
      <c r="H15" s="268"/>
      <c r="I15" s="268"/>
      <c r="J15" s="268"/>
      <c r="K15" s="268"/>
      <c r="L15" s="262" t="str">
        <f aca="false">VLOOKUP(A15,'2023当番マスター(旧)'!A:D,4,FALSE())</f>
        <v>ホーイ　 碧蘭　　</v>
      </c>
      <c r="M15" s="262" t="str">
        <f aca="false">VLOOKUP(A15,2022当番マスター!A:E,4,FALSE())</f>
        <v>ホーイ　 碧蘭　　</v>
      </c>
    </row>
    <row r="16" customFormat="false" ht="15" hidden="false" customHeight="true" outlineLevel="0" collapsed="false">
      <c r="A16" s="266" t="s">
        <v>179</v>
      </c>
      <c r="B16" s="267" t="s">
        <v>27</v>
      </c>
      <c r="C16" s="267" t="s">
        <v>1253</v>
      </c>
      <c r="D16" s="267" t="s">
        <v>181</v>
      </c>
      <c r="E16" s="266" t="s">
        <v>179</v>
      </c>
      <c r="F16" s="267" t="s">
        <v>1254</v>
      </c>
      <c r="G16" s="267" t="s">
        <v>184</v>
      </c>
      <c r="H16" s="267" t="s">
        <v>1255</v>
      </c>
      <c r="I16" s="267" t="s">
        <v>186</v>
      </c>
      <c r="J16" s="268"/>
      <c r="K16" s="268"/>
      <c r="L16" s="262" t="str">
        <f aca="false">VLOOKUP(A16,'2023当番マスター(旧)'!A:D,4,FALSE())</f>
        <v>六反　　 梛月　　</v>
      </c>
      <c r="M16" s="262" t="str">
        <f aca="false">VLOOKUP(A16,2022当番マスター!A:E,4,FALSE())</f>
        <v>六反　　 梛月　　</v>
      </c>
    </row>
    <row r="17" customFormat="false" ht="15" hidden="false" customHeight="true" outlineLevel="0" collapsed="false">
      <c r="A17" s="266" t="s">
        <v>187</v>
      </c>
      <c r="B17" s="267" t="s">
        <v>27</v>
      </c>
      <c r="C17" s="267" t="s">
        <v>1256</v>
      </c>
      <c r="D17" s="267" t="s">
        <v>189</v>
      </c>
      <c r="E17" s="266" t="s">
        <v>187</v>
      </c>
      <c r="F17" s="267" t="s">
        <v>1239</v>
      </c>
      <c r="G17" s="267" t="s">
        <v>191</v>
      </c>
      <c r="H17" s="267" t="s">
        <v>1248</v>
      </c>
      <c r="I17" s="267" t="s">
        <v>192</v>
      </c>
      <c r="J17" s="268"/>
      <c r="K17" s="268"/>
      <c r="L17" s="262" t="str">
        <f aca="false">VLOOKUP(A17,'2023当番マスター(旧)'!A:D,4,FALSE())</f>
        <v>伊藤　　 みずき　</v>
      </c>
      <c r="M17" s="262" t="str">
        <f aca="false">VLOOKUP(A17,2022当番マスター!A:E,4,FALSE())</f>
        <v>伊藤　　 みずき　</v>
      </c>
    </row>
    <row r="18" customFormat="false" ht="15" hidden="false" customHeight="true" outlineLevel="0" collapsed="false">
      <c r="A18" s="266" t="s">
        <v>160</v>
      </c>
      <c r="B18" s="267" t="s">
        <v>27</v>
      </c>
      <c r="C18" s="267" t="s">
        <v>1257</v>
      </c>
      <c r="D18" s="267" t="s">
        <v>162</v>
      </c>
      <c r="E18" s="266" t="s">
        <v>160</v>
      </c>
      <c r="F18" s="267" t="s">
        <v>1241</v>
      </c>
      <c r="G18" s="267" t="s">
        <v>164</v>
      </c>
      <c r="H18" s="268"/>
      <c r="I18" s="268"/>
      <c r="J18" s="268"/>
      <c r="K18" s="268"/>
      <c r="L18" s="262" t="str">
        <f aca="false">VLOOKUP(A18,'2023当番マスター(旧)'!A:D,4,FALSE())</f>
        <v>川部　　 和紗　　</v>
      </c>
      <c r="M18" s="262" t="str">
        <f aca="false">VLOOKUP(A18,2022当番マスター!A:E,4,FALSE())</f>
        <v>川部　　 和紗　　</v>
      </c>
    </row>
    <row r="19" customFormat="false" ht="15" hidden="false" customHeight="true" outlineLevel="0" collapsed="false">
      <c r="A19" s="266" t="s">
        <v>153</v>
      </c>
      <c r="B19" s="267" t="s">
        <v>27</v>
      </c>
      <c r="C19" s="267" t="s">
        <v>1258</v>
      </c>
      <c r="D19" s="267" t="s">
        <v>155</v>
      </c>
      <c r="E19" s="266" t="s">
        <v>153</v>
      </c>
      <c r="F19" s="267" t="s">
        <v>1241</v>
      </c>
      <c r="G19" s="267" t="s">
        <v>157</v>
      </c>
      <c r="H19" s="267" t="s">
        <v>1234</v>
      </c>
      <c r="I19" s="267" t="s">
        <v>158</v>
      </c>
      <c r="J19" s="268"/>
      <c r="K19" s="268"/>
      <c r="L19" s="262" t="str">
        <f aca="false">VLOOKUP(A19,'2023当番マスター(旧)'!A:D,4,FALSE())</f>
        <v>佐藤　　 友紀美　</v>
      </c>
      <c r="M19" s="262" t="str">
        <f aca="false">VLOOKUP(A19,2022当番マスター!A:E,4,FALSE())</f>
        <v>佐藤　　 友紀美　</v>
      </c>
    </row>
    <row r="20" customFormat="false" ht="15" hidden="false" customHeight="true" outlineLevel="0" collapsed="false">
      <c r="A20" s="266" t="s">
        <v>206</v>
      </c>
      <c r="B20" s="267" t="s">
        <v>207</v>
      </c>
      <c r="C20" s="267" t="s">
        <v>1259</v>
      </c>
      <c r="D20" s="267" t="s">
        <v>209</v>
      </c>
      <c r="E20" s="266" t="s">
        <v>206</v>
      </c>
      <c r="F20" s="268"/>
      <c r="G20" s="268"/>
      <c r="H20" s="268"/>
      <c r="I20" s="268"/>
      <c r="J20" s="268"/>
      <c r="K20" s="268"/>
      <c r="L20" s="262" t="str">
        <f aca="false">VLOOKUP(A20,'2023当番マスター(旧)'!A:D,4,FALSE())</f>
        <v>山﨑　　 圭悟　　</v>
      </c>
      <c r="M20" s="262" t="str">
        <f aca="false">VLOOKUP(A20,2022当番マスター!A:E,4,FALSE())</f>
        <v>山﨑　　 圭悟　　</v>
      </c>
    </row>
    <row r="21" customFormat="false" ht="15" hidden="false" customHeight="true" outlineLevel="0" collapsed="false">
      <c r="A21" s="266" t="s">
        <v>235</v>
      </c>
      <c r="B21" s="267" t="s">
        <v>207</v>
      </c>
      <c r="C21" s="267" t="s">
        <v>1260</v>
      </c>
      <c r="D21" s="267" t="s">
        <v>237</v>
      </c>
      <c r="E21" s="266" t="s">
        <v>235</v>
      </c>
      <c r="F21" s="267" t="s">
        <v>1236</v>
      </c>
      <c r="G21" s="267" t="s">
        <v>239</v>
      </c>
      <c r="H21" s="268"/>
      <c r="I21" s="268"/>
      <c r="J21" s="268"/>
      <c r="K21" s="268"/>
      <c r="L21" s="262" t="str">
        <f aca="false">VLOOKUP(A21,'2023当番マスター(旧)'!A:D,4,FALSE())</f>
        <v>宮嶋　　 悠一郎　</v>
      </c>
      <c r="M21" s="262" t="str">
        <f aca="false">VLOOKUP(A21,2022当番マスター!A:E,4,FALSE())</f>
        <v>宮嶋　　 悠一郎　</v>
      </c>
    </row>
    <row r="22" customFormat="false" ht="15" hidden="false" customHeight="true" outlineLevel="0" collapsed="false">
      <c r="A22" s="266" t="s">
        <v>211</v>
      </c>
      <c r="B22" s="267" t="s">
        <v>207</v>
      </c>
      <c r="C22" s="267" t="s">
        <v>1261</v>
      </c>
      <c r="D22" s="267" t="s">
        <v>213</v>
      </c>
      <c r="E22" s="266" t="s">
        <v>211</v>
      </c>
      <c r="F22" s="267" t="s">
        <v>1262</v>
      </c>
      <c r="G22" s="267" t="s">
        <v>216</v>
      </c>
      <c r="H22" s="268"/>
      <c r="I22" s="268"/>
      <c r="J22" s="268"/>
      <c r="K22" s="268"/>
      <c r="L22" s="262" t="str">
        <f aca="false">VLOOKUP(A22,'2023当番マスター(旧)'!A:D,4,FALSE())</f>
        <v>山口　　 将太　　</v>
      </c>
      <c r="M22" s="262" t="str">
        <f aca="false">VLOOKUP(A22,2022当番マスター!A:E,4,FALSE())</f>
        <v>山口　　 将太　　</v>
      </c>
    </row>
    <row r="23" customFormat="false" ht="15" hidden="false" customHeight="true" outlineLevel="0" collapsed="false">
      <c r="A23" s="266" t="s">
        <v>219</v>
      </c>
      <c r="B23" s="267" t="s">
        <v>207</v>
      </c>
      <c r="C23" s="267" t="s">
        <v>1263</v>
      </c>
      <c r="D23" s="267" t="s">
        <v>221</v>
      </c>
      <c r="E23" s="266" t="s">
        <v>219</v>
      </c>
      <c r="F23" s="267" t="s">
        <v>1241</v>
      </c>
      <c r="G23" s="267" t="s">
        <v>223</v>
      </c>
      <c r="H23" s="268"/>
      <c r="I23" s="268"/>
      <c r="J23" s="268"/>
      <c r="K23" s="268"/>
      <c r="L23" s="262" t="str">
        <f aca="false">VLOOKUP(A23,'2023当番マスター(旧)'!A:D,4,FALSE())</f>
        <v>池永　　 海生　　</v>
      </c>
      <c r="M23" s="262" t="str">
        <f aca="false">VLOOKUP(A23,2022当番マスター!A:E,4,FALSE())</f>
        <v>池永　　 海生　　</v>
      </c>
    </row>
    <row r="24" customFormat="false" ht="15" hidden="false" customHeight="true" outlineLevel="0" collapsed="false">
      <c r="A24" s="266" t="s">
        <v>225</v>
      </c>
      <c r="B24" s="267" t="s">
        <v>207</v>
      </c>
      <c r="C24" s="267" t="s">
        <v>1264</v>
      </c>
      <c r="D24" s="267" t="s">
        <v>227</v>
      </c>
      <c r="E24" s="266" t="s">
        <v>225</v>
      </c>
      <c r="F24" s="267" t="s">
        <v>1239</v>
      </c>
      <c r="G24" s="267" t="s">
        <v>229</v>
      </c>
      <c r="H24" s="268"/>
      <c r="I24" s="268"/>
      <c r="J24" s="268"/>
      <c r="K24" s="268"/>
      <c r="L24" s="262" t="str">
        <f aca="false">VLOOKUP(A24,'2023当番マスター(旧)'!A:D,4,FALSE())</f>
        <v>小田　　 哲哉　　</v>
      </c>
      <c r="M24" s="262" t="str">
        <f aca="false">VLOOKUP(A24,2022当番マスター!A:E,4,FALSE())</f>
        <v>小田　　 哲哉　　</v>
      </c>
    </row>
    <row r="25" customFormat="false" ht="15" hidden="false" customHeight="true" outlineLevel="0" collapsed="false">
      <c r="A25" s="266" t="s">
        <v>1265</v>
      </c>
      <c r="B25" s="267" t="s">
        <v>207</v>
      </c>
      <c r="C25" s="267" t="s">
        <v>1266</v>
      </c>
      <c r="D25" s="267" t="s">
        <v>1267</v>
      </c>
      <c r="E25" s="266" t="s">
        <v>1265</v>
      </c>
      <c r="F25" s="267" t="s">
        <v>1234</v>
      </c>
      <c r="G25" s="267" t="s">
        <v>1268</v>
      </c>
      <c r="H25" s="268"/>
      <c r="I25" s="268"/>
      <c r="J25" s="268"/>
      <c r="K25" s="268"/>
      <c r="L25" s="262" t="e">
        <f aca="false">VLOOKUP(A25,'2023当番マスター(旧)'!A:D,4,FALSE())</f>
        <v>#N/A</v>
      </c>
      <c r="M25" s="262" t="str">
        <f aca="false">VLOOKUP(A25,2022当番マスター!A:E,4,FALSE())</f>
        <v>作元　　 瑛太　　</v>
      </c>
    </row>
    <row r="26" customFormat="false" ht="15" hidden="false" customHeight="true" outlineLevel="0" collapsed="false">
      <c r="A26" s="266" t="s">
        <v>293</v>
      </c>
      <c r="B26" s="267" t="s">
        <v>207</v>
      </c>
      <c r="C26" s="267" t="s">
        <v>1269</v>
      </c>
      <c r="D26" s="267" t="s">
        <v>295</v>
      </c>
      <c r="E26" s="266" t="s">
        <v>293</v>
      </c>
      <c r="F26" s="267" t="s">
        <v>1234</v>
      </c>
      <c r="G26" s="267" t="s">
        <v>297</v>
      </c>
      <c r="H26" s="267" t="s">
        <v>1255</v>
      </c>
      <c r="I26" s="267" t="s">
        <v>298</v>
      </c>
      <c r="J26" s="268"/>
      <c r="K26" s="268"/>
      <c r="L26" s="262" t="str">
        <f aca="false">VLOOKUP(A26,'2023当番マスター(旧)'!A:D,4,FALSE())</f>
        <v>西　　　 竜輝　　</v>
      </c>
      <c r="M26" s="262" t="str">
        <f aca="false">VLOOKUP(A26,2022当番マスター!A:E,4,FALSE())</f>
        <v>西　　　 竜輝　　</v>
      </c>
    </row>
    <row r="27" customFormat="false" ht="15" hidden="false" customHeight="true" outlineLevel="0" collapsed="false">
      <c r="A27" s="266" t="s">
        <v>230</v>
      </c>
      <c r="B27" s="267" t="s">
        <v>207</v>
      </c>
      <c r="C27" s="267" t="s">
        <v>1270</v>
      </c>
      <c r="D27" s="267" t="s">
        <v>232</v>
      </c>
      <c r="E27" s="266" t="s">
        <v>230</v>
      </c>
      <c r="F27" s="268"/>
      <c r="G27" s="268"/>
      <c r="H27" s="268"/>
      <c r="I27" s="268"/>
      <c r="J27" s="268"/>
      <c r="K27" s="268"/>
      <c r="L27" s="262" t="str">
        <f aca="false">VLOOKUP(A27,'2023当番マスター(旧)'!A:D,4,FALSE())</f>
        <v>鈴木　　 康平　　</v>
      </c>
      <c r="M27" s="262" t="str">
        <f aca="false">VLOOKUP(A27,2022当番マスター!A:E,4,FALSE())</f>
        <v>鈴木　　 康平　　</v>
      </c>
    </row>
    <row r="28" customFormat="false" ht="15" hidden="false" customHeight="true" outlineLevel="0" collapsed="false">
      <c r="A28" s="266" t="s">
        <v>281</v>
      </c>
      <c r="B28" s="267" t="s">
        <v>207</v>
      </c>
      <c r="C28" s="267" t="s">
        <v>1271</v>
      </c>
      <c r="D28" s="267" t="s">
        <v>283</v>
      </c>
      <c r="E28" s="266" t="s">
        <v>281</v>
      </c>
      <c r="F28" s="267" t="s">
        <v>1241</v>
      </c>
      <c r="G28" s="267" t="s">
        <v>285</v>
      </c>
      <c r="H28" s="267" t="s">
        <v>1272</v>
      </c>
      <c r="I28" s="267" t="s">
        <v>287</v>
      </c>
      <c r="J28" s="268"/>
      <c r="K28" s="268"/>
      <c r="L28" s="262" t="str">
        <f aca="false">VLOOKUP(A28,'2023当番マスター(旧)'!A:D,4,FALSE())</f>
        <v>山根　　 悠希</v>
      </c>
      <c r="M28" s="262" t="str">
        <f aca="false">VLOOKUP(A28,2022当番マスター!A:E,4,FALSE())</f>
        <v>山根　　 悠希</v>
      </c>
    </row>
    <row r="29" customFormat="false" ht="15" hidden="false" customHeight="true" outlineLevel="0" collapsed="false">
      <c r="A29" s="266" t="s">
        <v>242</v>
      </c>
      <c r="B29" s="267" t="s">
        <v>207</v>
      </c>
      <c r="C29" s="267" t="s">
        <v>1273</v>
      </c>
      <c r="D29" s="267" t="s">
        <v>244</v>
      </c>
      <c r="E29" s="266" t="s">
        <v>242</v>
      </c>
      <c r="F29" s="268"/>
      <c r="G29" s="268"/>
      <c r="H29" s="268"/>
      <c r="I29" s="268"/>
      <c r="J29" s="268"/>
      <c r="K29" s="268"/>
      <c r="L29" s="262" t="str">
        <f aca="false">VLOOKUP(A29,'2023当番マスター(旧)'!A:D,4,FALSE())</f>
        <v>篠原　　 佳也　　</v>
      </c>
      <c r="M29" s="262" t="str">
        <f aca="false">VLOOKUP(A29,2022当番マスター!A:E,4,FALSE())</f>
        <v>篠原　　 佳也　　</v>
      </c>
    </row>
    <row r="30" customFormat="false" ht="15" hidden="false" customHeight="true" outlineLevel="0" collapsed="false">
      <c r="A30" s="266" t="s">
        <v>257</v>
      </c>
      <c r="B30" s="267" t="s">
        <v>207</v>
      </c>
      <c r="C30" s="267" t="s">
        <v>1274</v>
      </c>
      <c r="D30" s="267" t="s">
        <v>259</v>
      </c>
      <c r="E30" s="266" t="s">
        <v>257</v>
      </c>
      <c r="F30" s="267" t="s">
        <v>1248</v>
      </c>
      <c r="G30" s="267" t="s">
        <v>261</v>
      </c>
      <c r="H30" s="268"/>
      <c r="I30" s="268"/>
      <c r="J30" s="268"/>
      <c r="K30" s="268"/>
      <c r="L30" s="262" t="str">
        <f aca="false">VLOOKUP(A30,'2023当番マスター(旧)'!A:D,4,FALSE())</f>
        <v>近藤　　 さくら　</v>
      </c>
      <c r="M30" s="262" t="str">
        <f aca="false">VLOOKUP(A30,2022当番マスター!A:E,4,FALSE())</f>
        <v>近藤　　 さくら　</v>
      </c>
    </row>
    <row r="31" customFormat="false" ht="15" hidden="false" customHeight="true" outlineLevel="0" collapsed="false">
      <c r="A31" s="266" t="s">
        <v>262</v>
      </c>
      <c r="B31" s="267" t="s">
        <v>207</v>
      </c>
      <c r="C31" s="267" t="s">
        <v>1275</v>
      </c>
      <c r="D31" s="267" t="s">
        <v>264</v>
      </c>
      <c r="E31" s="266" t="s">
        <v>262</v>
      </c>
      <c r="F31" s="268"/>
      <c r="G31" s="268"/>
      <c r="H31" s="268"/>
      <c r="I31" s="268"/>
      <c r="J31" s="268"/>
      <c r="K31" s="268"/>
      <c r="L31" s="262" t="str">
        <f aca="false">VLOOKUP(A31,'2023当番マスター(旧)'!A:D,4,FALSE())</f>
        <v>富澤　　 結衣　　</v>
      </c>
      <c r="M31" s="262" t="str">
        <f aca="false">VLOOKUP(A31,2022当番マスター!A:E,4,FALSE())</f>
        <v>富澤　　 結衣　　</v>
      </c>
    </row>
    <row r="32" customFormat="false" ht="15" hidden="false" customHeight="true" outlineLevel="0" collapsed="false">
      <c r="A32" s="266" t="s">
        <v>266</v>
      </c>
      <c r="B32" s="267" t="s">
        <v>207</v>
      </c>
      <c r="C32" s="267" t="s">
        <v>1276</v>
      </c>
      <c r="D32" s="267" t="s">
        <v>268</v>
      </c>
      <c r="E32" s="266" t="s">
        <v>266</v>
      </c>
      <c r="F32" s="267" t="s">
        <v>1248</v>
      </c>
      <c r="G32" s="267" t="s">
        <v>270</v>
      </c>
      <c r="H32" s="268"/>
      <c r="I32" s="268"/>
      <c r="J32" s="268"/>
      <c r="K32" s="268"/>
      <c r="L32" s="262" t="str">
        <f aca="false">VLOOKUP(A32,'2023当番マスター(旧)'!A:D,4,FALSE())</f>
        <v>林　　　 美和　　</v>
      </c>
      <c r="M32" s="262" t="str">
        <f aca="false">VLOOKUP(A32,2022当番マスター!A:E,4,FALSE())</f>
        <v>林　　　 美和　　</v>
      </c>
    </row>
    <row r="33" customFormat="false" ht="15" hidden="false" customHeight="true" outlineLevel="0" collapsed="false">
      <c r="A33" s="266" t="s">
        <v>272</v>
      </c>
      <c r="B33" s="267" t="s">
        <v>207</v>
      </c>
      <c r="C33" s="267" t="s">
        <v>1277</v>
      </c>
      <c r="D33" s="267" t="s">
        <v>274</v>
      </c>
      <c r="E33" s="266" t="s">
        <v>272</v>
      </c>
      <c r="F33" s="268"/>
      <c r="G33" s="268"/>
      <c r="H33" s="268"/>
      <c r="I33" s="268"/>
      <c r="J33" s="268"/>
      <c r="K33" s="268"/>
      <c r="L33" s="262" t="str">
        <f aca="false">VLOOKUP(A33,'2023当番マスター(旧)'!A:D,4,FALSE())</f>
        <v>益田　　 華　　　</v>
      </c>
      <c r="M33" s="262" t="str">
        <f aca="false">VLOOKUP(A33,2022当番マスター!A:E,4,FALSE())</f>
        <v>益田　　 華　　　</v>
      </c>
    </row>
    <row r="34" customFormat="false" ht="15" hidden="false" customHeight="true" outlineLevel="0" collapsed="false">
      <c r="A34" s="266" t="s">
        <v>277</v>
      </c>
      <c r="B34" s="267" t="s">
        <v>207</v>
      </c>
      <c r="C34" s="267" t="s">
        <v>1278</v>
      </c>
      <c r="D34" s="267" t="s">
        <v>279</v>
      </c>
      <c r="E34" s="266" t="s">
        <v>277</v>
      </c>
      <c r="F34" s="268"/>
      <c r="G34" s="268"/>
      <c r="H34" s="268"/>
      <c r="I34" s="268"/>
      <c r="J34" s="268"/>
      <c r="K34" s="268"/>
      <c r="L34" s="262" t="str">
        <f aca="false">VLOOKUP(A34,'2023当番マスター(旧)'!A:D,4,FALSE())</f>
        <v>森本　　 七瀬　　</v>
      </c>
      <c r="M34" s="262" t="str">
        <f aca="false">VLOOKUP(A34,2022当番マスター!A:E,4,FALSE())</f>
        <v>森本　　 七瀬　　</v>
      </c>
    </row>
    <row r="35" customFormat="false" ht="15" hidden="false" customHeight="true" outlineLevel="0" collapsed="false">
      <c r="A35" s="266" t="s">
        <v>246</v>
      </c>
      <c r="B35" s="267" t="s">
        <v>207</v>
      </c>
      <c r="C35" s="267" t="s">
        <v>1279</v>
      </c>
      <c r="D35" s="267" t="s">
        <v>248</v>
      </c>
      <c r="E35" s="266" t="s">
        <v>246</v>
      </c>
      <c r="F35" s="267" t="s">
        <v>1280</v>
      </c>
      <c r="G35" s="267" t="s">
        <v>251</v>
      </c>
      <c r="H35" s="268"/>
      <c r="I35" s="268"/>
      <c r="J35" s="268"/>
      <c r="K35" s="268"/>
      <c r="L35" s="262" t="str">
        <f aca="false">VLOOKUP(A35,'2023当番マスター(旧)'!A:D,4,FALSE())</f>
        <v>綾部　　 櫻　　　</v>
      </c>
      <c r="M35" s="262" t="str">
        <f aca="false">VLOOKUP(A35,2022当番マスター!A:E,4,FALSE())</f>
        <v>綾部　　 櫻　　　</v>
      </c>
    </row>
    <row r="36" customFormat="false" ht="15" hidden="false" customHeight="true" outlineLevel="0" collapsed="false">
      <c r="A36" s="266" t="s">
        <v>1281</v>
      </c>
      <c r="B36" s="267" t="s">
        <v>207</v>
      </c>
      <c r="C36" s="267" t="s">
        <v>1282</v>
      </c>
      <c r="D36" s="267" t="s">
        <v>1283</v>
      </c>
      <c r="E36" s="266" t="s">
        <v>1281</v>
      </c>
      <c r="F36" s="267" t="s">
        <v>1248</v>
      </c>
      <c r="G36" s="267" t="s">
        <v>1284</v>
      </c>
      <c r="H36" s="268"/>
      <c r="I36" s="268"/>
      <c r="J36" s="268"/>
      <c r="K36" s="268"/>
      <c r="L36" s="262" t="e">
        <f aca="false">VLOOKUP(A36,'2023当番マスター(旧)'!A:D,4,FALSE())</f>
        <v>#N/A</v>
      </c>
      <c r="M36" s="262" t="str">
        <f aca="false">VLOOKUP(A36,2022当番マスター!A:E,4,FALSE())</f>
        <v>木本　　 咲衣　　</v>
      </c>
    </row>
    <row r="37" customFormat="false" ht="15" hidden="false" customHeight="true" outlineLevel="0" collapsed="false">
      <c r="A37" s="266" t="s">
        <v>288</v>
      </c>
      <c r="B37" s="267" t="s">
        <v>207</v>
      </c>
      <c r="C37" s="267" t="s">
        <v>1285</v>
      </c>
      <c r="D37" s="267" t="s">
        <v>290</v>
      </c>
      <c r="E37" s="266" t="s">
        <v>288</v>
      </c>
      <c r="F37" s="267" t="s">
        <v>1254</v>
      </c>
      <c r="G37" s="267" t="s">
        <v>292</v>
      </c>
      <c r="H37" s="268"/>
      <c r="I37" s="268"/>
      <c r="J37" s="268"/>
      <c r="K37" s="268"/>
      <c r="L37" s="262" t="str">
        <f aca="false">VLOOKUP(A37,'2023当番マスター(旧)'!A:D,4,FALSE())</f>
        <v>磯部　　 美桜</v>
      </c>
      <c r="M37" s="262" t="str">
        <f aca="false">VLOOKUP(A37,2022当番マスター!A:E,4,FALSE())</f>
        <v>磯部　　 美桜</v>
      </c>
    </row>
    <row r="38" customFormat="false" ht="15.75" hidden="false" customHeight="true" outlineLevel="0" collapsed="false">
      <c r="A38" s="266" t="s">
        <v>253</v>
      </c>
      <c r="B38" s="267" t="s">
        <v>207</v>
      </c>
      <c r="C38" s="267" t="s">
        <v>1286</v>
      </c>
      <c r="D38" s="267" t="s">
        <v>255</v>
      </c>
      <c r="E38" s="266" t="s">
        <v>253</v>
      </c>
      <c r="F38" s="268"/>
      <c r="G38" s="268"/>
      <c r="H38" s="268"/>
      <c r="I38" s="268"/>
      <c r="J38" s="268"/>
      <c r="K38" s="268"/>
      <c r="L38" s="262" t="str">
        <f aca="false">VLOOKUP(A38,'2023当番マスター(旧)'!A:D,4,FALSE())</f>
        <v>神村　　 咲奈　　</v>
      </c>
      <c r="M38" s="262" t="str">
        <f aca="false">VLOOKUP(A38,2022当番マスター!A:E,4,FALSE())</f>
        <v>神村　　 咲奈　　</v>
      </c>
    </row>
    <row r="39" customFormat="false" ht="15.75" hidden="false" customHeight="true" outlineLevel="0" collapsed="false">
      <c r="A39" s="266" t="s">
        <v>301</v>
      </c>
      <c r="B39" s="267" t="s">
        <v>1287</v>
      </c>
      <c r="C39" s="267" t="s">
        <v>1288</v>
      </c>
      <c r="D39" s="267" t="s">
        <v>268</v>
      </c>
      <c r="E39" s="266" t="s">
        <v>301</v>
      </c>
      <c r="F39" s="268"/>
      <c r="G39" s="268"/>
      <c r="H39" s="268"/>
      <c r="I39" s="268"/>
      <c r="J39" s="268"/>
      <c r="K39" s="268"/>
      <c r="L39" s="262" t="str">
        <f aca="false">VLOOKUP(A39,'2023当番マスター(旧)'!A:D,4,FALSE())</f>
        <v>上原　　 圭翔　　</v>
      </c>
      <c r="M39" s="262" t="str">
        <f aca="false">VLOOKUP(A39,2022当番マスター!A:E,4,FALSE())</f>
        <v>上原　　 圭翔　　</v>
      </c>
    </row>
    <row r="40" customFormat="false" ht="15.75" hidden="false" customHeight="true" outlineLevel="0" collapsed="false">
      <c r="A40" s="266" t="s">
        <v>307</v>
      </c>
      <c r="B40" s="267" t="s">
        <v>1287</v>
      </c>
      <c r="C40" s="267" t="s">
        <v>1289</v>
      </c>
      <c r="D40" s="267" t="s">
        <v>309</v>
      </c>
      <c r="E40" s="266" t="s">
        <v>307</v>
      </c>
      <c r="F40" s="268"/>
      <c r="G40" s="268"/>
      <c r="H40" s="268"/>
      <c r="I40" s="268"/>
      <c r="J40" s="268"/>
      <c r="K40" s="268"/>
      <c r="L40" s="262" t="str">
        <f aca="false">VLOOKUP(A40,'2023当番マスター(旧)'!A:D,4,FALSE())</f>
        <v>鈴木　　 賢斗　　</v>
      </c>
      <c r="M40" s="262" t="str">
        <f aca="false">VLOOKUP(A40,2022当番マスター!A:E,4,FALSE())</f>
        <v>鈴木　　 賢斗　　</v>
      </c>
    </row>
    <row r="41" customFormat="false" ht="15.75" hidden="false" customHeight="true" outlineLevel="0" collapsed="false">
      <c r="A41" s="266" t="s">
        <v>311</v>
      </c>
      <c r="B41" s="267" t="s">
        <v>1287</v>
      </c>
      <c r="C41" s="267" t="s">
        <v>1290</v>
      </c>
      <c r="D41" s="267" t="s">
        <v>313</v>
      </c>
      <c r="E41" s="266" t="s">
        <v>311</v>
      </c>
      <c r="F41" s="267" t="s">
        <v>1236</v>
      </c>
      <c r="G41" s="267" t="s">
        <v>316</v>
      </c>
      <c r="H41" s="268"/>
      <c r="I41" s="268"/>
      <c r="J41" s="268"/>
      <c r="K41" s="268"/>
      <c r="L41" s="262" t="str">
        <f aca="false">VLOOKUP(A41,'2023当番マスター(旧)'!A:D,4,FALSE())</f>
        <v>齋藤　　 鉄平　　</v>
      </c>
      <c r="M41" s="262" t="str">
        <f aca="false">VLOOKUP(A41,2022当番マスター!A:E,4,FALSE())</f>
        <v>齋藤　　 鉄平　　</v>
      </c>
    </row>
    <row r="42" customFormat="false" ht="15.75" hidden="false" customHeight="true" outlineLevel="0" collapsed="false">
      <c r="A42" s="266" t="s">
        <v>318</v>
      </c>
      <c r="B42" s="267" t="s">
        <v>1287</v>
      </c>
      <c r="C42" s="267" t="s">
        <v>1291</v>
      </c>
      <c r="D42" s="267" t="s">
        <v>320</v>
      </c>
      <c r="E42" s="266" t="s">
        <v>318</v>
      </c>
      <c r="F42" s="267" t="s">
        <v>1292</v>
      </c>
      <c r="G42" s="267" t="s">
        <v>323</v>
      </c>
      <c r="H42" s="268"/>
      <c r="I42" s="268"/>
      <c r="J42" s="268"/>
      <c r="K42" s="268"/>
      <c r="L42" s="262" t="str">
        <f aca="false">VLOOKUP(A42,'2023当番マスター(旧)'!A:D,4,FALSE())</f>
        <v>渡辺　　 琳久　　</v>
      </c>
      <c r="M42" s="262" t="str">
        <f aca="false">VLOOKUP(A42,2022当番マスター!A:E,4,FALSE())</f>
        <v>渡辺　　 琳久　　</v>
      </c>
    </row>
    <row r="43" customFormat="false" ht="15.75" hidden="false" customHeight="true" outlineLevel="0" collapsed="false">
      <c r="A43" s="266" t="s">
        <v>325</v>
      </c>
      <c r="B43" s="267" t="s">
        <v>1287</v>
      </c>
      <c r="C43" s="267" t="s">
        <v>1293</v>
      </c>
      <c r="D43" s="267" t="s">
        <v>327</v>
      </c>
      <c r="E43" s="266" t="s">
        <v>325</v>
      </c>
      <c r="F43" s="267" t="s">
        <v>1262</v>
      </c>
      <c r="G43" s="267" t="s">
        <v>329</v>
      </c>
      <c r="H43" s="268"/>
      <c r="I43" s="268"/>
      <c r="J43" s="268"/>
      <c r="K43" s="268"/>
      <c r="L43" s="262" t="str">
        <f aca="false">VLOOKUP(A43,'2023当番マスター(旧)'!A:D,4,FALSE())</f>
        <v>井手　　 康平　　</v>
      </c>
      <c r="M43" s="262" t="str">
        <f aca="false">VLOOKUP(A43,2022当番マスター!A:E,4,FALSE())</f>
        <v>井手　　 康平　　</v>
      </c>
    </row>
    <row r="44" customFormat="false" ht="15.75" hidden="false" customHeight="true" outlineLevel="0" collapsed="false">
      <c r="A44" s="266" t="s">
        <v>397</v>
      </c>
      <c r="B44" s="267" t="s">
        <v>1287</v>
      </c>
      <c r="C44" s="267" t="s">
        <v>1294</v>
      </c>
      <c r="D44" s="267" t="s">
        <v>400</v>
      </c>
      <c r="E44" s="266" t="s">
        <v>397</v>
      </c>
      <c r="F44" s="267" t="s">
        <v>1295</v>
      </c>
      <c r="G44" s="267" t="s">
        <v>403</v>
      </c>
      <c r="H44" s="268"/>
      <c r="I44" s="268"/>
      <c r="J44" s="268"/>
      <c r="K44" s="268"/>
      <c r="L44" s="262" t="str">
        <f aca="false">VLOOKUP(A44,'2023当番マスター(旧)'!A:D,4,FALSE())</f>
        <v>小島　　 蒔人</v>
      </c>
      <c r="M44" s="262" t="str">
        <f aca="false">VLOOKUP(A44,2022当番マスター!A:E,4,FALSE())</f>
        <v>小島　　 蒔人</v>
      </c>
    </row>
    <row r="45" customFormat="false" ht="15.75" hidden="false" customHeight="true" outlineLevel="0" collapsed="false">
      <c r="A45" s="266" t="s">
        <v>331</v>
      </c>
      <c r="B45" s="267" t="s">
        <v>1287</v>
      </c>
      <c r="C45" s="267" t="s">
        <v>1296</v>
      </c>
      <c r="D45" s="267" t="s">
        <v>333</v>
      </c>
      <c r="E45" s="266" t="s">
        <v>331</v>
      </c>
      <c r="F45" s="268"/>
      <c r="G45" s="268"/>
      <c r="H45" s="268"/>
      <c r="I45" s="268"/>
      <c r="J45" s="268"/>
      <c r="K45" s="268"/>
      <c r="L45" s="262" t="str">
        <f aca="false">VLOOKUP(A45,'2023当番マスター(旧)'!A:D,4,FALSE())</f>
        <v>松田　　 悠生　　</v>
      </c>
      <c r="M45" s="262" t="str">
        <f aca="false">VLOOKUP(A45,2022当番マスター!A:E,4,FALSE())</f>
        <v>松田　　 悠生　　</v>
      </c>
    </row>
    <row r="46" customFormat="false" ht="15.75" hidden="false" customHeight="true" outlineLevel="0" collapsed="false">
      <c r="A46" s="266" t="s">
        <v>391</v>
      </c>
      <c r="B46" s="267" t="s">
        <v>1287</v>
      </c>
      <c r="C46" s="267" t="s">
        <v>1297</v>
      </c>
      <c r="D46" s="267" t="s">
        <v>393</v>
      </c>
      <c r="E46" s="266" t="s">
        <v>391</v>
      </c>
      <c r="F46" s="267" t="s">
        <v>1298</v>
      </c>
      <c r="G46" s="267" t="s">
        <v>396</v>
      </c>
      <c r="H46" s="268"/>
      <c r="I46" s="268"/>
      <c r="J46" s="268"/>
      <c r="K46" s="268"/>
      <c r="L46" s="262" t="str">
        <f aca="false">VLOOKUP(A46,'2023当番マスター(旧)'!A:D,4,FALSE())</f>
        <v>良原　　 渓太</v>
      </c>
      <c r="M46" s="262" t="str">
        <f aca="false">VLOOKUP(A46,2022当番マスター!A:E,4,FALSE())</f>
        <v>良原　　 渓太</v>
      </c>
    </row>
    <row r="47" customFormat="false" ht="15.75" hidden="false" customHeight="true" outlineLevel="0" collapsed="false">
      <c r="A47" s="266" t="s">
        <v>341</v>
      </c>
      <c r="B47" s="267" t="s">
        <v>1287</v>
      </c>
      <c r="C47" s="267" t="s">
        <v>1299</v>
      </c>
      <c r="D47" s="267" t="s">
        <v>343</v>
      </c>
      <c r="E47" s="266" t="s">
        <v>341</v>
      </c>
      <c r="F47" s="267" t="s">
        <v>1236</v>
      </c>
      <c r="G47" s="267" t="s">
        <v>345</v>
      </c>
      <c r="H47" s="268"/>
      <c r="I47" s="268"/>
      <c r="J47" s="268"/>
      <c r="K47" s="268"/>
      <c r="L47" s="262" t="str">
        <f aca="false">VLOOKUP(A47,'2023当番マスター(旧)'!A:D,4,FALSE())</f>
        <v>髙田　　 昂汰　　</v>
      </c>
      <c r="M47" s="262" t="str">
        <f aca="false">VLOOKUP(A47,2022当番マスター!A:E,4,FALSE())</f>
        <v>髙田　　 昂汰　　</v>
      </c>
    </row>
    <row r="48" customFormat="false" ht="15.75" hidden="false" customHeight="true" outlineLevel="0" collapsed="false">
      <c r="A48" s="266" t="s">
        <v>336</v>
      </c>
      <c r="B48" s="267" t="s">
        <v>1287</v>
      </c>
      <c r="C48" s="267" t="s">
        <v>1300</v>
      </c>
      <c r="D48" s="267" t="s">
        <v>338</v>
      </c>
      <c r="E48" s="266" t="s">
        <v>336</v>
      </c>
      <c r="F48" s="268"/>
      <c r="G48" s="268"/>
      <c r="H48" s="268"/>
      <c r="I48" s="268"/>
      <c r="J48" s="268"/>
      <c r="K48" s="268"/>
      <c r="L48" s="262" t="str">
        <f aca="false">VLOOKUP(A48,'2023当番マスター(旧)'!A:D,4,FALSE())</f>
        <v>岩田　　 健孟　　</v>
      </c>
      <c r="M48" s="262" t="str">
        <f aca="false">VLOOKUP(A48,2022当番マスター!A:E,4,FALSE())</f>
        <v>岩田　　 健孟　　</v>
      </c>
    </row>
    <row r="49" customFormat="false" ht="15.75" hidden="false" customHeight="true" outlineLevel="0" collapsed="false">
      <c r="A49" s="266" t="s">
        <v>348</v>
      </c>
      <c r="B49" s="267" t="s">
        <v>1287</v>
      </c>
      <c r="C49" s="267" t="s">
        <v>1301</v>
      </c>
      <c r="D49" s="267" t="s">
        <v>350</v>
      </c>
      <c r="E49" s="266" t="s">
        <v>348</v>
      </c>
      <c r="F49" s="268"/>
      <c r="G49" s="268"/>
      <c r="H49" s="268"/>
      <c r="I49" s="268"/>
      <c r="J49" s="268"/>
      <c r="K49" s="268"/>
      <c r="L49" s="262" t="str">
        <f aca="false">VLOOKUP(A49,'2023当番マスター(旧)'!A:D,4,FALSE())</f>
        <v>内山　　 綾士　　</v>
      </c>
      <c r="M49" s="262" t="str">
        <f aca="false">VLOOKUP(A49,2022当番マスター!A:E,4,FALSE())</f>
        <v>内山　　 綾士　　</v>
      </c>
    </row>
    <row r="50" customFormat="false" ht="15.75" hidden="false" customHeight="true" outlineLevel="0" collapsed="false">
      <c r="A50" s="266" t="s">
        <v>353</v>
      </c>
      <c r="B50" s="267" t="s">
        <v>1287</v>
      </c>
      <c r="C50" s="267" t="s">
        <v>1302</v>
      </c>
      <c r="D50" s="267" t="s">
        <v>355</v>
      </c>
      <c r="E50" s="266" t="s">
        <v>353</v>
      </c>
      <c r="F50" s="268"/>
      <c r="G50" s="268"/>
      <c r="H50" s="268"/>
      <c r="I50" s="268"/>
      <c r="J50" s="268"/>
      <c r="K50" s="268"/>
      <c r="L50" s="262" t="str">
        <f aca="false">VLOOKUP(A50,'2023当番マスター(旧)'!A:D,4,FALSE())</f>
        <v>ハイマン 多莉明　</v>
      </c>
      <c r="M50" s="262" t="str">
        <f aca="false">VLOOKUP(A50,2022当番マスター!A:E,4,FALSE())</f>
        <v>ハイマン 多莉明　</v>
      </c>
    </row>
    <row r="51" customFormat="false" ht="15.75" hidden="false" customHeight="true" outlineLevel="0" collapsed="false">
      <c r="A51" s="266" t="s">
        <v>357</v>
      </c>
      <c r="B51" s="267" t="s">
        <v>1287</v>
      </c>
      <c r="C51" s="267" t="s">
        <v>1303</v>
      </c>
      <c r="D51" s="267" t="s">
        <v>359</v>
      </c>
      <c r="E51" s="266" t="s">
        <v>357</v>
      </c>
      <c r="F51" s="267" t="s">
        <v>1255</v>
      </c>
      <c r="G51" s="267" t="s">
        <v>361</v>
      </c>
      <c r="H51" s="268"/>
      <c r="I51" s="268"/>
      <c r="J51" s="268"/>
      <c r="K51" s="268"/>
      <c r="L51" s="262" t="str">
        <f aca="false">VLOOKUP(A51,'2023当番マスター(旧)'!A:D,4,FALSE())</f>
        <v>村瀬　　 英奈　　</v>
      </c>
      <c r="M51" s="262" t="str">
        <f aca="false">VLOOKUP(A51,2022当番マスター!A:E,4,FALSE())</f>
        <v>村瀬　　 英奈　　</v>
      </c>
    </row>
    <row r="52" customFormat="false" ht="15.75" hidden="false" customHeight="true" outlineLevel="0" collapsed="false">
      <c r="A52" s="266" t="s">
        <v>387</v>
      </c>
      <c r="B52" s="267" t="s">
        <v>1287</v>
      </c>
      <c r="C52" s="267" t="s">
        <v>1304</v>
      </c>
      <c r="D52" s="267" t="s">
        <v>389</v>
      </c>
      <c r="E52" s="266" t="s">
        <v>387</v>
      </c>
      <c r="F52" s="268"/>
      <c r="G52" s="268"/>
      <c r="H52" s="268"/>
      <c r="I52" s="268"/>
      <c r="J52" s="268"/>
      <c r="K52" s="268"/>
      <c r="L52" s="262" t="str">
        <f aca="false">VLOOKUP(A52,'2023当番マスター(旧)'!A:D,4,FALSE())</f>
        <v>黒木　　 逢七　　</v>
      </c>
      <c r="M52" s="262" t="str">
        <f aca="false">VLOOKUP(A52,2022当番マスター!A:E,4,FALSE())</f>
        <v>黒木　　 逢七　　</v>
      </c>
    </row>
    <row r="53" customFormat="false" ht="15.75" hidden="false" customHeight="true" outlineLevel="0" collapsed="false">
      <c r="A53" s="266" t="s">
        <v>381</v>
      </c>
      <c r="B53" s="267" t="s">
        <v>1287</v>
      </c>
      <c r="C53" s="267" t="s">
        <v>1305</v>
      </c>
      <c r="D53" s="267" t="s">
        <v>377</v>
      </c>
      <c r="E53" s="266" t="s">
        <v>381</v>
      </c>
      <c r="F53" s="267" t="s">
        <v>1292</v>
      </c>
      <c r="G53" s="267" t="s">
        <v>379</v>
      </c>
      <c r="H53" s="268"/>
      <c r="I53" s="268"/>
      <c r="J53" s="268"/>
      <c r="K53" s="268"/>
      <c r="L53" s="262" t="e">
        <f aca="false">VLOOKUP(A53,'2023当番マスター(旧)'!A:D,4,FALSE())</f>
        <v>#N/A</v>
      </c>
      <c r="M53" s="262" t="str">
        <f aca="false">VLOOKUP(A53,2022当番マスター!A:E,4,FALSE())</f>
        <v>セレン　 にこ　　</v>
      </c>
    </row>
    <row r="54" customFormat="false" ht="15.75" hidden="false" customHeight="true" outlineLevel="0" collapsed="false">
      <c r="A54" s="266" t="s">
        <v>383</v>
      </c>
      <c r="B54" s="267" t="s">
        <v>1287</v>
      </c>
      <c r="C54" s="267" t="s">
        <v>1306</v>
      </c>
      <c r="D54" s="267" t="s">
        <v>385</v>
      </c>
      <c r="E54" s="266" t="s">
        <v>383</v>
      </c>
      <c r="F54" s="268"/>
      <c r="G54" s="268"/>
      <c r="H54" s="268"/>
      <c r="I54" s="268"/>
      <c r="J54" s="268"/>
      <c r="K54" s="268"/>
      <c r="L54" s="262" t="str">
        <f aca="false">VLOOKUP(A54,'2023当番マスター(旧)'!A:D,4,FALSE())</f>
        <v>新谷　　 えみり　</v>
      </c>
      <c r="M54" s="262" t="str">
        <f aca="false">VLOOKUP(A54,2022当番マスター!A:E,4,FALSE())</f>
        <v>新谷　　 えみり　</v>
      </c>
    </row>
    <row r="55" customFormat="false" ht="15.75" hidden="false" customHeight="true" outlineLevel="0" collapsed="false">
      <c r="A55" s="266" t="s">
        <v>369</v>
      </c>
      <c r="B55" s="267" t="s">
        <v>1287</v>
      </c>
      <c r="C55" s="267" t="s">
        <v>1307</v>
      </c>
      <c r="D55" s="267" t="s">
        <v>371</v>
      </c>
      <c r="E55" s="266" t="s">
        <v>369</v>
      </c>
      <c r="F55" s="268"/>
      <c r="G55" s="268"/>
      <c r="H55" s="268"/>
      <c r="I55" s="268"/>
      <c r="J55" s="268"/>
      <c r="K55" s="268"/>
      <c r="L55" s="262" t="str">
        <f aca="false">VLOOKUP(A55,'2023当番マスター(旧)'!A:D,4,FALSE())</f>
        <v>梶原　　 杏　　　</v>
      </c>
      <c r="M55" s="262" t="str">
        <f aca="false">VLOOKUP(A55,2022当番マスター!A:E,4,FALSE())</f>
        <v>梶原　　 杏　　　</v>
      </c>
    </row>
    <row r="56" customFormat="false" ht="15.75" hidden="false" customHeight="true" outlineLevel="0" collapsed="false">
      <c r="A56" s="266" t="s">
        <v>363</v>
      </c>
      <c r="B56" s="267" t="s">
        <v>1287</v>
      </c>
      <c r="C56" s="267" t="s">
        <v>1308</v>
      </c>
      <c r="D56" s="267" t="s">
        <v>365</v>
      </c>
      <c r="E56" s="266" t="s">
        <v>363</v>
      </c>
      <c r="F56" s="267" t="s">
        <v>1234</v>
      </c>
      <c r="G56" s="267" t="s">
        <v>367</v>
      </c>
      <c r="H56" s="268"/>
      <c r="I56" s="268"/>
      <c r="J56" s="268"/>
      <c r="K56" s="268"/>
      <c r="L56" s="262" t="str">
        <f aca="false">VLOOKUP(A56,'2023当番マスター(旧)'!A:D,4,FALSE())</f>
        <v>松本　　 佳乃　　</v>
      </c>
      <c r="M56" s="262" t="str">
        <f aca="false">VLOOKUP(A56,2022当番マスター!A:E,4,FALSE())</f>
        <v>松本　　 佳乃　　</v>
      </c>
    </row>
    <row r="57" customFormat="false" ht="15.75" hidden="false" customHeight="true" outlineLevel="0" collapsed="false">
      <c r="A57" s="266" t="s">
        <v>404</v>
      </c>
      <c r="B57" s="267" t="s">
        <v>1309</v>
      </c>
      <c r="C57" s="267" t="s">
        <v>1310</v>
      </c>
      <c r="D57" s="267" t="s">
        <v>407</v>
      </c>
      <c r="E57" s="266" t="s">
        <v>404</v>
      </c>
      <c r="F57" s="268"/>
      <c r="G57" s="268"/>
      <c r="H57" s="268"/>
      <c r="I57" s="268"/>
      <c r="J57" s="268"/>
      <c r="K57" s="268"/>
      <c r="L57" s="262" t="str">
        <f aca="false">VLOOKUP(A57,'2023当番マスター(旧)'!A:D,4,FALSE())</f>
        <v>塚本　　 凌久　　</v>
      </c>
      <c r="M57" s="262" t="str">
        <f aca="false">VLOOKUP(A57,2022当番マスター!A:E,4,FALSE())</f>
        <v>塚本　　 凌久　　</v>
      </c>
    </row>
    <row r="58" customFormat="false" ht="15.75" hidden="false" customHeight="true" outlineLevel="0" collapsed="false">
      <c r="A58" s="266" t="s">
        <v>409</v>
      </c>
      <c r="B58" s="267" t="s">
        <v>1309</v>
      </c>
      <c r="C58" s="267" t="s">
        <v>1311</v>
      </c>
      <c r="D58" s="267" t="s">
        <v>411</v>
      </c>
      <c r="E58" s="266" t="s">
        <v>409</v>
      </c>
      <c r="F58" s="268"/>
      <c r="G58" s="268"/>
      <c r="H58" s="268"/>
      <c r="I58" s="268"/>
      <c r="J58" s="268"/>
      <c r="K58" s="268"/>
      <c r="L58" s="262" t="str">
        <f aca="false">VLOOKUP(A58,'2023当番マスター(旧)'!A:D,4,FALSE())</f>
        <v>二村　　 貫太　　</v>
      </c>
      <c r="M58" s="262" t="str">
        <f aca="false">VLOOKUP(A58,2022当番マスター!A:E,4,FALSE())</f>
        <v>二村　　 貫太　　</v>
      </c>
    </row>
    <row r="59" customFormat="false" ht="15.75" hidden="false" customHeight="true" outlineLevel="0" collapsed="false">
      <c r="A59" s="266" t="s">
        <v>414</v>
      </c>
      <c r="B59" s="267" t="s">
        <v>1309</v>
      </c>
      <c r="C59" s="267" t="s">
        <v>1312</v>
      </c>
      <c r="D59" s="267" t="s">
        <v>416</v>
      </c>
      <c r="E59" s="266" t="s">
        <v>414</v>
      </c>
      <c r="F59" s="267" t="s">
        <v>1313</v>
      </c>
      <c r="G59" s="267" t="s">
        <v>419</v>
      </c>
      <c r="H59" s="268"/>
      <c r="I59" s="268"/>
      <c r="J59" s="268"/>
      <c r="K59" s="268"/>
      <c r="L59" s="262" t="str">
        <f aca="false">VLOOKUP(A59,'2023当番マスター(旧)'!A:D,4,FALSE())</f>
        <v>薮田　　 大輝　　</v>
      </c>
      <c r="M59" s="262" t="str">
        <f aca="false">VLOOKUP(A59,2022当番マスター!A:E,4,FALSE())</f>
        <v>薮田　　 大輝　　</v>
      </c>
    </row>
    <row r="60" customFormat="false" ht="15.75" hidden="false" customHeight="true" outlineLevel="0" collapsed="false">
      <c r="A60" s="266" t="s">
        <v>485</v>
      </c>
      <c r="B60" s="267" t="s">
        <v>1309</v>
      </c>
      <c r="C60" s="267" t="s">
        <v>1314</v>
      </c>
      <c r="D60" s="267" t="s">
        <v>487</v>
      </c>
      <c r="E60" s="266" t="s">
        <v>485</v>
      </c>
      <c r="F60" s="268"/>
      <c r="G60" s="268"/>
      <c r="H60" s="268"/>
      <c r="I60" s="268"/>
      <c r="J60" s="268"/>
      <c r="K60" s="268"/>
      <c r="L60" s="262" t="str">
        <f aca="false">VLOOKUP(A60,'2023当番マスター(旧)'!A:D,4,FALSE())</f>
        <v>レビン     海斗</v>
      </c>
      <c r="M60" s="262" t="str">
        <f aca="false">VLOOKUP(A60,2022当番マスター!A:E,4,FALSE())</f>
        <v>レビン     海斗</v>
      </c>
    </row>
    <row r="61" customFormat="false" ht="15.75" hidden="false" customHeight="true" outlineLevel="0" collapsed="false">
      <c r="A61" s="266" t="s">
        <v>421</v>
      </c>
      <c r="B61" s="267" t="s">
        <v>1309</v>
      </c>
      <c r="C61" s="267" t="s">
        <v>1315</v>
      </c>
      <c r="D61" s="267" t="s">
        <v>423</v>
      </c>
      <c r="E61" s="266" t="s">
        <v>421</v>
      </c>
      <c r="F61" s="268"/>
      <c r="G61" s="268"/>
      <c r="H61" s="268"/>
      <c r="I61" s="268"/>
      <c r="J61" s="268"/>
      <c r="K61" s="268"/>
      <c r="L61" s="262" t="str">
        <f aca="false">VLOOKUP(A61,'2023当番マスター(旧)'!A:D,4,FALSE())</f>
        <v>加藤　　 大河　　</v>
      </c>
      <c r="M61" s="262" t="str">
        <f aca="false">VLOOKUP(A61,2022当番マスター!A:E,4,FALSE())</f>
        <v>加藤　　 大河　　</v>
      </c>
    </row>
    <row r="62" customFormat="false" ht="15.75" hidden="false" customHeight="true" outlineLevel="0" collapsed="false">
      <c r="A62" s="266" t="s">
        <v>1316</v>
      </c>
      <c r="B62" s="267" t="s">
        <v>1309</v>
      </c>
      <c r="C62" s="267" t="s">
        <v>1317</v>
      </c>
      <c r="D62" s="267" t="s">
        <v>1318</v>
      </c>
      <c r="E62" s="266" t="s">
        <v>1316</v>
      </c>
      <c r="F62" s="267" t="s">
        <v>1254</v>
      </c>
      <c r="G62" s="267" t="s">
        <v>1319</v>
      </c>
      <c r="H62" s="268"/>
      <c r="I62" s="268"/>
      <c r="J62" s="268"/>
      <c r="K62" s="268"/>
      <c r="L62" s="262" t="e">
        <f aca="false">VLOOKUP(A62,'2023当番マスター(旧)'!A:D,4,FALSE())</f>
        <v>#N/A</v>
      </c>
      <c r="M62" s="262" t="str">
        <f aca="false">VLOOKUP(A62,2022当番マスター!A:E,4,FALSE())</f>
        <v>岡本　　 祥弥　　</v>
      </c>
    </row>
    <row r="63" customFormat="false" ht="15.75" hidden="false" customHeight="true" outlineLevel="0" collapsed="false">
      <c r="A63" s="266" t="s">
        <v>427</v>
      </c>
      <c r="B63" s="267" t="s">
        <v>1309</v>
      </c>
      <c r="C63" s="267" t="s">
        <v>1320</v>
      </c>
      <c r="D63" s="267" t="s">
        <v>429</v>
      </c>
      <c r="E63" s="266" t="s">
        <v>427</v>
      </c>
      <c r="F63" s="268"/>
      <c r="G63" s="268"/>
      <c r="H63" s="268"/>
      <c r="I63" s="268"/>
      <c r="J63" s="268"/>
      <c r="K63" s="268"/>
      <c r="L63" s="262" t="str">
        <f aca="false">VLOOKUP(A63,'2023当番マスター(旧)'!A:D,4,FALSE())</f>
        <v>中村　　 光太　　</v>
      </c>
      <c r="M63" s="262" t="str">
        <f aca="false">VLOOKUP(A63,2022当番マスター!A:E,4,FALSE())</f>
        <v>中村　　 光太　　</v>
      </c>
    </row>
    <row r="64" customFormat="false" ht="15.75" hidden="false" customHeight="true" outlineLevel="0" collapsed="false">
      <c r="A64" s="266" t="s">
        <v>479</v>
      </c>
      <c r="B64" s="267" t="s">
        <v>1309</v>
      </c>
      <c r="C64" s="267" t="s">
        <v>1321</v>
      </c>
      <c r="D64" s="267" t="s">
        <v>482</v>
      </c>
      <c r="E64" s="266" t="s">
        <v>479</v>
      </c>
      <c r="F64" s="267" t="s">
        <v>1234</v>
      </c>
      <c r="G64" s="267" t="s">
        <v>484</v>
      </c>
      <c r="H64" s="268"/>
      <c r="I64" s="268"/>
      <c r="J64" s="268"/>
      <c r="K64" s="268"/>
      <c r="L64" s="262" t="str">
        <f aca="false">VLOOKUP(A64,'2023当番マスター(旧)'!A:D,4,FALSE())</f>
        <v>川嶋　　 琉生</v>
      </c>
      <c r="M64" s="262" t="str">
        <f aca="false">VLOOKUP(A64,2022当番マスター!A:E,4,FALSE())</f>
        <v>川嶋　　 琉生</v>
      </c>
    </row>
    <row r="65" customFormat="false" ht="15.75" hidden="false" customHeight="true" outlineLevel="0" collapsed="false">
      <c r="A65" s="266" t="s">
        <v>441</v>
      </c>
      <c r="B65" s="267" t="s">
        <v>1309</v>
      </c>
      <c r="C65" s="267" t="s">
        <v>1322</v>
      </c>
      <c r="D65" s="267" t="s">
        <v>443</v>
      </c>
      <c r="E65" s="266" t="s">
        <v>441</v>
      </c>
      <c r="F65" s="267" t="s">
        <v>1236</v>
      </c>
      <c r="G65" s="267" t="s">
        <v>445</v>
      </c>
      <c r="H65" s="268"/>
      <c r="I65" s="268"/>
      <c r="J65" s="268"/>
      <c r="K65" s="268"/>
      <c r="L65" s="262" t="str">
        <f aca="false">VLOOKUP(A65,'2023当番マスター(旧)'!A:D,4,FALSE())</f>
        <v>宮田　　 來怜　　</v>
      </c>
      <c r="M65" s="262" t="str">
        <f aca="false">VLOOKUP(A65,2022当番マスター!A:E,4,FALSE())</f>
        <v>宮田　　 來怜　　</v>
      </c>
    </row>
    <row r="66" customFormat="false" ht="15.75" hidden="false" customHeight="true" outlineLevel="0" collapsed="false">
      <c r="A66" s="266" t="s">
        <v>447</v>
      </c>
      <c r="B66" s="267" t="s">
        <v>1309</v>
      </c>
      <c r="C66" s="267" t="s">
        <v>1323</v>
      </c>
      <c r="D66" s="267" t="s">
        <v>449</v>
      </c>
      <c r="E66" s="266" t="s">
        <v>447</v>
      </c>
      <c r="F66" s="267"/>
      <c r="G66" s="267"/>
      <c r="H66" s="268"/>
      <c r="I66" s="268"/>
      <c r="J66" s="268"/>
      <c r="K66" s="268"/>
      <c r="L66" s="262" t="str">
        <f aca="false">VLOOKUP(A66,'2023当番マスター(旧)'!A:D,4,FALSE())</f>
        <v>モリソン 晴信　　</v>
      </c>
      <c r="M66" s="262" t="str">
        <f aca="false">VLOOKUP(A66,2022当番マスター!A:E,4,FALSE())</f>
        <v>モリソン 晴信　　</v>
      </c>
    </row>
    <row r="67" customFormat="false" ht="15.75" hidden="false" customHeight="true" outlineLevel="0" collapsed="false">
      <c r="A67" s="266" t="s">
        <v>439</v>
      </c>
      <c r="B67" s="267" t="s">
        <v>1309</v>
      </c>
      <c r="C67" s="267" t="s">
        <v>1324</v>
      </c>
      <c r="D67" s="267" t="s">
        <v>434</v>
      </c>
      <c r="E67" s="266" t="s">
        <v>439</v>
      </c>
      <c r="F67" s="267" t="s">
        <v>1313</v>
      </c>
      <c r="G67" s="267" t="s">
        <v>436</v>
      </c>
      <c r="H67" s="268"/>
      <c r="I67" s="268"/>
      <c r="J67" s="268"/>
      <c r="K67" s="268"/>
      <c r="L67" s="262" t="e">
        <f aca="false">VLOOKUP(A67,'2023当番マスター(旧)'!A:D,4,FALSE())</f>
        <v>#N/A</v>
      </c>
      <c r="M67" s="262" t="str">
        <f aca="false">VLOOKUP(A67,2022当番マスター!A:E,4,FALSE())</f>
        <v>北井　　 匠　　　</v>
      </c>
    </row>
    <row r="68" customFormat="false" ht="15.75" hidden="false" customHeight="true" outlineLevel="0" collapsed="false">
      <c r="A68" s="266" t="s">
        <v>452</v>
      </c>
      <c r="B68" s="267" t="s">
        <v>1309</v>
      </c>
      <c r="C68" s="267" t="s">
        <v>1325</v>
      </c>
      <c r="D68" s="267" t="s">
        <v>454</v>
      </c>
      <c r="E68" s="266" t="s">
        <v>452</v>
      </c>
      <c r="F68" s="267" t="s">
        <v>1292</v>
      </c>
      <c r="G68" s="267" t="s">
        <v>456</v>
      </c>
      <c r="H68" s="268"/>
      <c r="I68" s="268"/>
      <c r="J68" s="268"/>
      <c r="K68" s="268"/>
      <c r="L68" s="262" t="str">
        <f aca="false">VLOOKUP(A68,'2023当番マスター(旧)'!A:D,4,FALSE())</f>
        <v>山崎　　 瑛美　　</v>
      </c>
      <c r="M68" s="262" t="str">
        <f aca="false">VLOOKUP(A68,2022当番マスター!A:E,4,FALSE())</f>
        <v>山崎　　 瑛美　　</v>
      </c>
    </row>
    <row r="69" customFormat="false" ht="15.75" hidden="false" customHeight="true" outlineLevel="0" collapsed="false">
      <c r="A69" s="266" t="s">
        <v>458</v>
      </c>
      <c r="B69" s="267" t="s">
        <v>1309</v>
      </c>
      <c r="C69" s="267" t="s">
        <v>1326</v>
      </c>
      <c r="D69" s="267" t="s">
        <v>460</v>
      </c>
      <c r="E69" s="266" t="s">
        <v>458</v>
      </c>
      <c r="F69" s="267" t="s">
        <v>1236</v>
      </c>
      <c r="G69" s="267" t="s">
        <v>462</v>
      </c>
      <c r="H69" s="268"/>
      <c r="I69" s="268"/>
      <c r="J69" s="268"/>
      <c r="K69" s="268"/>
      <c r="L69" s="262" t="str">
        <f aca="false">VLOOKUP(A69,'2023当番マスター(旧)'!A:D,4,FALSE())</f>
        <v>井上　　 柚羽　　</v>
      </c>
      <c r="M69" s="262" t="str">
        <f aca="false">VLOOKUP(A69,2022当番マスター!A:E,4,FALSE())</f>
        <v>井上　　 柚羽　　</v>
      </c>
    </row>
    <row r="70" customFormat="false" ht="15.75" hidden="false" customHeight="true" outlineLevel="0" collapsed="false">
      <c r="A70" s="266" t="s">
        <v>463</v>
      </c>
      <c r="B70" s="267" t="s">
        <v>1309</v>
      </c>
      <c r="C70" s="267" t="s">
        <v>1327</v>
      </c>
      <c r="D70" s="267" t="s">
        <v>465</v>
      </c>
      <c r="E70" s="266" t="s">
        <v>463</v>
      </c>
      <c r="F70" s="268"/>
      <c r="G70" s="268"/>
      <c r="H70" s="268"/>
      <c r="I70" s="268"/>
      <c r="J70" s="268"/>
      <c r="K70" s="268"/>
      <c r="L70" s="262" t="str">
        <f aca="false">VLOOKUP(A70,'2023当番マスター(旧)'!A:D,4,FALSE())</f>
        <v>大河内　 彩恵　　</v>
      </c>
      <c r="M70" s="262" t="str">
        <f aca="false">VLOOKUP(A70,2022当番マスター!A:E,4,FALSE())</f>
        <v>大河内　 彩恵　　</v>
      </c>
    </row>
    <row r="71" customFormat="false" ht="15.75" hidden="false" customHeight="true" outlineLevel="0" collapsed="false">
      <c r="A71" s="266" t="s">
        <v>469</v>
      </c>
      <c r="B71" s="267" t="s">
        <v>1309</v>
      </c>
      <c r="C71" s="267" t="s">
        <v>470</v>
      </c>
      <c r="D71" s="267" t="s">
        <v>471</v>
      </c>
      <c r="E71" s="266" t="s">
        <v>469</v>
      </c>
      <c r="F71" s="267" t="s">
        <v>1236</v>
      </c>
      <c r="G71" s="267" t="s">
        <v>473</v>
      </c>
      <c r="H71" s="268"/>
      <c r="I71" s="268"/>
      <c r="J71" s="268"/>
      <c r="K71" s="268"/>
      <c r="L71" s="262" t="str">
        <f aca="false">VLOOKUP(A71,'2023当番マスター(旧)'!A:D,4,FALSE())</f>
        <v>ラザラス スカーレット</v>
      </c>
      <c r="M71" s="262" t="str">
        <f aca="false">VLOOKUP(A71,2022当番マスター!A:E,4,FALSE())</f>
        <v>ラザラス スカーレット</v>
      </c>
    </row>
    <row r="72" customFormat="false" ht="15.75" hidden="false" customHeight="true" outlineLevel="0" collapsed="false">
      <c r="A72" s="266" t="s">
        <v>1328</v>
      </c>
      <c r="B72" s="267" t="s">
        <v>1309</v>
      </c>
      <c r="C72" s="267" t="s">
        <v>1329</v>
      </c>
      <c r="D72" s="267" t="s">
        <v>1330</v>
      </c>
      <c r="E72" s="266" t="s">
        <v>1328</v>
      </c>
      <c r="F72" s="267" t="s">
        <v>1287</v>
      </c>
      <c r="G72" s="267" t="s">
        <v>1331</v>
      </c>
      <c r="H72" s="268"/>
      <c r="I72" s="268"/>
      <c r="J72" s="268"/>
      <c r="K72" s="268"/>
      <c r="L72" s="262" t="e">
        <f aca="false">VLOOKUP(A72,'2023当番マスター(旧)'!A:D,4,FALSE())</f>
        <v>#N/A</v>
      </c>
      <c r="M72" s="262" t="str">
        <f aca="false">VLOOKUP(A72,2022当番マスター!A:E,4,FALSE())</f>
        <v>シェルナット 莉彩　　</v>
      </c>
    </row>
    <row r="73" customFormat="false" ht="15.75" hidden="false" customHeight="true" outlineLevel="0" collapsed="false">
      <c r="A73" s="266" t="s">
        <v>474</v>
      </c>
      <c r="B73" s="267" t="s">
        <v>1309</v>
      </c>
      <c r="C73" s="267" t="s">
        <v>1332</v>
      </c>
      <c r="D73" s="267" t="s">
        <v>476</v>
      </c>
      <c r="E73" s="266" t="s">
        <v>474</v>
      </c>
      <c r="F73" s="267" t="s">
        <v>1298</v>
      </c>
      <c r="G73" s="267" t="s">
        <v>478</v>
      </c>
      <c r="H73" s="268"/>
      <c r="I73" s="268"/>
      <c r="J73" s="268"/>
      <c r="K73" s="268"/>
      <c r="L73" s="262" t="str">
        <f aca="false">VLOOKUP(A73,'2023当番マスター(旧)'!A:D,4,FALSE())</f>
        <v>石井　　 希歩　　</v>
      </c>
      <c r="M73" s="262" t="str">
        <f aca="false">VLOOKUP(A73,2022当番マスター!A:E,4,FALSE())</f>
        <v>石井　　 希歩　　</v>
      </c>
    </row>
    <row r="74" customFormat="false" ht="15.75" hidden="false" customHeight="true" outlineLevel="0" collapsed="false">
      <c r="A74" s="266" t="s">
        <v>494</v>
      </c>
      <c r="B74" s="267" t="s">
        <v>1280</v>
      </c>
      <c r="C74" s="267" t="s">
        <v>1333</v>
      </c>
      <c r="D74" s="267" t="s">
        <v>496</v>
      </c>
      <c r="E74" s="266" t="s">
        <v>494</v>
      </c>
      <c r="F74" s="268"/>
      <c r="G74" s="268"/>
      <c r="H74" s="268"/>
      <c r="I74" s="268"/>
      <c r="J74" s="268"/>
      <c r="K74" s="268"/>
      <c r="L74" s="262" t="str">
        <f aca="false">VLOOKUP(A74,'2023当番マスター(旧)'!A:D,4,FALSE())</f>
        <v>柳沢　　 彪功　　</v>
      </c>
      <c r="M74" s="262" t="str">
        <f aca="false">VLOOKUP(A74,2022当番マスター!A:E,4,FALSE())</f>
        <v>柳沢　　 彪功　　</v>
      </c>
    </row>
    <row r="75" customFormat="false" ht="15.75" hidden="false" customHeight="true" outlineLevel="0" collapsed="false">
      <c r="A75" s="266" t="s">
        <v>505</v>
      </c>
      <c r="B75" s="267" t="s">
        <v>1280</v>
      </c>
      <c r="C75" s="267" t="s">
        <v>1334</v>
      </c>
      <c r="D75" s="267" t="s">
        <v>507</v>
      </c>
      <c r="E75" s="266" t="s">
        <v>505</v>
      </c>
      <c r="F75" s="267" t="s">
        <v>1298</v>
      </c>
      <c r="G75" s="267" t="s">
        <v>509</v>
      </c>
      <c r="H75" s="268"/>
      <c r="I75" s="268"/>
      <c r="J75" s="268"/>
      <c r="K75" s="268"/>
      <c r="L75" s="262" t="str">
        <f aca="false">VLOOKUP(A75,'2023当番マスター(旧)'!A:D,4,FALSE())</f>
        <v>松本　　 悠生　　</v>
      </c>
      <c r="M75" s="262" t="str">
        <f aca="false">VLOOKUP(A75,2022当番マスター!A:E,4,FALSE())</f>
        <v>松本　　 悠生　　</v>
      </c>
    </row>
    <row r="76" customFormat="false" ht="15.75" hidden="false" customHeight="true" outlineLevel="0" collapsed="false">
      <c r="A76" s="266" t="s">
        <v>501</v>
      </c>
      <c r="B76" s="267" t="s">
        <v>1280</v>
      </c>
      <c r="C76" s="267" t="s">
        <v>1335</v>
      </c>
      <c r="D76" s="267" t="s">
        <v>503</v>
      </c>
      <c r="E76" s="266" t="s">
        <v>501</v>
      </c>
      <c r="F76" s="268"/>
      <c r="G76" s="268"/>
      <c r="H76" s="268"/>
      <c r="I76" s="268"/>
      <c r="J76" s="268"/>
      <c r="K76" s="268"/>
      <c r="L76" s="262" t="str">
        <f aca="false">VLOOKUP(A76,'2023当番マスター(旧)'!A:D,4,FALSE())</f>
        <v>作佐部　 岳　　　</v>
      </c>
      <c r="M76" s="262" t="str">
        <f aca="false">VLOOKUP(A76,2022当番マスター!A:E,4,FALSE())</f>
        <v>作佐部　 岳　　　</v>
      </c>
    </row>
    <row r="77" customFormat="false" ht="15.75" hidden="false" customHeight="true" outlineLevel="0" collapsed="false">
      <c r="A77" s="266" t="s">
        <v>560</v>
      </c>
      <c r="B77" s="267" t="s">
        <v>1280</v>
      </c>
      <c r="C77" s="267" t="s">
        <v>1336</v>
      </c>
      <c r="D77" s="267" t="s">
        <v>333</v>
      </c>
      <c r="E77" s="266" t="s">
        <v>560</v>
      </c>
      <c r="F77" s="267" t="s">
        <v>1236</v>
      </c>
      <c r="G77" s="267" t="s">
        <v>563</v>
      </c>
      <c r="H77" s="268"/>
      <c r="I77" s="268"/>
      <c r="J77" s="268"/>
      <c r="K77" s="268"/>
      <c r="L77" s="262" t="str">
        <f aca="false">VLOOKUP(A77,'2023当番マスター(旧)'!A:D,4,FALSE())</f>
        <v>中村　　 詩</v>
      </c>
      <c r="M77" s="262" t="str">
        <f aca="false">VLOOKUP(A77,2022当番マスター!A:E,4,FALSE())</f>
        <v>中村　　 詩</v>
      </c>
    </row>
    <row r="78" customFormat="false" ht="15.75" hidden="false" customHeight="true" outlineLevel="0" collapsed="false">
      <c r="A78" s="266" t="s">
        <v>489</v>
      </c>
      <c r="B78" s="267" t="s">
        <v>1280</v>
      </c>
      <c r="C78" s="267" t="s">
        <v>1337</v>
      </c>
      <c r="D78" s="267" t="s">
        <v>491</v>
      </c>
      <c r="E78" s="266" t="s">
        <v>489</v>
      </c>
      <c r="F78" s="267" t="s">
        <v>1254</v>
      </c>
      <c r="G78" s="267" t="s">
        <v>493</v>
      </c>
      <c r="H78" s="268"/>
      <c r="I78" s="268"/>
      <c r="J78" s="268"/>
      <c r="K78" s="268"/>
      <c r="L78" s="262" t="str">
        <f aca="false">VLOOKUP(A78,'2023当番マスター(旧)'!A:D,4,FALSE())</f>
        <v>松井　　 一真　　</v>
      </c>
      <c r="M78" s="262" t="str">
        <f aca="false">VLOOKUP(A78,2022当番マスター!A:E,4,FALSE())</f>
        <v>松井　　 一真　　</v>
      </c>
    </row>
    <row r="79" customFormat="false" ht="15.75" hidden="false" customHeight="true" outlineLevel="0" collapsed="false">
      <c r="A79" s="266" t="s">
        <v>498</v>
      </c>
      <c r="B79" s="267" t="s">
        <v>1280</v>
      </c>
      <c r="C79" s="267" t="s">
        <v>1338</v>
      </c>
      <c r="D79" s="267" t="s">
        <v>471</v>
      </c>
      <c r="E79" s="266" t="s">
        <v>498</v>
      </c>
      <c r="F79" s="268"/>
      <c r="G79" s="268"/>
      <c r="H79" s="268"/>
      <c r="I79" s="268"/>
      <c r="J79" s="268"/>
      <c r="K79" s="268"/>
      <c r="L79" s="262" t="str">
        <f aca="false">VLOOKUP(A79,'2023当番マスター(旧)'!A:D,4,FALSE())</f>
        <v>ハリソン 倖　　　</v>
      </c>
      <c r="M79" s="262" t="str">
        <f aca="false">VLOOKUP(A79,2022当番マスター!A:E,4,FALSE())</f>
        <v>ハリソン 倖　　　</v>
      </c>
    </row>
    <row r="80" customFormat="false" ht="15.75" hidden="false" customHeight="true" outlineLevel="0" collapsed="false">
      <c r="A80" s="266" t="s">
        <v>522</v>
      </c>
      <c r="B80" s="267" t="s">
        <v>1280</v>
      </c>
      <c r="C80" s="267" t="s">
        <v>1339</v>
      </c>
      <c r="D80" s="267" t="s">
        <v>524</v>
      </c>
      <c r="E80" s="266" t="s">
        <v>522</v>
      </c>
      <c r="F80" s="267" t="s">
        <v>1254</v>
      </c>
      <c r="G80" s="267" t="s">
        <v>526</v>
      </c>
      <c r="H80" s="268"/>
      <c r="I80" s="268"/>
      <c r="J80" s="268"/>
      <c r="K80" s="268"/>
      <c r="L80" s="262" t="str">
        <f aca="false">VLOOKUP(A80,'2023当番マスター(旧)'!A:D,4,FALSE())</f>
        <v>松野　　 海咲　　</v>
      </c>
      <c r="M80" s="262" t="str">
        <f aca="false">VLOOKUP(A80,2022当番マスター!A:E,4,FALSE())</f>
        <v>松野　　 海咲　　</v>
      </c>
    </row>
    <row r="81" customFormat="false" ht="15.75" hidden="false" customHeight="true" outlineLevel="0" collapsed="false">
      <c r="A81" s="266" t="s">
        <v>511</v>
      </c>
      <c r="B81" s="267" t="s">
        <v>1280</v>
      </c>
      <c r="C81" s="267" t="s">
        <v>1340</v>
      </c>
      <c r="D81" s="267" t="s">
        <v>513</v>
      </c>
      <c r="E81" s="266" t="s">
        <v>511</v>
      </c>
      <c r="F81" s="267" t="s">
        <v>1313</v>
      </c>
      <c r="G81" s="267" t="s">
        <v>515</v>
      </c>
      <c r="H81" s="267" t="s">
        <v>1341</v>
      </c>
      <c r="I81" s="267" t="s">
        <v>517</v>
      </c>
      <c r="J81" s="268"/>
      <c r="K81" s="268"/>
      <c r="L81" s="262" t="str">
        <f aca="false">VLOOKUP(A81,'2023当番マスター(旧)'!A:D,4,FALSE())</f>
        <v>稲森　　 杏奈　　</v>
      </c>
      <c r="M81" s="262" t="str">
        <f aca="false">VLOOKUP(A81,2022当番マスター!A:E,4,FALSE())</f>
        <v>稲森　　 杏奈　　</v>
      </c>
    </row>
    <row r="82" customFormat="false" ht="15.75" hidden="false" customHeight="true" outlineLevel="0" collapsed="false">
      <c r="A82" s="266" t="s">
        <v>518</v>
      </c>
      <c r="B82" s="267" t="s">
        <v>1280</v>
      </c>
      <c r="C82" s="267" t="s">
        <v>1342</v>
      </c>
      <c r="D82" s="267" t="s">
        <v>520</v>
      </c>
      <c r="E82" s="266" t="s">
        <v>518</v>
      </c>
      <c r="F82" s="268"/>
      <c r="G82" s="268"/>
      <c r="H82" s="268"/>
      <c r="I82" s="268"/>
      <c r="J82" s="268"/>
      <c r="K82" s="268"/>
      <c r="L82" s="262" t="str">
        <f aca="false">VLOOKUP(A82,'2023当番マスター(旧)'!A:D,4,FALSE())</f>
        <v>並木　　 楓　　　</v>
      </c>
      <c r="M82" s="262" t="str">
        <f aca="false">VLOOKUP(A82,2022当番マスター!A:E,4,FALSE())</f>
        <v>並木　　 楓　　　</v>
      </c>
    </row>
    <row r="83" customFormat="false" ht="15.75" hidden="false" customHeight="true" outlineLevel="0" collapsed="false">
      <c r="A83" s="266" t="s">
        <v>541</v>
      </c>
      <c r="B83" s="267" t="s">
        <v>1280</v>
      </c>
      <c r="C83" s="267" t="s">
        <v>1343</v>
      </c>
      <c r="D83" s="267" t="s">
        <v>543</v>
      </c>
      <c r="E83" s="266" t="s">
        <v>541</v>
      </c>
      <c r="F83" s="268"/>
      <c r="G83" s="268"/>
      <c r="H83" s="268"/>
      <c r="I83" s="268"/>
      <c r="J83" s="268"/>
      <c r="K83" s="268"/>
      <c r="L83" s="262" t="str">
        <f aca="false">VLOOKUP(A83,'2023当番マスター(旧)'!A:D,4,FALSE())</f>
        <v>繁泉　　 凪　　　</v>
      </c>
      <c r="M83" s="262" t="str">
        <f aca="false">VLOOKUP(A83,2022当番マスター!A:E,4,FALSE())</f>
        <v>繁泉　　 凪　　　</v>
      </c>
    </row>
    <row r="84" customFormat="false" ht="15.75" hidden="false" customHeight="true" outlineLevel="0" collapsed="false">
      <c r="A84" s="266" t="s">
        <v>537</v>
      </c>
      <c r="B84" s="267" t="s">
        <v>1280</v>
      </c>
      <c r="C84" s="267" t="s">
        <v>1344</v>
      </c>
      <c r="D84" s="267" t="s">
        <v>539</v>
      </c>
      <c r="E84" s="266" t="s">
        <v>537</v>
      </c>
      <c r="F84" s="268"/>
      <c r="G84" s="268"/>
      <c r="H84" s="268"/>
      <c r="I84" s="268"/>
      <c r="J84" s="268"/>
      <c r="K84" s="268"/>
      <c r="L84" s="262" t="str">
        <f aca="false">VLOOKUP(A84,'2023当番マスター(旧)'!A:D,4,FALSE())</f>
        <v>二村　　 美玲　　</v>
      </c>
      <c r="M84" s="262" t="str">
        <f aca="false">VLOOKUP(A84,2022当番マスター!A:E,4,FALSE())</f>
        <v>二村　　 美怜　　</v>
      </c>
    </row>
    <row r="85" customFormat="false" ht="15.75" hidden="false" customHeight="true" outlineLevel="0" collapsed="false">
      <c r="A85" s="266" t="s">
        <v>556</v>
      </c>
      <c r="B85" s="267" t="s">
        <v>1280</v>
      </c>
      <c r="C85" s="267" t="s">
        <v>557</v>
      </c>
      <c r="D85" s="267" t="s">
        <v>558</v>
      </c>
      <c r="E85" s="266" t="s">
        <v>556</v>
      </c>
      <c r="F85" s="268"/>
      <c r="G85" s="268"/>
      <c r="H85" s="268"/>
      <c r="I85" s="268"/>
      <c r="J85" s="268"/>
      <c r="K85" s="268"/>
      <c r="L85" s="262" t="str">
        <f aca="false">VLOOKUP(A85,'2023当番マスター(旧)'!A:D,4,FALSE())</f>
        <v>ハチンズ 桜華</v>
      </c>
      <c r="M85" s="262" t="str">
        <f aca="false">VLOOKUP(A85,2022当番マスター!A:E,4,FALSE())</f>
        <v>ハチンズ 桜華</v>
      </c>
    </row>
    <row r="86" customFormat="false" ht="15.75" hidden="false" customHeight="true" outlineLevel="0" collapsed="false">
      <c r="A86" s="266" t="s">
        <v>528</v>
      </c>
      <c r="B86" s="267" t="s">
        <v>1280</v>
      </c>
      <c r="C86" s="267" t="s">
        <v>1345</v>
      </c>
      <c r="D86" s="267" t="s">
        <v>530</v>
      </c>
      <c r="E86" s="266" t="s">
        <v>528</v>
      </c>
      <c r="F86" s="267" t="s">
        <v>1234</v>
      </c>
      <c r="G86" s="267" t="s">
        <v>532</v>
      </c>
      <c r="H86" s="267" t="s">
        <v>1295</v>
      </c>
      <c r="I86" s="267" t="s">
        <v>534</v>
      </c>
      <c r="J86" s="268"/>
      <c r="K86" s="268"/>
      <c r="L86" s="262" t="str">
        <f aca="false">VLOOKUP(A86,'2023当番マスター(旧)'!A:D,4,FALSE())</f>
        <v>森川　　 咲空　　</v>
      </c>
      <c r="M86" s="262" t="str">
        <f aca="false">VLOOKUP(A86,2022当番マスター!A:E,4,FALSE())</f>
        <v>森川　　 咲空　　</v>
      </c>
    </row>
    <row r="87" customFormat="false" ht="15.75" hidden="false" customHeight="true" outlineLevel="0" collapsed="false">
      <c r="A87" s="266" t="s">
        <v>545</v>
      </c>
      <c r="B87" s="267" t="s">
        <v>1280</v>
      </c>
      <c r="C87" s="267" t="s">
        <v>1346</v>
      </c>
      <c r="D87" s="267" t="s">
        <v>547</v>
      </c>
      <c r="E87" s="266" t="s">
        <v>545</v>
      </c>
      <c r="F87" s="267" t="s">
        <v>1254</v>
      </c>
      <c r="G87" s="267" t="s">
        <v>549</v>
      </c>
      <c r="H87" s="267" t="s">
        <v>1255</v>
      </c>
      <c r="I87" s="267" t="s">
        <v>550</v>
      </c>
      <c r="J87" s="268"/>
      <c r="K87" s="268"/>
      <c r="L87" s="262" t="str">
        <f aca="false">VLOOKUP(A87,'2023当番マスター(旧)'!A:D,4,FALSE())</f>
        <v>藤田　　 虹夕</v>
      </c>
      <c r="M87" s="262" t="str">
        <f aca="false">VLOOKUP(A87,2022当番マスター!A:E,4,FALSE())</f>
        <v>藤田　　 虹夕</v>
      </c>
    </row>
    <row r="88" customFormat="false" ht="15.75" hidden="false" customHeight="true" outlineLevel="0" collapsed="false">
      <c r="A88" s="266" t="s">
        <v>551</v>
      </c>
      <c r="B88" s="267" t="s">
        <v>1280</v>
      </c>
      <c r="C88" s="267" t="s">
        <v>1347</v>
      </c>
      <c r="D88" s="267" t="s">
        <v>553</v>
      </c>
      <c r="E88" s="266" t="s">
        <v>551</v>
      </c>
      <c r="F88" s="267" t="s">
        <v>1254</v>
      </c>
      <c r="G88" s="267" t="s">
        <v>555</v>
      </c>
      <c r="H88" s="268"/>
      <c r="I88" s="268"/>
      <c r="J88" s="268"/>
      <c r="K88" s="268"/>
      <c r="L88" s="262" t="str">
        <f aca="false">VLOOKUP(A88,'2023当番マスター(旧)'!A:D,4,FALSE())</f>
        <v>橋本　　 彩月</v>
      </c>
      <c r="M88" s="262" t="str">
        <f aca="false">VLOOKUP(A88,2022当番マスター!A:E,4,FALSE())</f>
        <v>橋本　　 彩月</v>
      </c>
    </row>
    <row r="89" customFormat="false" ht="15.75" hidden="false" customHeight="true" outlineLevel="0" collapsed="false">
      <c r="A89" s="266" t="s">
        <v>568</v>
      </c>
      <c r="B89" s="267" t="s">
        <v>1241</v>
      </c>
      <c r="C89" s="267" t="s">
        <v>1348</v>
      </c>
      <c r="D89" s="267" t="s">
        <v>570</v>
      </c>
      <c r="E89" s="266" t="s">
        <v>568</v>
      </c>
      <c r="F89" s="267" t="s">
        <v>1292</v>
      </c>
      <c r="G89" s="267" t="s">
        <v>572</v>
      </c>
      <c r="H89" s="268"/>
      <c r="I89" s="268"/>
      <c r="J89" s="268"/>
      <c r="K89" s="268"/>
      <c r="L89" s="262" t="str">
        <f aca="false">VLOOKUP(A89,'2023当番マスター(旧)'!A:D,4,FALSE())</f>
        <v>中村　　 一覚　　</v>
      </c>
      <c r="M89" s="262" t="str">
        <f aca="false">VLOOKUP(A89,2022当番マスター!A:E,4,FALSE())</f>
        <v>中村　　 一覚　　</v>
      </c>
    </row>
    <row r="90" customFormat="false" ht="15.75" hidden="false" customHeight="true" outlineLevel="0" collapsed="false">
      <c r="A90" s="266" t="s">
        <v>602</v>
      </c>
      <c r="B90" s="267" t="s">
        <v>1241</v>
      </c>
      <c r="C90" s="267" t="s">
        <v>1349</v>
      </c>
      <c r="D90" s="267" t="s">
        <v>604</v>
      </c>
      <c r="E90" s="266" t="s">
        <v>602</v>
      </c>
      <c r="F90" s="267" t="s">
        <v>1234</v>
      </c>
      <c r="G90" s="267" t="s">
        <v>606</v>
      </c>
      <c r="H90" s="268"/>
      <c r="I90" s="268"/>
      <c r="J90" s="268"/>
      <c r="K90" s="268"/>
      <c r="L90" s="262" t="str">
        <f aca="false">VLOOKUP(A90,'2023当番マスター(旧)'!A:D,4,FALSE())</f>
        <v>大嶋        希海</v>
      </c>
      <c r="M90" s="262" t="str">
        <f aca="false">VLOOKUP(A90,2022当番マスター!A:E,4,FALSE())</f>
        <v>大嶋        希海</v>
      </c>
    </row>
    <row r="91" customFormat="false" ht="15.75" hidden="false" customHeight="true" outlineLevel="0" collapsed="false">
      <c r="A91" s="266" t="s">
        <v>564</v>
      </c>
      <c r="B91" s="267" t="s">
        <v>1241</v>
      </c>
      <c r="C91" s="267" t="s">
        <v>1350</v>
      </c>
      <c r="D91" s="267" t="s">
        <v>566</v>
      </c>
      <c r="E91" s="266" t="s">
        <v>564</v>
      </c>
      <c r="F91" s="268"/>
      <c r="G91" s="268"/>
      <c r="H91" s="268"/>
      <c r="I91" s="268"/>
      <c r="J91" s="268"/>
      <c r="K91" s="268"/>
      <c r="L91" s="262" t="str">
        <f aca="false">VLOOKUP(A91,'2023当番マスター(旧)'!A:D,4,FALSE())</f>
        <v>牟田　　 悠人　　</v>
      </c>
      <c r="M91" s="262" t="str">
        <f aca="false">VLOOKUP(A91,2022当番マスター!A:E,4,FALSE())</f>
        <v>牟田　　 悠人　　</v>
      </c>
    </row>
    <row r="92" customFormat="false" ht="15.75" hidden="false" customHeight="true" outlineLevel="0" collapsed="false">
      <c r="A92" s="266" t="s">
        <v>593</v>
      </c>
      <c r="B92" s="267" t="s">
        <v>1241</v>
      </c>
      <c r="C92" s="267" t="s">
        <v>1351</v>
      </c>
      <c r="D92" s="266" t="s">
        <v>595</v>
      </c>
      <c r="E92" s="266" t="s">
        <v>593</v>
      </c>
      <c r="F92" s="268"/>
      <c r="G92" s="268"/>
      <c r="H92" s="268"/>
      <c r="I92" s="268"/>
      <c r="J92" s="268"/>
      <c r="K92" s="268"/>
      <c r="L92" s="262" t="str">
        <f aca="false">VLOOKUP(A92,'2023当番マスター(旧)'!A:D,4,FALSE())</f>
        <v>大竹　　 愛子　　</v>
      </c>
      <c r="M92" s="262" t="str">
        <f aca="false">VLOOKUP(A92,2022当番マスター!A:E,4,FALSE())</f>
        <v>大竹　　 愛子　　</v>
      </c>
    </row>
    <row r="93" customFormat="false" ht="15.75" hidden="false" customHeight="true" outlineLevel="0" collapsed="false">
      <c r="A93" s="266" t="s">
        <v>1352</v>
      </c>
      <c r="B93" s="267" t="s">
        <v>1241</v>
      </c>
      <c r="C93" s="267" t="s">
        <v>1353</v>
      </c>
      <c r="D93" s="267" t="s">
        <v>1354</v>
      </c>
      <c r="E93" s="266" t="s">
        <v>1352</v>
      </c>
      <c r="F93" s="268"/>
      <c r="G93" s="268"/>
      <c r="H93" s="268"/>
      <c r="I93" s="268"/>
      <c r="J93" s="268"/>
      <c r="K93" s="268"/>
      <c r="L93" s="262" t="e">
        <f aca="false">VLOOKUP(A93,'2023当番マスター(旧)'!A:D,4,FALSE())</f>
        <v>#N/A</v>
      </c>
      <c r="M93" s="262" t="str">
        <f aca="false">VLOOKUP(A93,2022当番マスター!A:E,4,FALSE())</f>
        <v>滝田　　 莉子　　</v>
      </c>
    </row>
    <row r="94" customFormat="false" ht="15.75" hidden="false" customHeight="true" outlineLevel="0" collapsed="false">
      <c r="A94" s="266" t="s">
        <v>589</v>
      </c>
      <c r="B94" s="267" t="s">
        <v>1241</v>
      </c>
      <c r="C94" s="267" t="s">
        <v>1355</v>
      </c>
      <c r="D94" s="267" t="s">
        <v>591</v>
      </c>
      <c r="E94" s="266" t="s">
        <v>589</v>
      </c>
      <c r="F94" s="268"/>
      <c r="G94" s="268"/>
      <c r="H94" s="268"/>
      <c r="I94" s="268"/>
      <c r="J94" s="268"/>
      <c r="K94" s="268"/>
      <c r="L94" s="262" t="str">
        <f aca="false">VLOOKUP(A94,'2023当番マスター(旧)'!A:D,4,FALSE())</f>
        <v>鈴木　　 蘭　　　</v>
      </c>
      <c r="M94" s="262" t="str">
        <f aca="false">VLOOKUP(A94,2022当番マスター!A:E,4,FALSE())</f>
        <v>鈴木　　 蘭　　　</v>
      </c>
    </row>
    <row r="95" customFormat="false" ht="15.75" hidden="false" customHeight="true" outlineLevel="0" collapsed="false">
      <c r="A95" s="266" t="s">
        <v>1356</v>
      </c>
      <c r="B95" s="267" t="s">
        <v>1241</v>
      </c>
      <c r="C95" s="267" t="s">
        <v>1357</v>
      </c>
      <c r="D95" s="267" t="s">
        <v>1358</v>
      </c>
      <c r="E95" s="266" t="s">
        <v>1356</v>
      </c>
      <c r="F95" s="267" t="s">
        <v>1292</v>
      </c>
      <c r="G95" s="267" t="s">
        <v>1359</v>
      </c>
      <c r="H95" s="268"/>
      <c r="I95" s="268"/>
      <c r="J95" s="268"/>
      <c r="K95" s="268"/>
      <c r="L95" s="262" t="e">
        <f aca="false">VLOOKUP(A95,'2023当番マスター(旧)'!A:D,4,FALSE())</f>
        <v>#N/A</v>
      </c>
      <c r="M95" s="262" t="str">
        <f aca="false">VLOOKUP(A95,2022当番マスター!A:E,4,FALSE())</f>
        <v>中井　　 志帆　　</v>
      </c>
    </row>
    <row r="96" customFormat="false" ht="15.75" hidden="false" customHeight="true" outlineLevel="0" collapsed="false">
      <c r="A96" s="266" t="s">
        <v>597</v>
      </c>
      <c r="B96" s="267" t="s">
        <v>1241</v>
      </c>
      <c r="C96" s="267" t="s">
        <v>1360</v>
      </c>
      <c r="D96" s="267" t="s">
        <v>599</v>
      </c>
      <c r="E96" s="266" t="s">
        <v>597</v>
      </c>
      <c r="F96" s="267" t="s">
        <v>1292</v>
      </c>
      <c r="G96" s="267" t="s">
        <v>601</v>
      </c>
      <c r="H96" s="268"/>
      <c r="I96" s="268"/>
      <c r="J96" s="268"/>
      <c r="K96" s="268"/>
      <c r="L96" s="262" t="str">
        <f aca="false">VLOOKUP(A96,'2023当番マスター(旧)'!A:D,4,FALSE())</f>
        <v>鈴木        梨央</v>
      </c>
      <c r="M96" s="262" t="str">
        <f aca="false">VLOOKUP(A96,2022当番マスター!A:E,4,FALSE())</f>
        <v>鈴木        梨央</v>
      </c>
    </row>
    <row r="97" customFormat="false" ht="15.75" hidden="false" customHeight="true" outlineLevel="0" collapsed="false">
      <c r="A97" s="266" t="s">
        <v>577</v>
      </c>
      <c r="B97" s="267" t="s">
        <v>1241</v>
      </c>
      <c r="C97" s="267" t="s">
        <v>1361</v>
      </c>
      <c r="D97" s="267" t="s">
        <v>579</v>
      </c>
      <c r="E97" s="266" t="s">
        <v>577</v>
      </c>
      <c r="F97" s="268"/>
      <c r="G97" s="268"/>
      <c r="H97" s="268"/>
      <c r="I97" s="268"/>
      <c r="J97" s="268"/>
      <c r="K97" s="268"/>
      <c r="L97" s="262" t="str">
        <f aca="false">VLOOKUP(A97,'2023当番マスター(旧)'!A:D,4,FALSE())</f>
        <v>持田　　 莉子　　</v>
      </c>
      <c r="M97" s="262" t="str">
        <f aca="false">VLOOKUP(A97,2022当番マスター!A:E,4,FALSE())</f>
        <v>持田　　 莉子　　</v>
      </c>
    </row>
    <row r="98" customFormat="false" ht="15.75" hidden="false" customHeight="true" outlineLevel="0" collapsed="false">
      <c r="A98" s="266" t="s">
        <v>581</v>
      </c>
      <c r="B98" s="267" t="s">
        <v>1241</v>
      </c>
      <c r="C98" s="267" t="s">
        <v>1362</v>
      </c>
      <c r="D98" s="267" t="s">
        <v>583</v>
      </c>
      <c r="E98" s="266" t="s">
        <v>581</v>
      </c>
      <c r="F98" s="268"/>
      <c r="G98" s="268"/>
      <c r="H98" s="268"/>
      <c r="I98" s="268"/>
      <c r="J98" s="268"/>
      <c r="K98" s="268"/>
      <c r="L98" s="262" t="str">
        <f aca="false">VLOOKUP(A98,'2023当番マスター(旧)'!A:D,4,FALSE())</f>
        <v>渡辺　　 日加里　</v>
      </c>
      <c r="M98" s="262" t="str">
        <f aca="false">VLOOKUP(A98,2022当番マスター!A:E,4,FALSE())</f>
        <v>渡辺　　 日加里　</v>
      </c>
    </row>
    <row r="99" customFormat="false" ht="15.75" hidden="false" customHeight="true" outlineLevel="0" collapsed="false">
      <c r="A99" s="266" t="s">
        <v>585</v>
      </c>
      <c r="B99" s="267" t="s">
        <v>1241</v>
      </c>
      <c r="C99" s="267" t="s">
        <v>1363</v>
      </c>
      <c r="D99" s="267" t="s">
        <v>587</v>
      </c>
      <c r="E99" s="266" t="s">
        <v>585</v>
      </c>
      <c r="F99" s="268"/>
      <c r="G99" s="268"/>
      <c r="H99" s="268"/>
      <c r="I99" s="268"/>
      <c r="J99" s="268"/>
      <c r="K99" s="268"/>
      <c r="L99" s="262" t="str">
        <f aca="false">VLOOKUP(A99,'2023当番マスター(旧)'!A:D,4,FALSE())</f>
        <v>福田　　 光希　　</v>
      </c>
      <c r="M99" s="262" t="str">
        <f aca="false">VLOOKUP(A99,2022当番マスター!A:E,4,FALSE())</f>
        <v>福田　　 光希　　</v>
      </c>
    </row>
    <row r="100" customFormat="false" ht="15.75" hidden="false" customHeight="true" outlineLevel="0" collapsed="false">
      <c r="A100" s="266" t="s">
        <v>573</v>
      </c>
      <c r="B100" s="267" t="s">
        <v>1241</v>
      </c>
      <c r="C100" s="267" t="s">
        <v>1364</v>
      </c>
      <c r="D100" s="267" t="s">
        <v>575</v>
      </c>
      <c r="E100" s="266" t="s">
        <v>573</v>
      </c>
      <c r="F100" s="268"/>
      <c r="G100" s="268"/>
      <c r="H100" s="268"/>
      <c r="I100" s="268"/>
      <c r="J100" s="268"/>
      <c r="K100" s="268"/>
      <c r="L100" s="262" t="str">
        <f aca="false">VLOOKUP(A100,'2023当番マスター(旧)'!A:D,4,FALSE())</f>
        <v>山田　　 梅　　　</v>
      </c>
      <c r="M100" s="262" t="str">
        <f aca="false">VLOOKUP(A100,2022当番マスター!A:E,4,FALSE())</f>
        <v>山田　　 梅　　　</v>
      </c>
    </row>
    <row r="101" customFormat="false" ht="15.75" hidden="false" customHeight="true" outlineLevel="0" collapsed="false">
      <c r="A101" s="266" t="s">
        <v>607</v>
      </c>
      <c r="B101" s="267" t="s">
        <v>1239</v>
      </c>
      <c r="C101" s="267" t="s">
        <v>1365</v>
      </c>
      <c r="D101" s="267" t="s">
        <v>609</v>
      </c>
      <c r="E101" s="266" t="s">
        <v>607</v>
      </c>
      <c r="F101" s="267" t="s">
        <v>1234</v>
      </c>
      <c r="G101" s="267" t="s">
        <v>611</v>
      </c>
      <c r="H101" s="268"/>
      <c r="I101" s="268"/>
      <c r="J101" s="268"/>
      <c r="K101" s="268"/>
      <c r="L101" s="262" t="str">
        <f aca="false">VLOOKUP(A101,'2023当番マスター(旧)'!A:D,4,FALSE())</f>
        <v>髙木　　 武蔵　　</v>
      </c>
      <c r="M101" s="262" t="str">
        <f aca="false">VLOOKUP(A101,2022当番マスター!A:E,4,FALSE())</f>
        <v>髙木　　 武蔵　　</v>
      </c>
    </row>
    <row r="102" customFormat="false" ht="15.75" hidden="false" customHeight="true" outlineLevel="0" collapsed="false">
      <c r="A102" s="266" t="s">
        <v>613</v>
      </c>
      <c r="B102" s="267" t="s">
        <v>1239</v>
      </c>
      <c r="C102" s="267" t="s">
        <v>1366</v>
      </c>
      <c r="D102" s="267" t="s">
        <v>615</v>
      </c>
      <c r="E102" s="266" t="s">
        <v>613</v>
      </c>
      <c r="F102" s="267" t="s">
        <v>1255</v>
      </c>
      <c r="G102" s="267" t="s">
        <v>617</v>
      </c>
      <c r="H102" s="267" t="s">
        <v>1341</v>
      </c>
      <c r="I102" s="267" t="s">
        <v>618</v>
      </c>
      <c r="J102" s="268"/>
      <c r="K102" s="268"/>
      <c r="L102" s="262" t="str">
        <f aca="false">VLOOKUP(A102,'2023当番マスター(旧)'!A:D,4,FALSE())</f>
        <v>川西　　 哲人　　</v>
      </c>
      <c r="M102" s="262" t="str">
        <f aca="false">VLOOKUP(A102,2022当番マスター!A:E,4,FALSE())</f>
        <v>川西　　 哲人　　</v>
      </c>
    </row>
    <row r="103" customFormat="false" ht="15.75" hidden="false" customHeight="true" outlineLevel="0" collapsed="false">
      <c r="A103" s="266" t="s">
        <v>620</v>
      </c>
      <c r="B103" s="267" t="s">
        <v>1239</v>
      </c>
      <c r="C103" s="267" t="s">
        <v>1367</v>
      </c>
      <c r="D103" s="267" t="s">
        <v>622</v>
      </c>
      <c r="E103" s="266" t="s">
        <v>620</v>
      </c>
      <c r="F103" s="267" t="s">
        <v>1295</v>
      </c>
      <c r="G103" s="267" t="s">
        <v>624</v>
      </c>
      <c r="H103" s="267" t="s">
        <v>1368</v>
      </c>
      <c r="I103" s="267" t="s">
        <v>1369</v>
      </c>
      <c r="J103" s="268"/>
      <c r="K103" s="268"/>
      <c r="L103" s="262" t="str">
        <f aca="false">VLOOKUP(A103,'2023当番マスター(旧)'!A:D,4,FALSE())</f>
        <v>重久　　 睦斉　　</v>
      </c>
      <c r="M103" s="262" t="str">
        <f aca="false">VLOOKUP(A103,2022当番マスター!A:E,4,FALSE())</f>
        <v>重久　　 睦斉　　</v>
      </c>
    </row>
    <row r="104" customFormat="false" ht="15.75" hidden="false" customHeight="true" outlineLevel="0" collapsed="false">
      <c r="A104" s="266" t="s">
        <v>666</v>
      </c>
      <c r="B104" s="267" t="s">
        <v>1239</v>
      </c>
      <c r="C104" s="267" t="s">
        <v>1370</v>
      </c>
      <c r="D104" s="267" t="s">
        <v>1371</v>
      </c>
      <c r="E104" s="266" t="s">
        <v>666</v>
      </c>
      <c r="F104" s="268"/>
      <c r="G104" s="268"/>
      <c r="H104" s="268"/>
      <c r="I104" s="268"/>
      <c r="J104" s="268"/>
      <c r="K104" s="268"/>
      <c r="L104" s="262" t="str">
        <f aca="false">VLOOKUP(A104,'2023当番マスター(旧)'!A:D,4,FALSE())</f>
        <v>丹羽 　　駿輔</v>
      </c>
      <c r="M104" s="262" t="str">
        <f aca="false">VLOOKUP(A104,2022当番マスター!A:E,4,FALSE())</f>
        <v>丹羽 　　駿輔</v>
      </c>
    </row>
    <row r="105" customFormat="false" ht="15.75" hidden="false" customHeight="true" outlineLevel="0" collapsed="false">
      <c r="A105" s="266" t="s">
        <v>1372</v>
      </c>
      <c r="B105" s="267" t="s">
        <v>1239</v>
      </c>
      <c r="C105" s="267" t="s">
        <v>1373</v>
      </c>
      <c r="D105" s="267" t="s">
        <v>1374</v>
      </c>
      <c r="E105" s="266" t="s">
        <v>1372</v>
      </c>
      <c r="F105" s="267" t="s">
        <v>1341</v>
      </c>
      <c r="G105" s="267" t="s">
        <v>1375</v>
      </c>
      <c r="H105" s="268"/>
      <c r="I105" s="268"/>
      <c r="J105" s="268"/>
      <c r="K105" s="268"/>
      <c r="L105" s="262" t="e">
        <f aca="false">VLOOKUP(A105,'2023当番マスター(旧)'!A:D,4,FALSE())</f>
        <v>#N/A</v>
      </c>
      <c r="M105" s="262" t="str">
        <f aca="false">VLOOKUP(A105,2022当番マスター!A:E,4,FALSE())</f>
        <v>中島　　 快</v>
      </c>
    </row>
    <row r="106" customFormat="false" ht="15.75" hidden="false" customHeight="true" outlineLevel="0" collapsed="false">
      <c r="A106" s="266" t="s">
        <v>626</v>
      </c>
      <c r="B106" s="267" t="s">
        <v>1239</v>
      </c>
      <c r="C106" s="267" t="s">
        <v>1376</v>
      </c>
      <c r="D106" s="267" t="s">
        <v>628</v>
      </c>
      <c r="E106" s="266" t="s">
        <v>626</v>
      </c>
      <c r="F106" s="267" t="s">
        <v>1248</v>
      </c>
      <c r="G106" s="267" t="s">
        <v>630</v>
      </c>
      <c r="H106" s="267" t="s">
        <v>1295</v>
      </c>
      <c r="I106" s="267" t="s">
        <v>631</v>
      </c>
      <c r="J106" s="268"/>
      <c r="K106" s="268"/>
      <c r="L106" s="262" t="str">
        <f aca="false">VLOOKUP(A106,'2023当番マスター(旧)'!A:D,4,FALSE())</f>
        <v>田中　　 宏弥　　</v>
      </c>
      <c r="M106" s="262" t="str">
        <f aca="false">VLOOKUP(A106,2022当番マスター!A:E,4,FALSE())</f>
        <v>田中　　 宏弥　　</v>
      </c>
    </row>
    <row r="107" customFormat="false" ht="15.75" hidden="false" customHeight="true" outlineLevel="0" collapsed="false">
      <c r="A107" s="266" t="s">
        <v>1377</v>
      </c>
      <c r="B107" s="267" t="s">
        <v>1239</v>
      </c>
      <c r="C107" s="267" t="s">
        <v>1378</v>
      </c>
      <c r="D107" s="267" t="s">
        <v>1379</v>
      </c>
      <c r="E107" s="266" t="s">
        <v>1377</v>
      </c>
      <c r="F107" s="267" t="s">
        <v>1272</v>
      </c>
      <c r="G107" s="267" t="s">
        <v>1380</v>
      </c>
      <c r="H107" s="268"/>
      <c r="I107" s="268"/>
      <c r="J107" s="268"/>
      <c r="K107" s="268"/>
      <c r="L107" s="262" t="e">
        <f aca="false">VLOOKUP(A107,'2023当番マスター(旧)'!A:D,4,FALSE())</f>
        <v>#N/A</v>
      </c>
      <c r="M107" s="262" t="str">
        <f aca="false">VLOOKUP(A107,2022当番マスター!A:E,4,FALSE())</f>
        <v>原田　　 悠生　　</v>
      </c>
    </row>
    <row r="108" customFormat="false" ht="15.75" hidden="false" customHeight="true" outlineLevel="0" collapsed="false">
      <c r="A108" s="266" t="s">
        <v>639</v>
      </c>
      <c r="B108" s="267" t="s">
        <v>1239</v>
      </c>
      <c r="C108" s="267" t="s">
        <v>1381</v>
      </c>
      <c r="D108" s="267" t="s">
        <v>641</v>
      </c>
      <c r="E108" s="266" t="s">
        <v>639</v>
      </c>
      <c r="F108" s="268"/>
      <c r="G108" s="268"/>
      <c r="H108" s="268"/>
      <c r="I108" s="268"/>
      <c r="J108" s="268"/>
      <c r="K108" s="268"/>
      <c r="L108" s="262" t="str">
        <f aca="false">VLOOKUP(A108,'2023当番マスター(旧)'!A:D,4,FALSE())</f>
        <v>中井　　 美晴　　</v>
      </c>
      <c r="M108" s="262" t="str">
        <f aca="false">VLOOKUP(A108,2022当番マスター!A:E,4,FALSE())</f>
        <v>中井　　 美晴　　</v>
      </c>
    </row>
    <row r="109" customFormat="false" ht="15.75" hidden="false" customHeight="true" outlineLevel="0" collapsed="false">
      <c r="A109" s="266" t="s">
        <v>661</v>
      </c>
      <c r="B109" s="267" t="s">
        <v>1239</v>
      </c>
      <c r="C109" s="267" t="s">
        <v>1382</v>
      </c>
      <c r="D109" s="267" t="s">
        <v>664</v>
      </c>
      <c r="E109" s="266" t="s">
        <v>661</v>
      </c>
      <c r="F109" s="268"/>
      <c r="G109" s="268"/>
      <c r="H109" s="268"/>
      <c r="I109" s="268"/>
      <c r="J109" s="268"/>
      <c r="K109" s="268"/>
      <c r="L109" s="262" t="str">
        <f aca="false">VLOOKUP(A109,'2023当番マスター(旧)'!A:D,4,FALSE())</f>
        <v>太田　　 恵麻</v>
      </c>
      <c r="M109" s="262" t="str">
        <f aca="false">VLOOKUP(A109,2022当番マスター!A:E,4,FALSE())</f>
        <v>太田　　 恵麻</v>
      </c>
    </row>
    <row r="110" customFormat="false" ht="15.75" hidden="false" customHeight="true" outlineLevel="0" collapsed="false">
      <c r="A110" s="266" t="s">
        <v>644</v>
      </c>
      <c r="B110" s="267" t="s">
        <v>1239</v>
      </c>
      <c r="C110" s="267" t="s">
        <v>1383</v>
      </c>
      <c r="D110" s="267" t="s">
        <v>646</v>
      </c>
      <c r="E110" s="266" t="s">
        <v>644</v>
      </c>
      <c r="F110" s="268"/>
      <c r="G110" s="268"/>
      <c r="H110" s="268"/>
      <c r="I110" s="268"/>
      <c r="J110" s="268"/>
      <c r="K110" s="268"/>
      <c r="L110" s="262" t="str">
        <f aca="false">VLOOKUP(A110,'2023当番マスター(旧)'!A:D,4,FALSE())</f>
        <v>岡崎　　 文香　　</v>
      </c>
      <c r="M110" s="262" t="str">
        <f aca="false">VLOOKUP(A110,2022当番マスター!A:E,4,FALSE())</f>
        <v>岡崎　　 文香　　</v>
      </c>
    </row>
    <row r="111" customFormat="false" ht="15.75" hidden="false" customHeight="true" outlineLevel="0" collapsed="false">
      <c r="A111" s="266" t="s">
        <v>648</v>
      </c>
      <c r="B111" s="267" t="s">
        <v>1239</v>
      </c>
      <c r="C111" s="267" t="s">
        <v>1384</v>
      </c>
      <c r="D111" s="267" t="s">
        <v>429</v>
      </c>
      <c r="E111" s="266" t="s">
        <v>648</v>
      </c>
      <c r="F111" s="268"/>
      <c r="G111" s="268"/>
      <c r="H111" s="268"/>
      <c r="I111" s="268"/>
      <c r="J111" s="268"/>
      <c r="K111" s="268"/>
      <c r="L111" s="262" t="str">
        <f aca="false">VLOOKUP(A111,'2023当番マスター(旧)'!A:D,4,FALSE())</f>
        <v>菅　　　 陽詩　　</v>
      </c>
      <c r="M111" s="262" t="str">
        <f aca="false">VLOOKUP(A111,2022当番マスター!A:E,4,FALSE())</f>
        <v>菅　　　 陽詩　　</v>
      </c>
    </row>
    <row r="112" customFormat="false" ht="15.75" hidden="false" customHeight="true" outlineLevel="0" collapsed="false">
      <c r="A112" s="266" t="s">
        <v>652</v>
      </c>
      <c r="B112" s="267" t="s">
        <v>1239</v>
      </c>
      <c r="C112" s="267" t="s">
        <v>1385</v>
      </c>
      <c r="D112" s="267" t="s">
        <v>654</v>
      </c>
      <c r="E112" s="266" t="s">
        <v>652</v>
      </c>
      <c r="F112" s="268"/>
      <c r="G112" s="268"/>
      <c r="H112" s="268"/>
      <c r="I112" s="268"/>
      <c r="J112" s="268"/>
      <c r="K112" s="268"/>
      <c r="L112" s="262" t="str">
        <f aca="false">VLOOKUP(A112,'2023当番マスター(旧)'!A:D,4,FALSE())</f>
        <v>多胡　　 綾乃　　</v>
      </c>
      <c r="M112" s="262" t="str">
        <f aca="false">VLOOKUP(A112,2022当番マスター!A:E,4,FALSE())</f>
        <v>多胡　　 綾乃　　</v>
      </c>
    </row>
    <row r="113" customFormat="false" ht="15.75" hidden="false" customHeight="true" outlineLevel="0" collapsed="false">
      <c r="A113" s="266" t="s">
        <v>657</v>
      </c>
      <c r="B113" s="267" t="s">
        <v>1239</v>
      </c>
      <c r="C113" s="267" t="s">
        <v>1386</v>
      </c>
      <c r="D113" s="267" t="s">
        <v>659</v>
      </c>
      <c r="E113" s="266" t="s">
        <v>657</v>
      </c>
      <c r="F113" s="268"/>
      <c r="G113" s="268"/>
      <c r="H113" s="268"/>
      <c r="I113" s="268"/>
      <c r="J113" s="268"/>
      <c r="K113" s="268"/>
      <c r="L113" s="262" t="str">
        <f aca="false">VLOOKUP(A113,'2023当番マスター(旧)'!A:D,4,FALSE())</f>
        <v>松本　　 美月　　</v>
      </c>
      <c r="M113" s="262" t="str">
        <f aca="false">VLOOKUP(A113,2022当番マスター!A:E,4,FALSE())</f>
        <v>松本　　 美月　　</v>
      </c>
    </row>
    <row r="114" customFormat="false" ht="15.75" hidden="false" customHeight="true" outlineLevel="0" collapsed="false">
      <c r="A114" s="266" t="s">
        <v>633</v>
      </c>
      <c r="B114" s="267" t="s">
        <v>1239</v>
      </c>
      <c r="C114" s="267" t="s">
        <v>1387</v>
      </c>
      <c r="D114" s="267" t="s">
        <v>635</v>
      </c>
      <c r="E114" s="266" t="s">
        <v>633</v>
      </c>
      <c r="F114" s="267" t="s">
        <v>1234</v>
      </c>
      <c r="G114" s="267" t="s">
        <v>637</v>
      </c>
      <c r="H114" s="268"/>
      <c r="I114" s="268"/>
      <c r="J114" s="268"/>
      <c r="K114" s="268"/>
      <c r="L114" s="262" t="str">
        <f aca="false">VLOOKUP(A114,'2023当番マスター(旧)'!A:D,4,FALSE())</f>
        <v>矢田　　 遥花　　</v>
      </c>
      <c r="M114" s="262" t="str">
        <f aca="false">VLOOKUP(A114,2022当番マスター!A:E,4,FALSE())</f>
        <v>矢田　　 遥花　　</v>
      </c>
    </row>
    <row r="115" customFormat="false" ht="15.75" hidden="false" customHeight="true" outlineLevel="0" collapsed="false">
      <c r="A115" s="266" t="s">
        <v>674</v>
      </c>
      <c r="B115" s="267" t="s">
        <v>1248</v>
      </c>
      <c r="C115" s="267" t="s">
        <v>1388</v>
      </c>
      <c r="D115" s="267" t="s">
        <v>676</v>
      </c>
      <c r="E115" s="266" t="s">
        <v>674</v>
      </c>
      <c r="F115" s="267" t="s">
        <v>1239</v>
      </c>
      <c r="G115" s="267" t="s">
        <v>678</v>
      </c>
      <c r="H115" s="268"/>
      <c r="I115" s="268"/>
      <c r="J115" s="268"/>
      <c r="K115" s="268"/>
      <c r="L115" s="262" t="str">
        <f aca="false">VLOOKUP(A115,'2023当番マスター(旧)'!A:D,4,FALSE())</f>
        <v>村見　　 蒼空　　</v>
      </c>
      <c r="M115" s="262" t="str">
        <f aca="false">VLOOKUP(A115,2022当番マスター!A:E,4,FALSE())</f>
        <v>村見　　 蒼空　　</v>
      </c>
    </row>
    <row r="116" customFormat="false" ht="15.75" hidden="false" customHeight="true" outlineLevel="0" collapsed="false">
      <c r="A116" s="266" t="s">
        <v>670</v>
      </c>
      <c r="B116" s="267" t="s">
        <v>1248</v>
      </c>
      <c r="C116" s="267" t="s">
        <v>1389</v>
      </c>
      <c r="D116" s="267" t="s">
        <v>672</v>
      </c>
      <c r="E116" s="266" t="s">
        <v>670</v>
      </c>
      <c r="F116" s="268"/>
      <c r="G116" s="268"/>
      <c r="H116" s="268"/>
      <c r="I116" s="268"/>
      <c r="J116" s="268"/>
      <c r="K116" s="268"/>
      <c r="L116" s="262" t="str">
        <f aca="false">VLOOKUP(A116,'2023当番マスター(旧)'!A:D,4,FALSE())</f>
        <v>市橋　　 優治　　</v>
      </c>
      <c r="M116" s="262" t="str">
        <f aca="false">VLOOKUP(A116,2022当番マスター!A:E,4,FALSE())</f>
        <v>市橋　　 優治　　</v>
      </c>
    </row>
    <row r="117" customFormat="false" ht="15.75" hidden="false" customHeight="true" outlineLevel="0" collapsed="false">
      <c r="A117" s="266" t="s">
        <v>703</v>
      </c>
      <c r="B117" s="267" t="s">
        <v>1248</v>
      </c>
      <c r="C117" s="267" t="s">
        <v>1390</v>
      </c>
      <c r="D117" s="267" t="s">
        <v>705</v>
      </c>
      <c r="E117" s="266" t="s">
        <v>703</v>
      </c>
      <c r="F117" s="268"/>
      <c r="G117" s="268"/>
      <c r="H117" s="268"/>
      <c r="I117" s="268"/>
      <c r="J117" s="268"/>
      <c r="K117" s="268"/>
      <c r="L117" s="262" t="str">
        <f aca="false">VLOOKUP(A117,'2023当番マスター(旧)'!A:D,4,FALSE())</f>
        <v>黒岩　　 和真</v>
      </c>
      <c r="M117" s="262" t="str">
        <f aca="false">VLOOKUP(A117,2022当番マスター!A:E,4,FALSE())</f>
        <v>黒岩　　 和真</v>
      </c>
    </row>
    <row r="118" customFormat="false" ht="15.75" hidden="false" customHeight="true" outlineLevel="0" collapsed="false">
      <c r="A118" s="266" t="s">
        <v>707</v>
      </c>
      <c r="B118" s="267" t="s">
        <v>1248</v>
      </c>
      <c r="C118" s="267" t="s">
        <v>1391</v>
      </c>
      <c r="D118" s="267" t="s">
        <v>709</v>
      </c>
      <c r="E118" s="266" t="s">
        <v>707</v>
      </c>
      <c r="F118" s="267" t="s">
        <v>1313</v>
      </c>
      <c r="G118" s="267" t="s">
        <v>711</v>
      </c>
      <c r="H118" s="268"/>
      <c r="I118" s="268"/>
      <c r="J118" s="268"/>
      <c r="K118" s="268"/>
      <c r="L118" s="262" t="str">
        <f aca="false">VLOOKUP(A118,'2023当番マスター(旧)'!A:D,4,FALSE())</f>
        <v>鈴木　　 可偉</v>
      </c>
      <c r="M118" s="262" t="str">
        <f aca="false">VLOOKUP(A118,2022当番マスター!A:E,4,FALSE())</f>
        <v>鈴木　　 可偉</v>
      </c>
    </row>
    <row r="119" customFormat="false" ht="15.75" hidden="false" customHeight="true" outlineLevel="0" collapsed="false">
      <c r="A119" s="266" t="s">
        <v>679</v>
      </c>
      <c r="B119" s="267" t="s">
        <v>1248</v>
      </c>
      <c r="C119" s="267" t="s">
        <v>1392</v>
      </c>
      <c r="D119" s="267" t="s">
        <v>681</v>
      </c>
      <c r="E119" s="266" t="s">
        <v>679</v>
      </c>
      <c r="F119" s="268"/>
      <c r="G119" s="268"/>
      <c r="H119" s="268"/>
      <c r="I119" s="268"/>
      <c r="J119" s="268"/>
      <c r="K119" s="268"/>
      <c r="L119" s="262" t="str">
        <f aca="false">VLOOKUP(A119,'2023当番マスター(旧)'!A:D,4,FALSE())</f>
        <v>金野　　 慧一朗　</v>
      </c>
      <c r="M119" s="262" t="str">
        <f aca="false">VLOOKUP(A119,2022当番マスター!A:E,4,FALSE())</f>
        <v>金野　　 慧一朗　</v>
      </c>
    </row>
    <row r="120" customFormat="false" ht="15.75" hidden="false" customHeight="true" outlineLevel="0" collapsed="false">
      <c r="A120" s="266" t="s">
        <v>1393</v>
      </c>
      <c r="B120" s="267" t="s">
        <v>1248</v>
      </c>
      <c r="C120" s="267" t="s">
        <v>1394</v>
      </c>
      <c r="D120" s="267" t="s">
        <v>1395</v>
      </c>
      <c r="E120" s="266" t="s">
        <v>1393</v>
      </c>
      <c r="F120" s="268"/>
      <c r="G120" s="268"/>
      <c r="H120" s="268"/>
      <c r="I120" s="268"/>
      <c r="J120" s="268"/>
      <c r="K120" s="268"/>
      <c r="L120" s="262" t="e">
        <f aca="false">VLOOKUP(A120,'2023当番マスター(旧)'!A:D,4,FALSE())</f>
        <v>#N/A</v>
      </c>
      <c r="M120" s="262" t="str">
        <f aca="false">VLOOKUP(A120,2022当番マスター!A:E,4,FALSE())</f>
        <v>栗山　　 郁史　　</v>
      </c>
    </row>
    <row r="121" customFormat="false" ht="15.75" hidden="false" customHeight="true" outlineLevel="0" collapsed="false">
      <c r="A121" s="266" t="s">
        <v>1396</v>
      </c>
      <c r="B121" s="267" t="s">
        <v>1248</v>
      </c>
      <c r="C121" s="267" t="s">
        <v>1397</v>
      </c>
      <c r="D121" s="267" t="s">
        <v>1398</v>
      </c>
      <c r="E121" s="266" t="s">
        <v>1396</v>
      </c>
      <c r="F121" s="267" t="s">
        <v>1255</v>
      </c>
      <c r="G121" s="267" t="s">
        <v>1399</v>
      </c>
      <c r="H121" s="268"/>
      <c r="I121" s="268"/>
      <c r="J121" s="268"/>
      <c r="K121" s="268"/>
      <c r="L121" s="262" t="e">
        <f aca="false">VLOOKUP(A121,'2023当番マスター(旧)'!A:D,4,FALSE())</f>
        <v>#N/A</v>
      </c>
      <c r="M121" s="262" t="str">
        <f aca="false">VLOOKUP(A121,2022当番マスター!A:E,4,FALSE())</f>
        <v>富岡　　 彩　　　</v>
      </c>
    </row>
    <row r="122" customFormat="false" ht="15.75" hidden="false" customHeight="true" outlineLevel="0" collapsed="false">
      <c r="A122" s="266" t="s">
        <v>694</v>
      </c>
      <c r="B122" s="267" t="s">
        <v>1248</v>
      </c>
      <c r="C122" s="267" t="s">
        <v>1400</v>
      </c>
      <c r="D122" s="267" t="s">
        <v>672</v>
      </c>
      <c r="E122" s="266" t="s">
        <v>694</v>
      </c>
      <c r="F122" s="267" t="s">
        <v>1254</v>
      </c>
      <c r="G122" s="267" t="s">
        <v>697</v>
      </c>
      <c r="H122" s="268"/>
      <c r="I122" s="268"/>
      <c r="J122" s="268"/>
      <c r="K122" s="268"/>
      <c r="L122" s="262" t="str">
        <f aca="false">VLOOKUP(A122,'2023当番マスター(旧)'!A:D,4,FALSE())</f>
        <v>山中　　 萌衣　　</v>
      </c>
      <c r="M122" s="262" t="str">
        <f aca="false">VLOOKUP(A122,2022当番マスター!A:E,4,FALSE())</f>
        <v>山中　　 萌衣　　</v>
      </c>
    </row>
    <row r="123" customFormat="false" ht="15.75" hidden="false" customHeight="true" outlineLevel="0" collapsed="false">
      <c r="A123" s="266" t="s">
        <v>712</v>
      </c>
      <c r="B123" s="267" t="s">
        <v>1248</v>
      </c>
      <c r="C123" s="267" t="s">
        <v>1401</v>
      </c>
      <c r="D123" s="267" t="s">
        <v>715</v>
      </c>
      <c r="E123" s="266" t="s">
        <v>712</v>
      </c>
      <c r="F123" s="268"/>
      <c r="G123" s="268"/>
      <c r="H123" s="268"/>
      <c r="I123" s="268"/>
      <c r="J123" s="268"/>
      <c r="K123" s="268"/>
      <c r="L123" s="262" t="str">
        <f aca="false">VLOOKUP(A123,'2023当番マスター(旧)'!A:D,4,FALSE())</f>
        <v>日尾野     美桜</v>
      </c>
      <c r="M123" s="262" t="str">
        <f aca="false">VLOOKUP(A123,2022当番マスター!A:E,4,FALSE())</f>
        <v>日尾野     美桜</v>
      </c>
    </row>
    <row r="124" customFormat="false" ht="15.75" hidden="false" customHeight="true" outlineLevel="0" collapsed="false">
      <c r="A124" s="266" t="s">
        <v>687</v>
      </c>
      <c r="B124" s="267" t="s">
        <v>1248</v>
      </c>
      <c r="C124" s="267" t="s">
        <v>1402</v>
      </c>
      <c r="D124" s="267" t="s">
        <v>689</v>
      </c>
      <c r="E124" s="266" t="s">
        <v>687</v>
      </c>
      <c r="F124" s="267" t="s">
        <v>1239</v>
      </c>
      <c r="G124" s="267" t="s">
        <v>691</v>
      </c>
      <c r="H124" s="267" t="s">
        <v>1272</v>
      </c>
      <c r="I124" s="267" t="s">
        <v>692</v>
      </c>
      <c r="J124" s="268"/>
      <c r="K124" s="268"/>
      <c r="L124" s="262" t="str">
        <f aca="false">VLOOKUP(A124,'2023当番マスター(旧)'!A:D,4,FALSE())</f>
        <v>難波　　 寿羽　　</v>
      </c>
      <c r="M124" s="262" t="str">
        <f aca="false">VLOOKUP(A124,2022当番マスター!A:E,4,FALSE())</f>
        <v>難波　　 寿羽　　</v>
      </c>
    </row>
    <row r="125" customFormat="false" ht="15.75" hidden="false" customHeight="true" outlineLevel="0" collapsed="false">
      <c r="A125" s="266" t="s">
        <v>683</v>
      </c>
      <c r="B125" s="267" t="s">
        <v>1248</v>
      </c>
      <c r="C125" s="267" t="s">
        <v>1403</v>
      </c>
      <c r="D125" s="267" t="s">
        <v>685</v>
      </c>
      <c r="E125" s="266" t="s">
        <v>683</v>
      </c>
      <c r="F125" s="268"/>
      <c r="G125" s="268"/>
      <c r="H125" s="268"/>
      <c r="I125" s="268"/>
      <c r="J125" s="268"/>
      <c r="K125" s="268"/>
      <c r="L125" s="262" t="str">
        <f aca="false">VLOOKUP(A125,'2023当番マスター(旧)'!A:D,4,FALSE())</f>
        <v>大西　　 芽生　　</v>
      </c>
      <c r="M125" s="262" t="str">
        <f aca="false">VLOOKUP(A125,2022当番マスター!A:E,4,FALSE())</f>
        <v>大西　　 芽生　　</v>
      </c>
    </row>
    <row r="126" customFormat="false" ht="15.75" hidden="false" customHeight="true" outlineLevel="0" collapsed="false">
      <c r="A126" s="266" t="s">
        <v>1404</v>
      </c>
      <c r="B126" s="267" t="s">
        <v>1248</v>
      </c>
      <c r="C126" s="267" t="s">
        <v>1405</v>
      </c>
      <c r="D126" s="267" t="s">
        <v>1406</v>
      </c>
      <c r="E126" s="266" t="s">
        <v>1404</v>
      </c>
      <c r="F126" s="268"/>
      <c r="G126" s="268"/>
      <c r="H126" s="268"/>
      <c r="I126" s="268"/>
      <c r="J126" s="268"/>
      <c r="K126" s="268"/>
      <c r="L126" s="262" t="e">
        <f aca="false">VLOOKUP(A126,'2023当番マスター(旧)'!A:D,4,FALSE())</f>
        <v>#N/A</v>
      </c>
      <c r="M126" s="262" t="str">
        <f aca="false">VLOOKUP(A126,2022当番マスター!A:E,4,FALSE())</f>
        <v>荒木　　 那月　　</v>
      </c>
    </row>
    <row r="127" customFormat="false" ht="15.75" hidden="false" customHeight="true" outlineLevel="0" collapsed="false">
      <c r="A127" s="266" t="s">
        <v>698</v>
      </c>
      <c r="B127" s="267" t="s">
        <v>1248</v>
      </c>
      <c r="C127" s="267" t="s">
        <v>1407</v>
      </c>
      <c r="D127" s="267" t="s">
        <v>599</v>
      </c>
      <c r="E127" s="266" t="s">
        <v>698</v>
      </c>
      <c r="F127" s="267" t="s">
        <v>1313</v>
      </c>
      <c r="G127" s="267" t="s">
        <v>701</v>
      </c>
      <c r="H127" s="267" t="s">
        <v>1262</v>
      </c>
      <c r="I127" s="267" t="s">
        <v>702</v>
      </c>
      <c r="J127" s="268"/>
      <c r="K127" s="268"/>
      <c r="L127" s="262" t="str">
        <f aca="false">VLOOKUP(A127,'2023当番マスター(旧)'!A:D,4,FALSE())</f>
        <v>佐久間　 一嘉</v>
      </c>
      <c r="M127" s="262" t="str">
        <f aca="false">VLOOKUP(A127,2022当番マスター!A:E,4,FALSE())</f>
        <v>佐久間　 一嘉</v>
      </c>
    </row>
    <row r="128" customFormat="false" ht="15.75" hidden="false" customHeight="true" outlineLevel="0" collapsed="false">
      <c r="A128" s="266" t="s">
        <v>775</v>
      </c>
      <c r="B128" s="267" t="s">
        <v>1236</v>
      </c>
      <c r="C128" s="267" t="s">
        <v>1408</v>
      </c>
      <c r="D128" s="267" t="s">
        <v>777</v>
      </c>
      <c r="E128" s="266" t="s">
        <v>775</v>
      </c>
      <c r="F128" s="268"/>
      <c r="G128" s="268"/>
      <c r="H128" s="268"/>
      <c r="I128" s="268"/>
      <c r="J128" s="268"/>
      <c r="K128" s="268"/>
      <c r="L128" s="262" t="str">
        <f aca="false">VLOOKUP(A128,'2023当番マスター(旧)'!A:D,4,FALSE())</f>
        <v>杉野　　 蓮</v>
      </c>
      <c r="M128" s="262" t="str">
        <f aca="false">VLOOKUP(A128,2022当番マスター!A:E,4,FALSE())</f>
        <v>杉野　　 蓮</v>
      </c>
    </row>
    <row r="129" customFormat="false" ht="15.75" hidden="false" customHeight="true" outlineLevel="0" collapsed="false">
      <c r="A129" s="266" t="s">
        <v>723</v>
      </c>
      <c r="B129" s="267" t="s">
        <v>1236</v>
      </c>
      <c r="C129" s="267" t="s">
        <v>1409</v>
      </c>
      <c r="D129" s="267" t="s">
        <v>725</v>
      </c>
      <c r="E129" s="266" t="s">
        <v>723</v>
      </c>
      <c r="F129" s="268"/>
      <c r="G129" s="268"/>
      <c r="H129" s="268"/>
      <c r="I129" s="268"/>
      <c r="J129" s="268"/>
      <c r="K129" s="268"/>
      <c r="L129" s="262" t="str">
        <f aca="false">VLOOKUP(A129,'2023当番マスター(旧)'!A:D,4,FALSE())</f>
        <v>菊地　　 正光　　</v>
      </c>
      <c r="M129" s="262" t="str">
        <f aca="false">VLOOKUP(A129,2022当番マスター!A:E,4,FALSE())</f>
        <v>菊地　　 正光　　</v>
      </c>
    </row>
    <row r="130" customFormat="false" ht="15.75" hidden="false" customHeight="true" outlineLevel="0" collapsed="false">
      <c r="A130" s="266" t="s">
        <v>727</v>
      </c>
      <c r="B130" s="267" t="s">
        <v>1236</v>
      </c>
      <c r="C130" s="267" t="s">
        <v>1410</v>
      </c>
      <c r="D130" s="267" t="s">
        <v>729</v>
      </c>
      <c r="E130" s="266" t="s">
        <v>727</v>
      </c>
      <c r="F130" s="268"/>
      <c r="G130" s="268"/>
      <c r="H130" s="268"/>
      <c r="I130" s="268"/>
      <c r="J130" s="268"/>
      <c r="K130" s="268"/>
      <c r="L130" s="262" t="str">
        <f aca="false">VLOOKUP(A130,'2023当番マスター(旧)'!A:D,4,FALSE())</f>
        <v>藤沢　　 怜生　　</v>
      </c>
      <c r="M130" s="262" t="str">
        <f aca="false">VLOOKUP(A130,2022当番マスター!A:E,4,FALSE())</f>
        <v>藤沢　　 怜生　　</v>
      </c>
    </row>
    <row r="131" customFormat="false" ht="15.75" hidden="false" customHeight="true" outlineLevel="0" collapsed="false">
      <c r="A131" s="266" t="s">
        <v>737</v>
      </c>
      <c r="B131" s="267" t="s">
        <v>1236</v>
      </c>
      <c r="C131" s="267" t="s">
        <v>1411</v>
      </c>
      <c r="D131" s="267" t="s">
        <v>739</v>
      </c>
      <c r="E131" s="266" t="s">
        <v>737</v>
      </c>
      <c r="F131" s="268"/>
      <c r="G131" s="268"/>
      <c r="H131" s="268"/>
      <c r="I131" s="268"/>
      <c r="J131" s="268"/>
      <c r="K131" s="268"/>
      <c r="L131" s="262" t="str">
        <f aca="false">VLOOKUP(A131,'2023当番マスター(旧)'!A:D,4,FALSE())</f>
        <v>竹内　　 遥希　　</v>
      </c>
      <c r="M131" s="262" t="str">
        <f aca="false">VLOOKUP(A131,2022当番マスター!A:E,4,FALSE())</f>
        <v>竹内　　 遥希　　</v>
      </c>
    </row>
    <row r="132" customFormat="false" ht="15.75" hidden="false" customHeight="true" outlineLevel="0" collapsed="false">
      <c r="A132" s="266" t="s">
        <v>717</v>
      </c>
      <c r="B132" s="267" t="s">
        <v>1236</v>
      </c>
      <c r="C132" s="267" t="s">
        <v>1412</v>
      </c>
      <c r="D132" s="266" t="s">
        <v>719</v>
      </c>
      <c r="E132" s="266" t="s">
        <v>717</v>
      </c>
      <c r="F132" s="267" t="s">
        <v>1272</v>
      </c>
      <c r="G132" s="267" t="s">
        <v>721</v>
      </c>
      <c r="H132" s="268"/>
      <c r="I132" s="268"/>
      <c r="J132" s="268"/>
      <c r="K132" s="268"/>
      <c r="L132" s="262" t="str">
        <f aca="false">VLOOKUP(A132,'2023当番マスター(旧)'!A:D,4,FALSE())</f>
        <v>パニシバタナ 憲汰　　</v>
      </c>
      <c r="M132" s="262" t="str">
        <f aca="false">VLOOKUP(A132,2022当番マスター!A:E,4,FALSE())</f>
        <v>パニシバタナ 憲汰　　</v>
      </c>
    </row>
    <row r="133" customFormat="false" ht="15.75" hidden="false" customHeight="true" outlineLevel="0" collapsed="false">
      <c r="A133" s="266" t="s">
        <v>732</v>
      </c>
      <c r="B133" s="267" t="s">
        <v>1236</v>
      </c>
      <c r="C133" s="267" t="s">
        <v>1413</v>
      </c>
      <c r="D133" s="267" t="s">
        <v>734</v>
      </c>
      <c r="E133" s="266" t="s">
        <v>732</v>
      </c>
      <c r="F133" s="267" t="s">
        <v>1262</v>
      </c>
      <c r="G133" s="267" t="s">
        <v>736</v>
      </c>
      <c r="H133" s="268"/>
      <c r="I133" s="268"/>
      <c r="J133" s="268"/>
      <c r="K133" s="268"/>
      <c r="L133" s="262" t="str">
        <f aca="false">VLOOKUP(A133,'2023当番マスター(旧)'!A:D,4,FALSE())</f>
        <v>矢島　　 敬士　　</v>
      </c>
      <c r="M133" s="262" t="str">
        <f aca="false">VLOOKUP(A133,2022当番マスター!A:E,4,FALSE())</f>
        <v>矢島　　 敬士　　</v>
      </c>
    </row>
    <row r="134" customFormat="false" ht="15.75" hidden="false" customHeight="true" outlineLevel="0" collapsed="false">
      <c r="A134" s="266" t="s">
        <v>746</v>
      </c>
      <c r="B134" s="267" t="s">
        <v>1236</v>
      </c>
      <c r="C134" s="267" t="s">
        <v>1414</v>
      </c>
      <c r="D134" s="267" t="s">
        <v>748</v>
      </c>
      <c r="E134" s="266" t="s">
        <v>746</v>
      </c>
      <c r="F134" s="267" t="s">
        <v>1272</v>
      </c>
      <c r="G134" s="267" t="s">
        <v>750</v>
      </c>
      <c r="H134" s="268"/>
      <c r="I134" s="268"/>
      <c r="J134" s="268"/>
      <c r="K134" s="268"/>
      <c r="L134" s="262" t="str">
        <f aca="false">VLOOKUP(A134,'2023当番マスター(旧)'!A:D,4,FALSE())</f>
        <v>武藤　　 寛太朗　</v>
      </c>
      <c r="M134" s="262" t="str">
        <f aca="false">VLOOKUP(A134,2022当番マスター!A:E,4,FALSE())</f>
        <v>武藤　　 寛太朗　</v>
      </c>
    </row>
    <row r="135" customFormat="false" ht="15.75" hidden="false" customHeight="true" outlineLevel="0" collapsed="false">
      <c r="A135" s="266" t="s">
        <v>742</v>
      </c>
      <c r="B135" s="267" t="s">
        <v>1236</v>
      </c>
      <c r="C135" s="267" t="s">
        <v>1415</v>
      </c>
      <c r="D135" s="267" t="s">
        <v>744</v>
      </c>
      <c r="E135" s="266" t="s">
        <v>742</v>
      </c>
      <c r="F135" s="268"/>
      <c r="G135" s="268"/>
      <c r="H135" s="268"/>
      <c r="I135" s="268"/>
      <c r="J135" s="268"/>
      <c r="K135" s="268"/>
      <c r="L135" s="262" t="str">
        <f aca="false">VLOOKUP(A135,'2023当番マスター(旧)'!A:D,4,FALSE())</f>
        <v>張　　　 友和</v>
      </c>
      <c r="M135" s="262" t="str">
        <f aca="false">VLOOKUP(A135,2022当番マスター!A:E,4,FALSE())</f>
        <v>張　　　 友和　　</v>
      </c>
    </row>
    <row r="136" customFormat="false" ht="15.75" hidden="false" customHeight="true" outlineLevel="0" collapsed="false">
      <c r="A136" s="266" t="s">
        <v>768</v>
      </c>
      <c r="B136" s="267" t="s">
        <v>1236</v>
      </c>
      <c r="C136" s="267" t="s">
        <v>1416</v>
      </c>
      <c r="D136" s="267" t="s">
        <v>770</v>
      </c>
      <c r="E136" s="266" t="s">
        <v>768</v>
      </c>
      <c r="F136" s="267" t="s">
        <v>1255</v>
      </c>
      <c r="G136" s="267" t="s">
        <v>772</v>
      </c>
      <c r="H136" s="267" t="s">
        <v>1295</v>
      </c>
      <c r="I136" s="267" t="s">
        <v>773</v>
      </c>
      <c r="J136" s="268"/>
      <c r="K136" s="268"/>
      <c r="L136" s="262" t="str">
        <f aca="false">VLOOKUP(A136,'2023当番マスター(旧)'!A:D,4,FALSE())</f>
        <v>ジョーンズ 芹愛　　</v>
      </c>
      <c r="M136" s="262" t="str">
        <f aca="false">VLOOKUP(A136,2022当番マスター!A:E,4,FALSE())</f>
        <v>ジョーンズ 芹愛　　</v>
      </c>
    </row>
    <row r="137" customFormat="false" ht="15.75" hidden="false" customHeight="true" outlineLevel="0" collapsed="false">
      <c r="A137" s="266" t="s">
        <v>783</v>
      </c>
      <c r="B137" s="267" t="s">
        <v>1236</v>
      </c>
      <c r="C137" s="267" t="s">
        <v>1417</v>
      </c>
      <c r="D137" s="267" t="s">
        <v>786</v>
      </c>
      <c r="E137" s="266" t="s">
        <v>783</v>
      </c>
      <c r="F137" s="268"/>
      <c r="G137" s="268"/>
      <c r="H137" s="268"/>
      <c r="I137" s="268"/>
      <c r="J137" s="268"/>
      <c r="K137" s="268"/>
      <c r="L137" s="262" t="str">
        <f aca="false">VLOOKUP(A137,'2023当番マスター(旧)'!A:D,4,FALSE())</f>
        <v>佐藤         莉愛</v>
      </c>
      <c r="M137" s="262" t="str">
        <f aca="false">VLOOKUP(A137,2022当番マスター!A:E,4,FALSE())</f>
        <v>佐藤         莉愛</v>
      </c>
    </row>
    <row r="138" customFormat="false" ht="15.75" hidden="false" customHeight="true" outlineLevel="0" collapsed="false">
      <c r="A138" s="266" t="s">
        <v>764</v>
      </c>
      <c r="B138" s="267" t="s">
        <v>1236</v>
      </c>
      <c r="C138" s="267" t="s">
        <v>1418</v>
      </c>
      <c r="D138" s="267" t="s">
        <v>766</v>
      </c>
      <c r="E138" s="266" t="s">
        <v>764</v>
      </c>
      <c r="F138" s="268"/>
      <c r="G138" s="268"/>
      <c r="H138" s="268"/>
      <c r="I138" s="268"/>
      <c r="J138" s="268"/>
      <c r="K138" s="268"/>
      <c r="L138" s="262" t="str">
        <f aca="false">VLOOKUP(A138,'2023当番マスター(旧)'!A:D,4,FALSE())</f>
        <v>吉澤　　 希海　　</v>
      </c>
      <c r="M138" s="262" t="str">
        <f aca="false">VLOOKUP(A138,2022当番マスター!A:E,4,FALSE())</f>
        <v>吉澤　　 希海　　</v>
      </c>
    </row>
    <row r="139" customFormat="false" ht="15.75" hidden="false" customHeight="true" outlineLevel="0" collapsed="false">
      <c r="A139" s="266" t="s">
        <v>760</v>
      </c>
      <c r="B139" s="267" t="s">
        <v>1236</v>
      </c>
      <c r="C139" s="267" t="s">
        <v>1419</v>
      </c>
      <c r="D139" s="267" t="s">
        <v>762</v>
      </c>
      <c r="E139" s="266" t="s">
        <v>760</v>
      </c>
      <c r="F139" s="268"/>
      <c r="G139" s="268"/>
      <c r="H139" s="268"/>
      <c r="I139" s="268"/>
      <c r="J139" s="268"/>
      <c r="K139" s="268"/>
      <c r="L139" s="262" t="str">
        <f aca="false">VLOOKUP(A139,'2023当番マスター(旧)'!A:D,4,FALSE())</f>
        <v>ヴェントゥラ ゼナ　　</v>
      </c>
      <c r="M139" s="262" t="str">
        <f aca="false">VLOOKUP(A139,2022当番マスター!A:E,4,FALSE())</f>
        <v>ヴェントゥラ ゼナ　　</v>
      </c>
    </row>
    <row r="140" customFormat="false" ht="15.75" hidden="false" customHeight="true" outlineLevel="0" collapsed="false">
      <c r="A140" s="266" t="s">
        <v>751</v>
      </c>
      <c r="B140" s="267" t="s">
        <v>1236</v>
      </c>
      <c r="C140" s="267" t="s">
        <v>1420</v>
      </c>
      <c r="D140" s="267" t="s">
        <v>753</v>
      </c>
      <c r="E140" s="266" t="s">
        <v>751</v>
      </c>
      <c r="F140" s="267" t="s">
        <v>1272</v>
      </c>
      <c r="G140" s="267" t="s">
        <v>755</v>
      </c>
      <c r="H140" s="268"/>
      <c r="I140" s="268"/>
      <c r="J140" s="268"/>
      <c r="K140" s="268"/>
      <c r="L140" s="262" t="str">
        <f aca="false">VLOOKUP(A140,'2023当番マスター(旧)'!A:D,4,FALSE())</f>
        <v>朝西　　 美結　　</v>
      </c>
      <c r="M140" s="262" t="str">
        <f aca="false">VLOOKUP(A140,2022当番マスター!A:E,4,FALSE())</f>
        <v>朝西　　 美結　　</v>
      </c>
    </row>
    <row r="141" customFormat="false" ht="15.75" hidden="false" customHeight="true" outlineLevel="0" collapsed="false">
      <c r="A141" s="266" t="s">
        <v>1421</v>
      </c>
      <c r="B141" s="267" t="s">
        <v>1236</v>
      </c>
      <c r="C141" s="267" t="s">
        <v>1422</v>
      </c>
      <c r="D141" s="267" t="s">
        <v>429</v>
      </c>
      <c r="E141" s="266" t="s">
        <v>1421</v>
      </c>
      <c r="F141" s="268"/>
      <c r="G141" s="268"/>
      <c r="H141" s="268"/>
      <c r="I141" s="268"/>
      <c r="J141" s="268"/>
      <c r="K141" s="268"/>
      <c r="L141" s="262" t="e">
        <f aca="false">VLOOKUP(A141,'2023当番マスター(旧)'!A:D,4,FALSE())</f>
        <v>#N/A</v>
      </c>
      <c r="M141" s="262" t="str">
        <f aca="false">VLOOKUP(A141,2022当番マスター!A:E,4,FALSE())</f>
        <v>久保田　 花　　　</v>
      </c>
    </row>
    <row r="142" customFormat="false" ht="15.75" hidden="false" customHeight="true" outlineLevel="0" collapsed="false">
      <c r="A142" s="266" t="s">
        <v>779</v>
      </c>
      <c r="B142" s="267" t="s">
        <v>1236</v>
      </c>
      <c r="C142" s="267" t="s">
        <v>1423</v>
      </c>
      <c r="D142" s="267" t="s">
        <v>781</v>
      </c>
      <c r="E142" s="266" t="s">
        <v>779</v>
      </c>
      <c r="F142" s="268"/>
      <c r="G142" s="268"/>
      <c r="H142" s="268"/>
      <c r="I142" s="268"/>
      <c r="J142" s="268"/>
      <c r="K142" s="268"/>
      <c r="L142" s="262" t="str">
        <f aca="false">VLOOKUP(A142,'2023当番マスター(旧)'!A:D,4,FALSE())</f>
        <v>南條　　 結衣</v>
      </c>
      <c r="M142" s="262" t="str">
        <f aca="false">VLOOKUP(A142,2022当番マスター!A:E,4,FALSE())</f>
        <v>南條　　 結衣</v>
      </c>
    </row>
    <row r="143" customFormat="false" ht="15.75" hidden="false" customHeight="true" outlineLevel="0" collapsed="false">
      <c r="A143" s="266" t="s">
        <v>756</v>
      </c>
      <c r="B143" s="267" t="s">
        <v>1236</v>
      </c>
      <c r="C143" s="267" t="s">
        <v>1424</v>
      </c>
      <c r="D143" s="267" t="s">
        <v>758</v>
      </c>
      <c r="E143" s="266" t="s">
        <v>756</v>
      </c>
      <c r="F143" s="268"/>
      <c r="G143" s="268"/>
      <c r="H143" s="268"/>
      <c r="I143" s="268"/>
      <c r="J143" s="268"/>
      <c r="K143" s="268"/>
      <c r="L143" s="262" t="str">
        <f aca="false">VLOOKUP(A143,'2023当番マスター(旧)'!A:D,4,FALSE())</f>
        <v>柳川　　 七愛　　</v>
      </c>
      <c r="M143" s="262" t="str">
        <f aca="false">VLOOKUP(A143,2022当番マスター!A:E,4,FALSE())</f>
        <v>柳川　　 七愛　　</v>
      </c>
    </row>
    <row r="144" customFormat="false" ht="15.75" hidden="false" customHeight="true" outlineLevel="0" collapsed="false">
      <c r="A144" s="266" t="s">
        <v>800</v>
      </c>
      <c r="B144" s="267" t="s">
        <v>1254</v>
      </c>
      <c r="C144" s="267" t="s">
        <v>1425</v>
      </c>
      <c r="D144" s="267" t="s">
        <v>802</v>
      </c>
      <c r="E144" s="266" t="s">
        <v>800</v>
      </c>
      <c r="F144" s="267" t="s">
        <v>1255</v>
      </c>
      <c r="G144" s="267" t="s">
        <v>804</v>
      </c>
      <c r="H144" s="268"/>
      <c r="I144" s="268"/>
      <c r="J144" s="268"/>
      <c r="K144" s="268"/>
      <c r="L144" s="262" t="str">
        <f aca="false">VLOOKUP(A144,'2023当番マスター(旧)'!A:D,4,FALSE())</f>
        <v>渡部　　 登吾　　</v>
      </c>
      <c r="M144" s="262" t="str">
        <f aca="false">VLOOKUP(A144,2022当番マスター!A:E,4,FALSE())</f>
        <v>渡部　　 登吾　　</v>
      </c>
    </row>
    <row r="145" customFormat="false" ht="15.75" hidden="false" customHeight="true" outlineLevel="0" collapsed="false">
      <c r="A145" s="266" t="s">
        <v>841</v>
      </c>
      <c r="B145" s="267" t="s">
        <v>1254</v>
      </c>
      <c r="C145" s="267" t="s">
        <v>1426</v>
      </c>
      <c r="D145" s="267" t="s">
        <v>843</v>
      </c>
      <c r="E145" s="266" t="s">
        <v>841</v>
      </c>
      <c r="F145" s="268"/>
      <c r="G145" s="268"/>
      <c r="H145" s="268"/>
      <c r="I145" s="268"/>
      <c r="J145" s="268"/>
      <c r="K145" s="268"/>
      <c r="L145" s="262" t="str">
        <f aca="false">VLOOKUP(A145,'2023当番マスター(旧)'!A:D,4,FALSE())</f>
        <v>今川 　　晃成</v>
      </c>
      <c r="M145" s="262" t="str">
        <f aca="false">VLOOKUP(A145,2022当番マスター!A:E,4,FALSE())</f>
        <v>今川 　　晃成</v>
      </c>
    </row>
    <row r="146" customFormat="false" ht="15.75" hidden="false" customHeight="true" outlineLevel="0" collapsed="false">
      <c r="A146" s="266" t="s">
        <v>796</v>
      </c>
      <c r="B146" s="267" t="s">
        <v>1254</v>
      </c>
      <c r="C146" s="267" t="s">
        <v>1427</v>
      </c>
      <c r="D146" s="267" t="s">
        <v>798</v>
      </c>
      <c r="E146" s="266" t="s">
        <v>796</v>
      </c>
      <c r="F146" s="268"/>
      <c r="G146" s="268"/>
      <c r="H146" s="268"/>
      <c r="I146" s="268"/>
      <c r="J146" s="268"/>
      <c r="K146" s="268"/>
      <c r="L146" s="262" t="str">
        <f aca="false">VLOOKUP(A146,'2023当番マスター(旧)'!A:D,4,FALSE())</f>
        <v>シューベルト ケン　　</v>
      </c>
      <c r="M146" s="262" t="str">
        <f aca="false">VLOOKUP(A146,2022当番マスター!A:E,4,FALSE())</f>
        <v>シューベルト ケン　　</v>
      </c>
    </row>
    <row r="147" customFormat="false" ht="15.75" hidden="false" customHeight="true" outlineLevel="0" collapsed="false">
      <c r="A147" s="266" t="s">
        <v>845</v>
      </c>
      <c r="B147" s="267" t="s">
        <v>1254</v>
      </c>
      <c r="C147" s="267" t="s">
        <v>1428</v>
      </c>
      <c r="D147" s="267" t="s">
        <v>847</v>
      </c>
      <c r="E147" s="266" t="s">
        <v>845</v>
      </c>
      <c r="F147" s="268"/>
      <c r="G147" s="268"/>
      <c r="H147" s="268"/>
      <c r="I147" s="268"/>
      <c r="J147" s="268"/>
      <c r="K147" s="268"/>
      <c r="L147" s="262" t="str">
        <f aca="false">VLOOKUP(A147,'2023当番マスター(旧)'!A:D,4,FALSE())</f>
        <v>堂野 　　千颯</v>
      </c>
      <c r="M147" s="262" t="str">
        <f aca="false">VLOOKUP(A147,2022当番マスター!A:E,4,FALSE())</f>
        <v>堂野 　　千颯</v>
      </c>
    </row>
    <row r="148" customFormat="false" ht="15.75" hidden="false" customHeight="true" outlineLevel="0" collapsed="false">
      <c r="A148" s="266" t="s">
        <v>832</v>
      </c>
      <c r="B148" s="267" t="s">
        <v>1254</v>
      </c>
      <c r="C148" s="267" t="s">
        <v>1429</v>
      </c>
      <c r="D148" s="267" t="s">
        <v>834</v>
      </c>
      <c r="E148" s="266" t="s">
        <v>832</v>
      </c>
      <c r="F148" s="267" t="s">
        <v>1255</v>
      </c>
      <c r="G148" s="267" t="s">
        <v>836</v>
      </c>
      <c r="H148" s="268"/>
      <c r="I148" s="268"/>
      <c r="J148" s="268"/>
      <c r="K148" s="268"/>
      <c r="L148" s="262" t="str">
        <f aca="false">VLOOKUP(A148,'2023当番マスター(旧)'!A:D,4,FALSE())</f>
        <v>伊藤　　 瑛太</v>
      </c>
      <c r="M148" s="262" t="str">
        <f aca="false">VLOOKUP(A148,2022当番マスター!A:E,4,FALSE())</f>
        <v>伊藤　　 瑛太</v>
      </c>
    </row>
    <row r="149" customFormat="false" ht="15.75" hidden="false" customHeight="true" outlineLevel="0" collapsed="false">
      <c r="A149" s="266" t="s">
        <v>788</v>
      </c>
      <c r="B149" s="267" t="s">
        <v>1254</v>
      </c>
      <c r="C149" s="267" t="s">
        <v>1430</v>
      </c>
      <c r="D149" s="267" t="s">
        <v>790</v>
      </c>
      <c r="E149" s="266" t="s">
        <v>788</v>
      </c>
      <c r="F149" s="268"/>
      <c r="G149" s="268"/>
      <c r="H149" s="268"/>
      <c r="I149" s="268"/>
      <c r="J149" s="268"/>
      <c r="K149" s="268"/>
      <c r="L149" s="262" t="str">
        <f aca="false">VLOOKUP(A149,'2023当番マスター(旧)'!A:D,4,FALSE())</f>
        <v>松尾　　 知樹　　</v>
      </c>
      <c r="M149" s="262" t="str">
        <f aca="false">VLOOKUP(A149,2022当番マスター!A:E,4,FALSE())</f>
        <v>松尾　　 知樹　　</v>
      </c>
    </row>
    <row r="150" customFormat="false" ht="15.75" hidden="false" customHeight="true" outlineLevel="0" collapsed="false">
      <c r="A150" s="266" t="s">
        <v>792</v>
      </c>
      <c r="B150" s="267" t="s">
        <v>1254</v>
      </c>
      <c r="C150" s="267" t="s">
        <v>793</v>
      </c>
      <c r="D150" s="267" t="s">
        <v>794</v>
      </c>
      <c r="E150" s="266" t="s">
        <v>792</v>
      </c>
      <c r="F150" s="268"/>
      <c r="G150" s="268"/>
      <c r="H150" s="268"/>
      <c r="I150" s="268"/>
      <c r="J150" s="268"/>
      <c r="K150" s="268"/>
      <c r="L150" s="262" t="str">
        <f aca="false">VLOOKUP(A150,'2023当番マスター(旧)'!A:D,4,FALSE())</f>
        <v>マティチャック スティーヴン幸市郎</v>
      </c>
      <c r="M150" s="262" t="str">
        <f aca="false">VLOOKUP(A150,2022当番マスター!A:E,4,FALSE())</f>
        <v>マティチャック スティーヴン幸市郎</v>
      </c>
    </row>
    <row r="151" customFormat="false" ht="15.75" hidden="false" customHeight="true" outlineLevel="0" collapsed="false">
      <c r="A151" s="266" t="s">
        <v>820</v>
      </c>
      <c r="B151" s="267" t="s">
        <v>1254</v>
      </c>
      <c r="C151" s="267" t="s">
        <v>1431</v>
      </c>
      <c r="D151" s="267" t="s">
        <v>822</v>
      </c>
      <c r="E151" s="266" t="s">
        <v>820</v>
      </c>
      <c r="F151" s="268"/>
      <c r="G151" s="268"/>
      <c r="H151" s="268"/>
      <c r="I151" s="268"/>
      <c r="J151" s="268"/>
      <c r="K151" s="268"/>
      <c r="L151" s="262" t="str">
        <f aca="false">VLOOKUP(A151,'2023当番マスター(旧)'!A:D,4,FALSE())</f>
        <v>近藤　　 結衣　　</v>
      </c>
      <c r="M151" s="262" t="str">
        <f aca="false">VLOOKUP(A151,2022当番マスター!A:E,4,FALSE())</f>
        <v>近藤　　 結衣　　</v>
      </c>
    </row>
    <row r="152" customFormat="false" ht="15.75" hidden="false" customHeight="true" outlineLevel="0" collapsed="false">
      <c r="A152" s="266" t="s">
        <v>811</v>
      </c>
      <c r="B152" s="267" t="s">
        <v>1254</v>
      </c>
      <c r="C152" s="267" t="s">
        <v>1432</v>
      </c>
      <c r="D152" s="267" t="s">
        <v>283</v>
      </c>
      <c r="E152" s="266" t="s">
        <v>811</v>
      </c>
      <c r="F152" s="267" t="s">
        <v>1313</v>
      </c>
      <c r="G152" s="267" t="s">
        <v>1433</v>
      </c>
      <c r="H152" s="268"/>
      <c r="I152" s="268"/>
      <c r="J152" s="268"/>
      <c r="K152" s="268"/>
      <c r="L152" s="262" t="str">
        <f aca="false">VLOOKUP(A152,'2023当番マスター(旧)'!A:D,4,FALSE())</f>
        <v>紙谷　　 桜　　　</v>
      </c>
      <c r="M152" s="262" t="str">
        <f aca="false">VLOOKUP(A152,2022当番マスター!A:E,4,FALSE())</f>
        <v>紙谷　　 桜　　　</v>
      </c>
    </row>
    <row r="153" customFormat="false" ht="15.75" hidden="false" customHeight="true" outlineLevel="0" collapsed="false">
      <c r="A153" s="266" t="s">
        <v>815</v>
      </c>
      <c r="B153" s="267" t="s">
        <v>1254</v>
      </c>
      <c r="C153" s="267" t="s">
        <v>1434</v>
      </c>
      <c r="D153" s="267" t="s">
        <v>817</v>
      </c>
      <c r="E153" s="266" t="s">
        <v>815</v>
      </c>
      <c r="F153" s="267" t="s">
        <v>1295</v>
      </c>
      <c r="G153" s="267" t="s">
        <v>819</v>
      </c>
      <c r="H153" s="268"/>
      <c r="I153" s="268"/>
      <c r="J153" s="268"/>
      <c r="K153" s="268"/>
      <c r="L153" s="262" t="str">
        <f aca="false">VLOOKUP(A153,'2023当番マスター(旧)'!A:D,4,FALSE())</f>
        <v>西川　　 結梨　　</v>
      </c>
      <c r="M153" s="262" t="str">
        <f aca="false">VLOOKUP(A153,2022当番マスター!A:E,4,FALSE())</f>
        <v>西川　　 結梨　　</v>
      </c>
    </row>
    <row r="154" customFormat="false" ht="15.75" hidden="false" customHeight="true" outlineLevel="0" collapsed="false">
      <c r="A154" s="266" t="s">
        <v>829</v>
      </c>
      <c r="B154" s="267" t="s">
        <v>1254</v>
      </c>
      <c r="C154" s="267" t="s">
        <v>1435</v>
      </c>
      <c r="D154" s="267" t="s">
        <v>137</v>
      </c>
      <c r="E154" s="266" t="s">
        <v>829</v>
      </c>
      <c r="F154" s="268"/>
      <c r="G154" s="268"/>
      <c r="H154" s="268"/>
      <c r="I154" s="268"/>
      <c r="J154" s="268"/>
      <c r="K154" s="268"/>
      <c r="L154" s="262" t="str">
        <f aca="false">VLOOKUP(A154,'2023当番マスター(旧)'!A:D,4,FALSE())</f>
        <v>鬟谷　　 京香　　</v>
      </c>
      <c r="M154" s="262" t="str">
        <f aca="false">VLOOKUP(A154,2022当番マスター!A:E,4,FALSE())</f>
        <v>鬟谷　　 京香　　</v>
      </c>
    </row>
    <row r="155" customFormat="false" ht="15.75" hidden="false" customHeight="true" outlineLevel="0" collapsed="false">
      <c r="A155" s="266" t="s">
        <v>837</v>
      </c>
      <c r="B155" s="267" t="s">
        <v>1254</v>
      </c>
      <c r="C155" s="267" t="s">
        <v>1436</v>
      </c>
      <c r="D155" s="267" t="s">
        <v>729</v>
      </c>
      <c r="E155" s="266" t="s">
        <v>837</v>
      </c>
      <c r="F155" s="267" t="s">
        <v>1295</v>
      </c>
      <c r="G155" s="267" t="s">
        <v>840</v>
      </c>
      <c r="H155" s="268"/>
      <c r="I155" s="268"/>
      <c r="J155" s="268"/>
      <c r="K155" s="268"/>
      <c r="L155" s="262" t="str">
        <f aca="false">VLOOKUP(A155,'2023当番マスター(旧)'!A:D,4,FALSE())</f>
        <v>藤原　　 夏菜</v>
      </c>
      <c r="M155" s="262" t="str">
        <f aca="false">VLOOKUP(A155,2022当番マスター!A:E,4,FALSE())</f>
        <v>藤原　　 夏菜</v>
      </c>
    </row>
    <row r="156" customFormat="false" ht="15.75" hidden="false" customHeight="true" outlineLevel="0" collapsed="false">
      <c r="A156" s="266" t="s">
        <v>806</v>
      </c>
      <c r="B156" s="267" t="s">
        <v>1254</v>
      </c>
      <c r="C156" s="267" t="s">
        <v>1437</v>
      </c>
      <c r="D156" s="267" t="s">
        <v>808</v>
      </c>
      <c r="E156" s="266" t="s">
        <v>806</v>
      </c>
      <c r="F156" s="268"/>
      <c r="G156" s="268"/>
      <c r="H156" s="268"/>
      <c r="I156" s="268"/>
      <c r="J156" s="268"/>
      <c r="K156" s="268"/>
      <c r="L156" s="262" t="str">
        <f aca="false">VLOOKUP(A156,'2023当番マスター(旧)'!A:D,4,FALSE())</f>
        <v>中島　　 小春　　</v>
      </c>
      <c r="M156" s="262" t="str">
        <f aca="false">VLOOKUP(A156,2022当番マスター!A:E,4,FALSE())</f>
        <v>中島　　 小春　　</v>
      </c>
    </row>
    <row r="157" customFormat="false" ht="15.75" hidden="false" customHeight="true" outlineLevel="0" collapsed="false">
      <c r="A157" s="266" t="s">
        <v>824</v>
      </c>
      <c r="B157" s="267" t="s">
        <v>1254</v>
      </c>
      <c r="C157" s="267" t="s">
        <v>1438</v>
      </c>
      <c r="D157" s="267" t="s">
        <v>826</v>
      </c>
      <c r="E157" s="266" t="s">
        <v>824</v>
      </c>
      <c r="F157" s="267" t="s">
        <v>1298</v>
      </c>
      <c r="G157" s="267" t="s">
        <v>828</v>
      </c>
      <c r="H157" s="268"/>
      <c r="I157" s="268"/>
      <c r="J157" s="268"/>
      <c r="K157" s="268"/>
      <c r="L157" s="262" t="str">
        <f aca="false">VLOOKUP(A157,'2023当番マスター(旧)'!A:D,4,FALSE())</f>
        <v>山本　　 晴子　　</v>
      </c>
      <c r="M157" s="262" t="str">
        <f aca="false">VLOOKUP(A157,2022当番マスター!A:E,4,FALSE())</f>
        <v>山本　　 晴子　　</v>
      </c>
    </row>
    <row r="158" customFormat="false" ht="15.75" hidden="false" customHeight="true" outlineLevel="0" collapsed="false">
      <c r="A158" s="266" t="s">
        <v>854</v>
      </c>
      <c r="B158" s="267" t="s">
        <v>1234</v>
      </c>
      <c r="C158" s="267" t="s">
        <v>1439</v>
      </c>
      <c r="D158" s="267" t="s">
        <v>856</v>
      </c>
      <c r="E158" s="266" t="s">
        <v>854</v>
      </c>
      <c r="F158" s="267" t="s">
        <v>1298</v>
      </c>
      <c r="G158" s="267" t="s">
        <v>858</v>
      </c>
      <c r="H158" s="268"/>
      <c r="I158" s="268"/>
      <c r="J158" s="268"/>
      <c r="K158" s="268"/>
      <c r="L158" s="262" t="str">
        <f aca="false">VLOOKUP(A158,'2023当番マスター(旧)'!A:D,4,FALSE())</f>
        <v>青園　　 炎三　　</v>
      </c>
      <c r="M158" s="262" t="str">
        <f aca="false">VLOOKUP(A158,2022当番マスター!A:E,4,FALSE())</f>
        <v>青園　　 炎三　　</v>
      </c>
    </row>
    <row r="159" customFormat="false" ht="15.75" hidden="false" customHeight="true" outlineLevel="0" collapsed="false">
      <c r="A159" s="266" t="s">
        <v>1440</v>
      </c>
      <c r="B159" s="267" t="s">
        <v>1234</v>
      </c>
      <c r="C159" s="267" t="s">
        <v>1441</v>
      </c>
      <c r="D159" s="267" t="s">
        <v>1442</v>
      </c>
      <c r="E159" s="266" t="s">
        <v>1440</v>
      </c>
      <c r="F159" s="267" t="s">
        <v>1313</v>
      </c>
      <c r="G159" s="267" t="s">
        <v>1443</v>
      </c>
      <c r="H159" s="268"/>
      <c r="I159" s="268"/>
      <c r="J159" s="268"/>
      <c r="K159" s="268"/>
      <c r="L159" s="262" t="e">
        <f aca="false">VLOOKUP(A159,'2023当番マスター(旧)'!A:D,4,FALSE())</f>
        <v>#N/A</v>
      </c>
      <c r="M159" s="262" t="str">
        <f aca="false">VLOOKUP(A159,2022当番マスター!A:E,4,FALSE())</f>
        <v>永嶌　　 亨伍　　</v>
      </c>
    </row>
    <row r="160" customFormat="false" ht="15.75" hidden="false" customHeight="true" outlineLevel="0" collapsed="false">
      <c r="A160" s="266" t="s">
        <v>860</v>
      </c>
      <c r="B160" s="267" t="s">
        <v>1234</v>
      </c>
      <c r="C160" s="267" t="s">
        <v>1444</v>
      </c>
      <c r="D160" s="267" t="s">
        <v>862</v>
      </c>
      <c r="E160" s="266" t="s">
        <v>860</v>
      </c>
      <c r="F160" s="267" t="s">
        <v>1295</v>
      </c>
      <c r="G160" s="267" t="s">
        <v>864</v>
      </c>
      <c r="H160" s="268"/>
      <c r="I160" s="268"/>
      <c r="J160" s="268"/>
      <c r="K160" s="268"/>
      <c r="L160" s="262" t="str">
        <f aca="false">VLOOKUP(A160,'2023当番マスター(旧)'!A:D,4,FALSE())</f>
        <v>増田　　 卓矩　　</v>
      </c>
      <c r="M160" s="262" t="str">
        <f aca="false">VLOOKUP(A160,2022当番マスター!A:E,4,FALSE())</f>
        <v>増田　　 卓矩　　</v>
      </c>
    </row>
    <row r="161" customFormat="false" ht="15.75" hidden="false" customHeight="true" outlineLevel="0" collapsed="false">
      <c r="A161" s="266" t="s">
        <v>849</v>
      </c>
      <c r="B161" s="267" t="s">
        <v>1234</v>
      </c>
      <c r="C161" s="267" t="s">
        <v>1445</v>
      </c>
      <c r="D161" s="267" t="s">
        <v>851</v>
      </c>
      <c r="E161" s="266" t="s">
        <v>849</v>
      </c>
      <c r="F161" s="267" t="s">
        <v>1262</v>
      </c>
      <c r="G161" s="267" t="s">
        <v>853</v>
      </c>
      <c r="H161" s="268"/>
      <c r="I161" s="268"/>
      <c r="J161" s="268"/>
      <c r="K161" s="268"/>
      <c r="L161" s="262" t="str">
        <f aca="false">VLOOKUP(A161,'2023当番マスター(旧)'!A:D,4,FALSE())</f>
        <v>岩村　　 遼　　　</v>
      </c>
      <c r="M161" s="262" t="str">
        <f aca="false">VLOOKUP(A161,2022当番マスター!A:E,4,FALSE())</f>
        <v>岩村　　 遼　　　</v>
      </c>
    </row>
    <row r="162" customFormat="false" ht="15.75" hidden="false" customHeight="true" outlineLevel="0" collapsed="false">
      <c r="A162" s="266" t="s">
        <v>882</v>
      </c>
      <c r="B162" s="267" t="s">
        <v>1234</v>
      </c>
      <c r="C162" s="267" t="s">
        <v>1446</v>
      </c>
      <c r="D162" s="267" t="s">
        <v>884</v>
      </c>
      <c r="E162" s="266" t="s">
        <v>882</v>
      </c>
      <c r="F162" s="267" t="s">
        <v>1298</v>
      </c>
      <c r="G162" s="267" t="s">
        <v>886</v>
      </c>
      <c r="H162" s="268"/>
      <c r="I162" s="268"/>
      <c r="J162" s="268"/>
      <c r="K162" s="268"/>
      <c r="L162" s="262" t="str">
        <f aca="false">VLOOKUP(A162,'2023当番マスター(旧)'!A:D,4,FALSE())</f>
        <v>竹嶋　　 柚稀　　</v>
      </c>
      <c r="M162" s="262" t="str">
        <f aca="false">VLOOKUP(A162,2022当番マスター!A:E,4,FALSE())</f>
        <v>竹嶋　　 柚稀　　</v>
      </c>
    </row>
    <row r="163" customFormat="false" ht="15.75" hidden="false" customHeight="true" outlineLevel="0" collapsed="false">
      <c r="A163" s="266" t="s">
        <v>877</v>
      </c>
      <c r="B163" s="267" t="s">
        <v>1234</v>
      </c>
      <c r="C163" s="267" t="s">
        <v>1447</v>
      </c>
      <c r="D163" s="267" t="s">
        <v>879</v>
      </c>
      <c r="E163" s="266" t="s">
        <v>877</v>
      </c>
      <c r="F163" s="267" t="s">
        <v>1262</v>
      </c>
      <c r="G163" s="267" t="s">
        <v>881</v>
      </c>
      <c r="H163" s="268"/>
      <c r="I163" s="268"/>
      <c r="J163" s="268"/>
      <c r="K163" s="268"/>
      <c r="L163" s="262" t="str">
        <f aca="false">VLOOKUP(A163,'2023当番マスター(旧)'!A:D,4,FALSE())</f>
        <v>久保田　 圭織　　</v>
      </c>
      <c r="M163" s="262" t="str">
        <f aca="false">VLOOKUP(A163,2022当番マスター!A:E,4,FALSE())</f>
        <v>久保田　 圭織　　</v>
      </c>
    </row>
    <row r="164" customFormat="false" ht="15.75" hidden="false" customHeight="true" outlineLevel="0" collapsed="false">
      <c r="A164" s="266" t="s">
        <v>872</v>
      </c>
      <c r="B164" s="267" t="s">
        <v>1234</v>
      </c>
      <c r="C164" s="267" t="s">
        <v>1448</v>
      </c>
      <c r="D164" s="267" t="s">
        <v>874</v>
      </c>
      <c r="E164" s="266" t="s">
        <v>872</v>
      </c>
      <c r="F164" s="267" t="s">
        <v>1313</v>
      </c>
      <c r="G164" s="267" t="s">
        <v>876</v>
      </c>
      <c r="H164" s="268"/>
      <c r="I164" s="268"/>
      <c r="J164" s="268"/>
      <c r="K164" s="268"/>
      <c r="L164" s="262" t="str">
        <f aca="false">VLOOKUP(A164,'2023当番マスター(旧)'!A:D,4,FALSE())</f>
        <v>大久保　 結月　　</v>
      </c>
      <c r="M164" s="262" t="str">
        <f aca="false">VLOOKUP(A164,2022当番マスター!A:E,4,FALSE())</f>
        <v>大久保　 結月　　</v>
      </c>
    </row>
    <row r="165" customFormat="false" ht="15.75" hidden="false" customHeight="true" outlineLevel="0" collapsed="false">
      <c r="A165" s="266" t="s">
        <v>866</v>
      </c>
      <c r="B165" s="267" t="s">
        <v>1234</v>
      </c>
      <c r="C165" s="267" t="s">
        <v>1449</v>
      </c>
      <c r="D165" s="267" t="s">
        <v>868</v>
      </c>
      <c r="E165" s="266" t="s">
        <v>866</v>
      </c>
      <c r="F165" s="267" t="s">
        <v>1341</v>
      </c>
      <c r="G165" s="267" t="s">
        <v>870</v>
      </c>
      <c r="H165" s="268"/>
      <c r="I165" s="268"/>
      <c r="J165" s="268"/>
      <c r="K165" s="268"/>
      <c r="L165" s="262" t="str">
        <f aca="false">VLOOKUP(A165,'2023当番マスター(旧)'!A:D,4,FALSE())</f>
        <v>平野　　 莉央　　</v>
      </c>
      <c r="M165" s="262" t="str">
        <f aca="false">VLOOKUP(A165,2022当番マスター!A:E,4,FALSE())</f>
        <v>平野　　 莉央　　</v>
      </c>
    </row>
    <row r="166" customFormat="false" ht="15.75" hidden="false" customHeight="true" outlineLevel="0" collapsed="false">
      <c r="A166" s="266" t="s">
        <v>894</v>
      </c>
      <c r="B166" s="267" t="s">
        <v>1234</v>
      </c>
      <c r="C166" s="267" t="s">
        <v>1450</v>
      </c>
      <c r="D166" s="267" t="s">
        <v>615</v>
      </c>
      <c r="E166" s="266" t="s">
        <v>894</v>
      </c>
      <c r="F166" s="268"/>
      <c r="G166" s="268"/>
      <c r="H166" s="268"/>
      <c r="I166" s="268"/>
      <c r="J166" s="268"/>
      <c r="K166" s="268"/>
      <c r="L166" s="262" t="str">
        <f aca="false">VLOOKUP(A166,'2023当番マスター(旧)'!A:D,4,FALSE())</f>
        <v>馬場　　 日向子　　</v>
      </c>
      <c r="M166" s="262" t="str">
        <f aca="false">VLOOKUP(A166,2022当番マスター!A:E,4,FALSE())</f>
        <v>馬場　　 日向子　　</v>
      </c>
    </row>
    <row r="167" customFormat="false" ht="15.75" hidden="false" customHeight="true" outlineLevel="0" collapsed="false">
      <c r="A167" s="266" t="s">
        <v>888</v>
      </c>
      <c r="B167" s="267" t="s">
        <v>1234</v>
      </c>
      <c r="C167" s="267" t="s">
        <v>1451</v>
      </c>
      <c r="D167" s="267" t="s">
        <v>890</v>
      </c>
      <c r="E167" s="266" t="s">
        <v>888</v>
      </c>
      <c r="F167" s="267" t="s">
        <v>1298</v>
      </c>
      <c r="G167" s="267" t="s">
        <v>892</v>
      </c>
      <c r="H167" s="267" t="s">
        <v>1341</v>
      </c>
      <c r="I167" s="267" t="s">
        <v>893</v>
      </c>
      <c r="J167" s="268"/>
      <c r="K167" s="268"/>
      <c r="L167" s="262" t="str">
        <f aca="false">VLOOKUP(A167,'2023当番マスター(旧)'!A:D,4,FALSE())</f>
        <v>田中　　 萌彩　　</v>
      </c>
      <c r="M167" s="262" t="str">
        <f aca="false">VLOOKUP(A167,2022当番マスター!A:E,4,FALSE())</f>
        <v>田中　　 萌彩　　</v>
      </c>
    </row>
    <row r="168" customFormat="false" ht="15.75" hidden="false" customHeight="true" outlineLevel="0" collapsed="false">
      <c r="A168" s="266" t="s">
        <v>1452</v>
      </c>
      <c r="B168" s="267" t="s">
        <v>1292</v>
      </c>
      <c r="C168" s="267" t="s">
        <v>1453</v>
      </c>
      <c r="D168" s="267" t="s">
        <v>1454</v>
      </c>
      <c r="E168" s="266" t="s">
        <v>1452</v>
      </c>
      <c r="F168" s="268"/>
      <c r="G168" s="268"/>
      <c r="H168" s="268"/>
      <c r="I168" s="268"/>
      <c r="J168" s="268"/>
      <c r="K168" s="268"/>
      <c r="L168" s="262" t="e">
        <f aca="false">VLOOKUP(A168,'2023当番マスター(旧)'!A:D,4,FALSE())</f>
        <v>#N/A</v>
      </c>
      <c r="M168" s="262" t="str">
        <f aca="false">VLOOKUP(A168,2022当番マスター!A:E,4,FALSE())</f>
        <v>堀場　　 巧巳　　</v>
      </c>
    </row>
    <row r="169" customFormat="false" ht="15.75" hidden="false" customHeight="true" outlineLevel="0" collapsed="false">
      <c r="A169" s="266" t="s">
        <v>924</v>
      </c>
      <c r="B169" s="267" t="s">
        <v>1292</v>
      </c>
      <c r="C169" s="267" t="s">
        <v>1455</v>
      </c>
      <c r="D169" s="267" t="s">
        <v>926</v>
      </c>
      <c r="E169" s="266" t="s">
        <v>924</v>
      </c>
      <c r="F169" s="268"/>
      <c r="G169" s="268"/>
      <c r="H169" s="268"/>
      <c r="I169" s="268"/>
      <c r="J169" s="268"/>
      <c r="K169" s="268"/>
      <c r="L169" s="262" t="str">
        <f aca="false">VLOOKUP(A169,'2023当番マスター(旧)'!A:D,4,FALSE())</f>
        <v>西宮　　 壮亮</v>
      </c>
      <c r="M169" s="262" t="str">
        <f aca="false">VLOOKUP(A169,2022当番マスター!A:E,4,FALSE())</f>
        <v>西宮　　 壮亮</v>
      </c>
    </row>
    <row r="170" customFormat="false" ht="15.75" hidden="false" customHeight="true" outlineLevel="0" collapsed="false">
      <c r="A170" s="266" t="s">
        <v>1456</v>
      </c>
      <c r="B170" s="267" t="s">
        <v>1292</v>
      </c>
      <c r="C170" s="267" t="s">
        <v>1457</v>
      </c>
      <c r="D170" s="267" t="s">
        <v>1458</v>
      </c>
      <c r="E170" s="266" t="s">
        <v>1456</v>
      </c>
      <c r="F170" s="268"/>
      <c r="G170" s="268"/>
      <c r="H170" s="268"/>
      <c r="I170" s="268"/>
      <c r="J170" s="268"/>
      <c r="K170" s="268"/>
      <c r="L170" s="262" t="e">
        <f aca="false">VLOOKUP(A170,'2023当番マスター(旧)'!A:D,4,FALSE())</f>
        <v>#N/A</v>
      </c>
      <c r="M170" s="262" t="str">
        <f aca="false">VLOOKUP(A170,2022当番マスター!A:E,4,FALSE())</f>
        <v>小林　　 拓真　　</v>
      </c>
    </row>
    <row r="171" customFormat="false" ht="15.75" hidden="false" customHeight="true" outlineLevel="0" collapsed="false">
      <c r="A171" s="266" t="s">
        <v>898</v>
      </c>
      <c r="B171" s="267" t="s">
        <v>1292</v>
      </c>
      <c r="C171" s="267" t="s">
        <v>1459</v>
      </c>
      <c r="D171" s="267" t="s">
        <v>900</v>
      </c>
      <c r="E171" s="266" t="s">
        <v>898</v>
      </c>
      <c r="F171" s="268"/>
      <c r="G171" s="268"/>
      <c r="H171" s="268"/>
      <c r="I171" s="268"/>
      <c r="J171" s="268"/>
      <c r="K171" s="268"/>
      <c r="L171" s="262" t="str">
        <f aca="false">VLOOKUP(A171,'2023当番マスター(旧)'!A:D,4,FALSE())</f>
        <v>藤田　　 涼太郎　</v>
      </c>
      <c r="M171" s="262" t="str">
        <f aca="false">VLOOKUP(A171,2022当番マスター!A:E,4,FALSE())</f>
        <v>藤田　　 涼太郎　</v>
      </c>
    </row>
    <row r="172" customFormat="false" ht="15.75" hidden="false" customHeight="true" outlineLevel="0" collapsed="false">
      <c r="A172" s="266" t="s">
        <v>945</v>
      </c>
      <c r="B172" s="267" t="s">
        <v>1292</v>
      </c>
      <c r="C172" s="267" t="s">
        <v>1460</v>
      </c>
      <c r="D172" s="267" t="s">
        <v>947</v>
      </c>
      <c r="E172" s="266" t="s">
        <v>945</v>
      </c>
      <c r="F172" s="267" t="s">
        <v>1368</v>
      </c>
      <c r="G172" s="267" t="s">
        <v>950</v>
      </c>
      <c r="H172" s="268"/>
      <c r="I172" s="268"/>
      <c r="J172" s="268"/>
      <c r="K172" s="268"/>
      <c r="L172" s="262" t="str">
        <f aca="false">VLOOKUP(A172,'2023当番マスター(旧)'!A:D,4,FALSE())</f>
        <v>菊地 　　奏太</v>
      </c>
      <c r="M172" s="262" t="str">
        <f aca="false">VLOOKUP(A172,2022当番マスター!A:E,4,FALSE())</f>
        <v>菊地 　　奏太</v>
      </c>
    </row>
    <row r="173" customFormat="false" ht="15.75" hidden="false" customHeight="true" outlineLevel="0" collapsed="false">
      <c r="A173" s="266" t="s">
        <v>904</v>
      </c>
      <c r="B173" s="267" t="s">
        <v>1292</v>
      </c>
      <c r="C173" s="267" t="s">
        <v>1461</v>
      </c>
      <c r="D173" s="267" t="s">
        <v>906</v>
      </c>
      <c r="E173" s="266" t="s">
        <v>904</v>
      </c>
      <c r="F173" s="267" t="s">
        <v>1295</v>
      </c>
      <c r="G173" s="267" t="s">
        <v>1462</v>
      </c>
      <c r="H173" s="268"/>
      <c r="I173" s="268"/>
      <c r="J173" s="268"/>
      <c r="K173" s="268"/>
      <c r="L173" s="262" t="str">
        <f aca="false">VLOOKUP(A173,'2023当番マスター(旧)'!A:D,4,FALSE())</f>
        <v>長生　　 萌百花　</v>
      </c>
      <c r="M173" s="262" t="str">
        <f aca="false">VLOOKUP(A173,2022当番マスター!A:E,4,FALSE())</f>
        <v>長生　　 萌百花　</v>
      </c>
    </row>
    <row r="174" customFormat="false" ht="15.75" hidden="false" customHeight="true" outlineLevel="0" collapsed="false">
      <c r="A174" s="266" t="s">
        <v>919</v>
      </c>
      <c r="B174" s="267" t="s">
        <v>1292</v>
      </c>
      <c r="C174" s="267" t="s">
        <v>1463</v>
      </c>
      <c r="D174" s="267" t="s">
        <v>921</v>
      </c>
      <c r="E174" s="266" t="s">
        <v>919</v>
      </c>
      <c r="F174" s="267" t="s">
        <v>1295</v>
      </c>
      <c r="G174" s="267" t="s">
        <v>1464</v>
      </c>
      <c r="H174" s="268"/>
      <c r="I174" s="268"/>
      <c r="J174" s="268"/>
      <c r="K174" s="268"/>
      <c r="L174" s="262" t="str">
        <f aca="false">VLOOKUP(A174,'2023当番マスター(旧)'!A:D,4,FALSE())</f>
        <v>国分寺　 美優　　</v>
      </c>
      <c r="M174" s="262" t="str">
        <f aca="false">VLOOKUP(A174,2022当番マスター!A:E,4,FALSE())</f>
        <v>国分寺　 美優　　</v>
      </c>
    </row>
    <row r="175" customFormat="false" ht="15.75" hidden="false" customHeight="true" outlineLevel="0" collapsed="false">
      <c r="A175" s="266" t="s">
        <v>938</v>
      </c>
      <c r="B175" s="267" t="s">
        <v>1292</v>
      </c>
      <c r="C175" s="267" t="s">
        <v>1465</v>
      </c>
      <c r="D175" s="267" t="s">
        <v>941</v>
      </c>
      <c r="E175" s="266" t="s">
        <v>938</v>
      </c>
      <c r="F175" s="267" t="s">
        <v>1313</v>
      </c>
      <c r="G175" s="267" t="s">
        <v>944</v>
      </c>
      <c r="H175" s="268"/>
      <c r="I175" s="268"/>
      <c r="J175" s="268"/>
      <c r="K175" s="268"/>
      <c r="L175" s="262" t="str">
        <f aca="false">VLOOKUP(A175,'2023当番マスター(旧)'!A:D,4,FALSE())</f>
        <v>人見         梨里衣</v>
      </c>
      <c r="M175" s="262" t="str">
        <f aca="false">VLOOKUP(A175,2022当番マスター!A:E,4,FALSE())</f>
        <v>人見         梨里衣</v>
      </c>
    </row>
    <row r="176" customFormat="false" ht="15.75" hidden="false" customHeight="true" outlineLevel="0" collapsed="false">
      <c r="A176" s="266" t="s">
        <v>908</v>
      </c>
      <c r="B176" s="267" t="s">
        <v>1292</v>
      </c>
      <c r="C176" s="267" t="s">
        <v>1466</v>
      </c>
      <c r="D176" s="267" t="s">
        <v>910</v>
      </c>
      <c r="E176" s="266" t="s">
        <v>908</v>
      </c>
      <c r="F176" s="267" t="s">
        <v>1262</v>
      </c>
      <c r="G176" s="267" t="s">
        <v>912</v>
      </c>
      <c r="H176" s="268"/>
      <c r="I176" s="268"/>
      <c r="J176" s="268"/>
      <c r="K176" s="268"/>
      <c r="L176" s="262" t="str">
        <f aca="false">VLOOKUP(A176,'2023当番マスター(旧)'!A:D,4,FALSE())</f>
        <v>藤田　　 瑞葵　　</v>
      </c>
      <c r="M176" s="262" t="str">
        <f aca="false">VLOOKUP(A176,2022当番マスター!A:E,4,FALSE())</f>
        <v>藤田　　 瑞葵　　</v>
      </c>
    </row>
    <row r="177" customFormat="false" ht="15.75" hidden="false" customHeight="true" outlineLevel="0" collapsed="false">
      <c r="A177" s="266" t="s">
        <v>928</v>
      </c>
      <c r="B177" s="267" t="s">
        <v>1292</v>
      </c>
      <c r="C177" s="267" t="s">
        <v>1467</v>
      </c>
      <c r="D177" s="267" t="s">
        <v>930</v>
      </c>
      <c r="E177" s="266" t="s">
        <v>928</v>
      </c>
      <c r="F177" s="268"/>
      <c r="G177" s="268"/>
      <c r="H177" s="268"/>
      <c r="I177" s="268"/>
      <c r="J177" s="268"/>
      <c r="K177" s="268"/>
      <c r="L177" s="262" t="str">
        <f aca="false">VLOOKUP(A177,'2023当番マスター(旧)'!A:D,4,FALSE())</f>
        <v>村瀬　　 羽菜</v>
      </c>
      <c r="M177" s="262" t="str">
        <f aca="false">VLOOKUP(A177,2022当番マスター!A:E,4,FALSE())</f>
        <v>村瀬　　 羽菜</v>
      </c>
    </row>
    <row r="178" customFormat="false" ht="15.75" hidden="false" customHeight="true" outlineLevel="0" collapsed="false">
      <c r="A178" s="266" t="s">
        <v>932</v>
      </c>
      <c r="B178" s="267" t="s">
        <v>1292</v>
      </c>
      <c r="C178" s="267" t="s">
        <v>1468</v>
      </c>
      <c r="D178" s="267" t="s">
        <v>935</v>
      </c>
      <c r="E178" s="266" t="s">
        <v>932</v>
      </c>
      <c r="F178" s="267" t="s">
        <v>1295</v>
      </c>
      <c r="G178" s="267" t="s">
        <v>937</v>
      </c>
      <c r="H178" s="268"/>
      <c r="I178" s="268"/>
      <c r="J178" s="268"/>
      <c r="K178" s="268"/>
      <c r="L178" s="262" t="str">
        <f aca="false">VLOOKUP(A178,'2023当番マスター(旧)'!A:D,4,FALSE())</f>
        <v>中島　　 実玲</v>
      </c>
      <c r="M178" s="262" t="str">
        <f aca="false">VLOOKUP(A178,2022当番マスター!A:E,4,FALSE())</f>
        <v>中島　　 実玲</v>
      </c>
    </row>
    <row r="179" customFormat="false" ht="15.75" hidden="false" customHeight="true" outlineLevel="0" collapsed="false">
      <c r="A179" s="266" t="s">
        <v>913</v>
      </c>
      <c r="B179" s="267" t="s">
        <v>1292</v>
      </c>
      <c r="C179" s="267" t="s">
        <v>1469</v>
      </c>
      <c r="D179" s="267" t="s">
        <v>915</v>
      </c>
      <c r="E179" s="266" t="s">
        <v>913</v>
      </c>
      <c r="F179" s="267" t="s">
        <v>1295</v>
      </c>
      <c r="G179" s="267" t="s">
        <v>917</v>
      </c>
      <c r="H179" s="268"/>
      <c r="I179" s="268"/>
      <c r="J179" s="268"/>
      <c r="K179" s="268"/>
      <c r="L179" s="262" t="str">
        <f aca="false">VLOOKUP(A179,'2023当番マスター(旧)'!A:D,4,FALSE())</f>
        <v>富賀見　 芽依　　</v>
      </c>
      <c r="M179" s="262" t="str">
        <f aca="false">VLOOKUP(A179,2022当番マスター!A:E,4,FALSE())</f>
        <v>富賀見　 芽依　　</v>
      </c>
    </row>
    <row r="180" customFormat="false" ht="15.75" hidden="false" customHeight="true" outlineLevel="0" collapsed="false">
      <c r="A180" s="266" t="s">
        <v>1470</v>
      </c>
      <c r="B180" s="267" t="s">
        <v>1255</v>
      </c>
      <c r="C180" s="267" t="s">
        <v>1471</v>
      </c>
      <c r="D180" s="267" t="s">
        <v>1472</v>
      </c>
      <c r="E180" s="266" t="s">
        <v>1470</v>
      </c>
      <c r="F180" s="268"/>
      <c r="G180" s="268"/>
      <c r="H180" s="268"/>
      <c r="I180" s="268"/>
      <c r="J180" s="268"/>
      <c r="K180" s="268"/>
      <c r="L180" s="262" t="e">
        <f aca="false">VLOOKUP(A180,'2023当番マスター(旧)'!A:D,4,FALSE())</f>
        <v>#N/A</v>
      </c>
      <c r="M180" s="262" t="str">
        <f aca="false">VLOOKUP(A180,2022当番マスター!A:E,4,FALSE())</f>
        <v>王　　　 東隅　　</v>
      </c>
    </row>
    <row r="181" customFormat="false" ht="15.75" hidden="false" customHeight="true" outlineLevel="0" collapsed="false">
      <c r="A181" s="266" t="s">
        <v>951</v>
      </c>
      <c r="B181" s="267" t="s">
        <v>1255</v>
      </c>
      <c r="C181" s="267" t="s">
        <v>1473</v>
      </c>
      <c r="D181" s="267" t="s">
        <v>953</v>
      </c>
      <c r="E181" s="266" t="s">
        <v>951</v>
      </c>
      <c r="F181" s="267" t="s">
        <v>1255</v>
      </c>
      <c r="G181" s="267" t="s">
        <v>955</v>
      </c>
      <c r="H181" s="268"/>
      <c r="I181" s="268"/>
      <c r="J181" s="268"/>
      <c r="K181" s="268"/>
      <c r="L181" s="262" t="str">
        <f aca="false">VLOOKUP(A181,'2023当番マスター(旧)'!A:D,4,FALSE())</f>
        <v>武田　　 慧　　　</v>
      </c>
      <c r="M181" s="262" t="str">
        <f aca="false">VLOOKUP(A181,2022当番マスター!A:E,4,FALSE())</f>
        <v>武田　　 慧　　　</v>
      </c>
    </row>
    <row r="182" customFormat="false" ht="15.75" hidden="false" customHeight="true" outlineLevel="0" collapsed="false">
      <c r="A182" s="266" t="s">
        <v>958</v>
      </c>
      <c r="B182" s="267" t="s">
        <v>1255</v>
      </c>
      <c r="C182" s="267" t="s">
        <v>1474</v>
      </c>
      <c r="D182" s="267" t="s">
        <v>960</v>
      </c>
      <c r="E182" s="266" t="s">
        <v>958</v>
      </c>
      <c r="F182" s="268"/>
      <c r="G182" s="268"/>
      <c r="H182" s="268"/>
      <c r="I182" s="268"/>
      <c r="J182" s="268"/>
      <c r="K182" s="268"/>
      <c r="L182" s="262" t="str">
        <f aca="false">VLOOKUP(A182,'2023当番マスター(旧)'!A:D,4,FALSE())</f>
        <v>日野　　 開翔　　</v>
      </c>
      <c r="M182" s="262" t="str">
        <f aca="false">VLOOKUP(A182,2022当番マスター!A:E,4,FALSE())</f>
        <v>日野　　 開翔　　</v>
      </c>
    </row>
    <row r="183" customFormat="false" ht="15.75" hidden="false" customHeight="true" outlineLevel="0" collapsed="false">
      <c r="A183" s="266" t="s">
        <v>962</v>
      </c>
      <c r="B183" s="267" t="s">
        <v>1255</v>
      </c>
      <c r="C183" s="267" t="s">
        <v>1475</v>
      </c>
      <c r="D183" s="267" t="s">
        <v>964</v>
      </c>
      <c r="E183" s="266" t="s">
        <v>962</v>
      </c>
      <c r="F183" s="267" t="s">
        <v>1262</v>
      </c>
      <c r="G183" s="267" t="s">
        <v>966</v>
      </c>
      <c r="H183" s="268"/>
      <c r="I183" s="268"/>
      <c r="J183" s="268"/>
      <c r="K183" s="268"/>
      <c r="L183" s="262" t="str">
        <f aca="false">VLOOKUP(A183,'2023当番マスター(旧)'!A:D,4,FALSE())</f>
        <v>黒田　　 遼介　　</v>
      </c>
      <c r="M183" s="262" t="str">
        <f aca="false">VLOOKUP(A183,2022当番マスター!A:E,4,FALSE())</f>
        <v>黒田　　 遼介　　</v>
      </c>
    </row>
    <row r="184" customFormat="false" ht="15.75" hidden="false" customHeight="true" outlineLevel="0" collapsed="false">
      <c r="A184" s="266" t="s">
        <v>967</v>
      </c>
      <c r="B184" s="267" t="s">
        <v>1255</v>
      </c>
      <c r="C184" s="267" t="s">
        <v>1476</v>
      </c>
      <c r="D184" s="267" t="s">
        <v>969</v>
      </c>
      <c r="E184" s="266" t="s">
        <v>967</v>
      </c>
      <c r="F184" s="267" t="s">
        <v>1341</v>
      </c>
      <c r="G184" s="267" t="s">
        <v>971</v>
      </c>
      <c r="H184" s="268"/>
      <c r="I184" s="268"/>
      <c r="J184" s="268"/>
      <c r="K184" s="268"/>
      <c r="L184" s="262" t="str">
        <f aca="false">VLOOKUP(A184,'2023当番マスター(旧)'!A:D,4,FALSE())</f>
        <v>日栁　　 沙彩　　</v>
      </c>
      <c r="M184" s="262" t="str">
        <f aca="false">VLOOKUP(A184,2022当番マスター!A:E,4,FALSE())</f>
        <v>日栁　　 沙彩　　</v>
      </c>
    </row>
    <row r="185" customFormat="false" ht="15.75" hidden="false" customHeight="true" outlineLevel="0" collapsed="false">
      <c r="A185" s="266" t="s">
        <v>973</v>
      </c>
      <c r="B185" s="267" t="s">
        <v>1255</v>
      </c>
      <c r="C185" s="267" t="s">
        <v>1477</v>
      </c>
      <c r="D185" s="267" t="s">
        <v>975</v>
      </c>
      <c r="E185" s="266" t="s">
        <v>973</v>
      </c>
      <c r="F185" s="267" t="s">
        <v>1262</v>
      </c>
      <c r="G185" s="267" t="s">
        <v>978</v>
      </c>
      <c r="H185" s="268"/>
      <c r="I185" s="268"/>
      <c r="J185" s="268"/>
      <c r="K185" s="268"/>
      <c r="L185" s="262" t="str">
        <f aca="false">VLOOKUP(A185,'2023当番マスター(旧)'!A:D,4,FALSE())</f>
        <v>江嵜　　 璃海　　</v>
      </c>
      <c r="M185" s="262" t="str">
        <f aca="false">VLOOKUP(A185,2022当番マスター!A:E,4,FALSE())</f>
        <v>江嵜　　 璃海　　</v>
      </c>
    </row>
    <row r="186" customFormat="false" ht="15.75" hidden="false" customHeight="true" outlineLevel="0" collapsed="false">
      <c r="A186" s="266" t="s">
        <v>1009</v>
      </c>
      <c r="B186" s="267" t="s">
        <v>1272</v>
      </c>
      <c r="C186" s="267" t="s">
        <v>1478</v>
      </c>
      <c r="D186" s="267" t="s">
        <v>1012</v>
      </c>
      <c r="E186" s="266" t="s">
        <v>1009</v>
      </c>
      <c r="F186" s="268"/>
      <c r="G186" s="268"/>
      <c r="H186" s="268"/>
      <c r="I186" s="268"/>
      <c r="J186" s="268"/>
      <c r="K186" s="268"/>
      <c r="L186" s="262" t="str">
        <f aca="false">VLOOKUP(A186,'2023当番マスター(旧)'!A:D,4,FALSE())</f>
        <v>山田　　 悠人　</v>
      </c>
      <c r="M186" s="262" t="str">
        <f aca="false">VLOOKUP(A186,2022当番マスター!A:E,4,FALSE())</f>
        <v>山田　　 悠人　</v>
      </c>
    </row>
    <row r="187" customFormat="false" ht="15.75" hidden="false" customHeight="true" outlineLevel="0" collapsed="false">
      <c r="A187" s="266" t="s">
        <v>995</v>
      </c>
      <c r="B187" s="267" t="s">
        <v>1272</v>
      </c>
      <c r="C187" s="267" t="s">
        <v>1479</v>
      </c>
      <c r="D187" s="267" t="s">
        <v>997</v>
      </c>
      <c r="E187" s="266" t="s">
        <v>995</v>
      </c>
      <c r="F187" s="267" t="s">
        <v>1262</v>
      </c>
      <c r="G187" s="267" t="s">
        <v>999</v>
      </c>
      <c r="H187" s="268"/>
      <c r="I187" s="268"/>
      <c r="J187" s="268"/>
      <c r="K187" s="268"/>
      <c r="L187" s="262" t="str">
        <f aca="false">VLOOKUP(A187,'2023当番マスター(旧)'!A:D,4,FALSE())</f>
        <v>名和田　 大輝　　</v>
      </c>
      <c r="M187" s="262" t="str">
        <f aca="false">VLOOKUP(A187,2022当番マスター!A:E,4,FALSE())</f>
        <v>名和田　 大輝　　</v>
      </c>
    </row>
    <row r="188" customFormat="false" ht="15.75" hidden="false" customHeight="true" outlineLevel="0" collapsed="false">
      <c r="A188" s="266" t="s">
        <v>979</v>
      </c>
      <c r="B188" s="267" t="s">
        <v>1272</v>
      </c>
      <c r="C188" s="267" t="s">
        <v>1480</v>
      </c>
      <c r="D188" s="267" t="s">
        <v>981</v>
      </c>
      <c r="E188" s="266" t="s">
        <v>979</v>
      </c>
      <c r="F188" s="267" t="s">
        <v>1295</v>
      </c>
      <c r="G188" s="267" t="s">
        <v>983</v>
      </c>
      <c r="H188" s="268"/>
      <c r="I188" s="268"/>
      <c r="J188" s="268"/>
      <c r="K188" s="268"/>
      <c r="L188" s="262" t="str">
        <f aca="false">VLOOKUP(A188,'2023当番マスター(旧)'!A:D,4,FALSE())</f>
        <v>古畑　　 生織　　</v>
      </c>
      <c r="M188" s="262" t="str">
        <f aca="false">VLOOKUP(A188,2022当番マスター!A:E,4,FALSE())</f>
        <v>古畑　　 生織　　</v>
      </c>
    </row>
    <row r="189" customFormat="false" ht="15.75" hidden="false" customHeight="true" outlineLevel="0" collapsed="false">
      <c r="A189" s="266" t="s">
        <v>1015</v>
      </c>
      <c r="B189" s="267" t="s">
        <v>1272</v>
      </c>
      <c r="C189" s="267" t="s">
        <v>1481</v>
      </c>
      <c r="D189" s="267" t="s">
        <v>1482</v>
      </c>
      <c r="E189" s="266" t="s">
        <v>1015</v>
      </c>
      <c r="F189" s="267" t="s">
        <v>1341</v>
      </c>
      <c r="G189" s="267" t="s">
        <v>1483</v>
      </c>
      <c r="H189" s="268"/>
      <c r="I189" s="268"/>
      <c r="J189" s="268"/>
      <c r="K189" s="268"/>
      <c r="L189" s="262" t="str">
        <f aca="false">VLOOKUP(A189,'2023当番マスター(旧)'!A:D,4,FALSE())</f>
        <v>堀内        漣</v>
      </c>
      <c r="M189" s="262" t="str">
        <f aca="false">VLOOKUP(A189,2022当番マスター!A:E,4,FALSE())</f>
        <v>堀内　　 漣　　　</v>
      </c>
    </row>
    <row r="190" customFormat="false" ht="15.75" hidden="false" customHeight="true" outlineLevel="0" collapsed="false">
      <c r="A190" s="266" t="s">
        <v>984</v>
      </c>
      <c r="B190" s="267" t="s">
        <v>1272</v>
      </c>
      <c r="C190" s="267" t="s">
        <v>1484</v>
      </c>
      <c r="D190" s="267" t="s">
        <v>986</v>
      </c>
      <c r="E190" s="266" t="s">
        <v>984</v>
      </c>
      <c r="F190" s="267" t="s">
        <v>1341</v>
      </c>
      <c r="G190" s="267" t="s">
        <v>988</v>
      </c>
      <c r="H190" s="268"/>
      <c r="I190" s="268"/>
      <c r="J190" s="268"/>
      <c r="K190" s="268"/>
      <c r="L190" s="262" t="str">
        <f aca="false">VLOOKUP(A190,'2023当番マスター(旧)'!A:D,4,FALSE())</f>
        <v>糟谷　　 環太　　</v>
      </c>
      <c r="M190" s="262" t="str">
        <f aca="false">VLOOKUP(A190,2022当番マスター!A:E,4,FALSE())</f>
        <v>糟谷　　 環太　　</v>
      </c>
    </row>
    <row r="191" customFormat="false" ht="15.75" hidden="false" customHeight="true" outlineLevel="0" collapsed="false">
      <c r="A191" s="266" t="s">
        <v>990</v>
      </c>
      <c r="B191" s="267" t="s">
        <v>1272</v>
      </c>
      <c r="C191" s="267" t="s">
        <v>1485</v>
      </c>
      <c r="D191" s="267" t="s">
        <v>992</v>
      </c>
      <c r="E191" s="266" t="s">
        <v>990</v>
      </c>
      <c r="F191" s="268"/>
      <c r="G191" s="268"/>
      <c r="H191" s="268"/>
      <c r="I191" s="268"/>
      <c r="J191" s="268"/>
      <c r="K191" s="268"/>
      <c r="L191" s="262" t="str">
        <f aca="false">VLOOKUP(A191,'2023当番マスター(旧)'!A:D,4,FALSE())</f>
        <v>スワンソン 海渡　　</v>
      </c>
      <c r="M191" s="262" t="str">
        <f aca="false">VLOOKUP(A191,2022当番マスター!A:E,4,FALSE())</f>
        <v>スワンソン 海渡　　</v>
      </c>
    </row>
    <row r="192" customFormat="false" ht="15.75" hidden="false" customHeight="true" outlineLevel="0" collapsed="false">
      <c r="A192" s="266" t="s">
        <v>1486</v>
      </c>
      <c r="B192" s="267" t="s">
        <v>1272</v>
      </c>
      <c r="C192" s="267" t="s">
        <v>1487</v>
      </c>
      <c r="D192" s="267" t="s">
        <v>1488</v>
      </c>
      <c r="E192" s="266" t="s">
        <v>1486</v>
      </c>
      <c r="F192" s="267" t="s">
        <v>1489</v>
      </c>
      <c r="G192" s="267" t="s">
        <v>1490</v>
      </c>
      <c r="H192" s="268"/>
      <c r="I192" s="268"/>
      <c r="J192" s="268"/>
      <c r="K192" s="268"/>
      <c r="L192" s="262" t="e">
        <f aca="false">VLOOKUP(A192,'2023当番マスター(旧)'!A:D,4,FALSE())</f>
        <v>#N/A</v>
      </c>
      <c r="M192" s="262" t="str">
        <f aca="false">VLOOKUP(A192,2022当番マスター!A:E,4,FALSE())</f>
        <v>大川　　 真生　　</v>
      </c>
    </row>
    <row r="193" customFormat="false" ht="15.75" hidden="false" customHeight="true" outlineLevel="0" collapsed="false">
      <c r="A193" s="266" t="s">
        <v>1005</v>
      </c>
      <c r="B193" s="267" t="s">
        <v>1272</v>
      </c>
      <c r="C193" s="267" t="s">
        <v>1491</v>
      </c>
      <c r="D193" s="267" t="s">
        <v>1007</v>
      </c>
      <c r="E193" s="266" t="s">
        <v>1005</v>
      </c>
      <c r="F193" s="268"/>
      <c r="G193" s="268"/>
      <c r="H193" s="268"/>
      <c r="I193" s="268"/>
      <c r="J193" s="268"/>
      <c r="K193" s="268"/>
      <c r="L193" s="262" t="str">
        <f aca="false">VLOOKUP(A193,'2023当番マスター(旧)'!A:D,4,FALSE())</f>
        <v>シールズ 桜　　　</v>
      </c>
      <c r="M193" s="262" t="str">
        <f aca="false">VLOOKUP(A193,2022当番マスター!A:E,4,FALSE())</f>
        <v>シールズ 桜　　　</v>
      </c>
    </row>
    <row r="194" customFormat="false" ht="15.75" hidden="false" customHeight="true" outlineLevel="0" collapsed="false">
      <c r="A194" s="266" t="s">
        <v>1000</v>
      </c>
      <c r="B194" s="267" t="s">
        <v>1272</v>
      </c>
      <c r="C194" s="267" t="s">
        <v>1492</v>
      </c>
      <c r="D194" s="267" t="s">
        <v>1002</v>
      </c>
      <c r="E194" s="266" t="s">
        <v>1000</v>
      </c>
      <c r="F194" s="267" t="s">
        <v>1368</v>
      </c>
      <c r="G194" s="267" t="s">
        <v>1004</v>
      </c>
      <c r="H194" s="268"/>
      <c r="I194" s="268"/>
      <c r="J194" s="268"/>
      <c r="K194" s="268"/>
      <c r="L194" s="262" t="str">
        <f aca="false">VLOOKUP(A194,'2023当番マスター(旧)'!A:D,4,FALSE())</f>
        <v>田中　　 公香　　</v>
      </c>
      <c r="M194" s="262" t="str">
        <f aca="false">VLOOKUP(A194,2022当番マスター!A:E,4,FALSE())</f>
        <v>田中　　 公香　　</v>
      </c>
    </row>
    <row r="195" customFormat="false" ht="15.75" hidden="false" customHeight="true" outlineLevel="0" collapsed="false">
      <c r="A195" s="266" t="s">
        <v>1020</v>
      </c>
      <c r="B195" s="267" t="s">
        <v>1298</v>
      </c>
      <c r="C195" s="267" t="s">
        <v>1493</v>
      </c>
      <c r="D195" s="267" t="s">
        <v>1022</v>
      </c>
      <c r="E195" s="266" t="s">
        <v>1020</v>
      </c>
      <c r="F195" s="267" t="s">
        <v>1262</v>
      </c>
      <c r="G195" s="267" t="s">
        <v>1024</v>
      </c>
      <c r="H195" s="268"/>
      <c r="I195" s="268"/>
      <c r="J195" s="268"/>
      <c r="K195" s="268"/>
      <c r="L195" s="262" t="str">
        <f aca="false">VLOOKUP(A195,'2023当番マスター(旧)'!A:D,4,FALSE())</f>
        <v>濱岡　　 尚裕　　</v>
      </c>
      <c r="M195" s="262" t="str">
        <f aca="false">VLOOKUP(A195,2022当番マスター!A:E,4,FALSE())</f>
        <v>濱岡　　 尚裕　　</v>
      </c>
    </row>
    <row r="196" customFormat="false" ht="15.75" hidden="false" customHeight="true" outlineLevel="0" collapsed="false">
      <c r="A196" s="266" t="s">
        <v>1025</v>
      </c>
      <c r="B196" s="267" t="s">
        <v>1298</v>
      </c>
      <c r="C196" s="267" t="s">
        <v>1494</v>
      </c>
      <c r="D196" s="267" t="s">
        <v>1027</v>
      </c>
      <c r="E196" s="266" t="s">
        <v>1025</v>
      </c>
      <c r="F196" s="268"/>
      <c r="G196" s="268"/>
      <c r="H196" s="268"/>
      <c r="I196" s="268"/>
      <c r="J196" s="268"/>
      <c r="K196" s="268"/>
      <c r="L196" s="262" t="str">
        <f aca="false">VLOOKUP(A196,'2023当番マスター(旧)'!A:D,4,FALSE())</f>
        <v>前田　　 康喜　　</v>
      </c>
      <c r="M196" s="262" t="str">
        <f aca="false">VLOOKUP(A196,2022当番マスター!A:E,4,FALSE())</f>
        <v>前田　　 康喜　　</v>
      </c>
    </row>
    <row r="197" customFormat="false" ht="15.75" hidden="false" customHeight="true" outlineLevel="0" collapsed="false">
      <c r="A197" s="266" t="s">
        <v>1495</v>
      </c>
      <c r="B197" s="267" t="s">
        <v>1298</v>
      </c>
      <c r="C197" s="267" t="s">
        <v>1496</v>
      </c>
      <c r="D197" s="267" t="s">
        <v>1497</v>
      </c>
      <c r="E197" s="266" t="s">
        <v>1495</v>
      </c>
      <c r="F197" s="268"/>
      <c r="G197" s="268"/>
      <c r="H197" s="268"/>
      <c r="I197" s="268"/>
      <c r="J197" s="268"/>
      <c r="K197" s="268"/>
      <c r="L197" s="262" t="e">
        <f aca="false">VLOOKUP(A197,'2023当番マスター(旧)'!A:D,4,FALSE())</f>
        <v>#N/A</v>
      </c>
      <c r="M197" s="262" t="str">
        <f aca="false">VLOOKUP(A197,2022当番マスター!A:E,4,FALSE())</f>
        <v>切原　　 楓大　　</v>
      </c>
    </row>
    <row r="198" customFormat="false" ht="15.75" hidden="false" customHeight="true" outlineLevel="0" collapsed="false">
      <c r="A198" s="266" t="s">
        <v>1031</v>
      </c>
      <c r="B198" s="267" t="s">
        <v>1298</v>
      </c>
      <c r="C198" s="267" t="s">
        <v>1498</v>
      </c>
      <c r="D198" s="267" t="s">
        <v>1033</v>
      </c>
      <c r="E198" s="266" t="s">
        <v>1031</v>
      </c>
      <c r="F198" s="267" t="s">
        <v>1262</v>
      </c>
      <c r="G198" s="267" t="s">
        <v>1035</v>
      </c>
      <c r="H198" s="268"/>
      <c r="I198" s="268"/>
      <c r="J198" s="268"/>
      <c r="K198" s="268"/>
      <c r="L198" s="262" t="str">
        <f aca="false">VLOOKUP(A198,'2023当番マスター(旧)'!A:D,4,FALSE())</f>
        <v>太田　　 理仁　　</v>
      </c>
      <c r="M198" s="262" t="str">
        <f aca="false">VLOOKUP(A198,2022当番マスター!A:E,4,FALSE())</f>
        <v>太田　　 理仁　　</v>
      </c>
    </row>
    <row r="199" customFormat="false" ht="15.75" hidden="false" customHeight="true" outlineLevel="0" collapsed="false">
      <c r="A199" s="266" t="s">
        <v>1044</v>
      </c>
      <c r="B199" s="267" t="s">
        <v>1298</v>
      </c>
      <c r="C199" s="267" t="s">
        <v>1499</v>
      </c>
      <c r="D199" s="267" t="s">
        <v>1046</v>
      </c>
      <c r="E199" s="266" t="s">
        <v>1044</v>
      </c>
      <c r="F199" s="267" t="s">
        <v>1295</v>
      </c>
      <c r="G199" s="267" t="s">
        <v>1048</v>
      </c>
      <c r="H199" s="268"/>
      <c r="I199" s="268"/>
      <c r="J199" s="268"/>
      <c r="K199" s="268"/>
      <c r="L199" s="262" t="str">
        <f aca="false">VLOOKUP(A199,'2023当番マスター(旧)'!A:D,4,FALSE())</f>
        <v>川口　　 恵里佳　</v>
      </c>
      <c r="M199" s="262" t="str">
        <f aca="false">VLOOKUP(A199,2022当番マスター!A:E,4,FALSE())</f>
        <v>川口　　 恵里佳　</v>
      </c>
    </row>
    <row r="200" customFormat="false" ht="15.75" hidden="false" customHeight="true" outlineLevel="0" collapsed="false">
      <c r="A200" s="266" t="s">
        <v>1500</v>
      </c>
      <c r="B200" s="267" t="s">
        <v>1298</v>
      </c>
      <c r="C200" s="267" t="s">
        <v>1501</v>
      </c>
      <c r="D200" s="267" t="s">
        <v>1502</v>
      </c>
      <c r="E200" s="266" t="s">
        <v>1500</v>
      </c>
      <c r="F200" s="268"/>
      <c r="G200" s="268"/>
      <c r="H200" s="268"/>
      <c r="I200" s="268"/>
      <c r="J200" s="268"/>
      <c r="K200" s="268"/>
      <c r="L200" s="262" t="e">
        <f aca="false">VLOOKUP(A200,'2023当番マスター(旧)'!A:D,4,FALSE())</f>
        <v>#N/A</v>
      </c>
      <c r="M200" s="262" t="str">
        <f aca="false">VLOOKUP(A200,2022当番マスター!A:E,4,FALSE())</f>
        <v>メンツアー 杏　　　</v>
      </c>
    </row>
    <row r="201" customFormat="false" ht="15.75" hidden="false" customHeight="true" outlineLevel="0" collapsed="false">
      <c r="A201" s="266" t="s">
        <v>1049</v>
      </c>
      <c r="B201" s="267" t="s">
        <v>1298</v>
      </c>
      <c r="C201" s="267" t="s">
        <v>1503</v>
      </c>
      <c r="D201" s="267" t="s">
        <v>1051</v>
      </c>
      <c r="E201" s="266" t="s">
        <v>1049</v>
      </c>
      <c r="F201" s="268"/>
      <c r="G201" s="268"/>
      <c r="H201" s="268"/>
      <c r="I201" s="268"/>
      <c r="J201" s="268"/>
      <c r="K201" s="268"/>
      <c r="L201" s="262" t="str">
        <f aca="false">VLOOKUP(A201,'2023当番マスター(旧)'!A:D,4,FALSE())</f>
        <v>森川　　 千凪　　</v>
      </c>
      <c r="M201" s="262" t="str">
        <f aca="false">VLOOKUP(A201,2022当番マスター!A:E,4,FALSE())</f>
        <v>森川　　 千凪　　</v>
      </c>
    </row>
    <row r="202" customFormat="false" ht="15.75" hidden="false" customHeight="true" outlineLevel="0" collapsed="false">
      <c r="A202" s="266" t="s">
        <v>1040</v>
      </c>
      <c r="B202" s="267" t="s">
        <v>1298</v>
      </c>
      <c r="C202" s="267" t="s">
        <v>1504</v>
      </c>
      <c r="D202" s="267" t="s">
        <v>1042</v>
      </c>
      <c r="E202" s="266" t="s">
        <v>1040</v>
      </c>
      <c r="F202" s="268"/>
      <c r="G202" s="268"/>
      <c r="H202" s="268"/>
      <c r="I202" s="268"/>
      <c r="J202" s="268"/>
      <c r="K202" s="268"/>
      <c r="L202" s="262" t="str">
        <f aca="false">VLOOKUP(A202,'2023当番マスター(旧)'!A:D,4,FALSE())</f>
        <v>大瀧　　 陽葵　　</v>
      </c>
      <c r="M202" s="262" t="str">
        <f aca="false">VLOOKUP(A202,2022当番マスター!A:E,4,FALSE())</f>
        <v>大瀧　　 陽葵　　</v>
      </c>
    </row>
    <row r="203" customFormat="false" ht="15.75" hidden="false" customHeight="true" outlineLevel="0" collapsed="false">
      <c r="A203" s="266" t="s">
        <v>1053</v>
      </c>
      <c r="B203" s="267" t="s">
        <v>1298</v>
      </c>
      <c r="C203" s="267" t="s">
        <v>1505</v>
      </c>
      <c r="D203" s="267" t="s">
        <v>1055</v>
      </c>
      <c r="E203" s="266" t="s">
        <v>1053</v>
      </c>
      <c r="F203" s="268"/>
      <c r="G203" s="268"/>
      <c r="H203" s="268"/>
      <c r="I203" s="268"/>
      <c r="J203" s="268"/>
      <c r="K203" s="268"/>
      <c r="L203" s="262" t="str">
        <f aca="false">VLOOKUP(A203,'2023当番マスター(旧)'!A:D,4,FALSE())</f>
        <v>大塚　　 ルビー　</v>
      </c>
      <c r="M203" s="262" t="str">
        <f aca="false">VLOOKUP(A203,2022当番マスター!A:E,4,FALSE())</f>
        <v>大塚　　 ルビー　</v>
      </c>
    </row>
    <row r="204" customFormat="false" ht="15.75" hidden="false" customHeight="true" outlineLevel="0" collapsed="false">
      <c r="A204" s="266" t="s">
        <v>1036</v>
      </c>
      <c r="B204" s="267" t="s">
        <v>1298</v>
      </c>
      <c r="C204" s="267" t="s">
        <v>1506</v>
      </c>
      <c r="D204" s="267" t="s">
        <v>1038</v>
      </c>
      <c r="E204" s="266" t="s">
        <v>1036</v>
      </c>
      <c r="F204" s="268"/>
      <c r="G204" s="268"/>
      <c r="H204" s="268"/>
      <c r="I204" s="268"/>
      <c r="J204" s="268"/>
      <c r="K204" s="268"/>
      <c r="L204" s="262" t="str">
        <f aca="false">VLOOKUP(A204,'2023当番マスター(旧)'!A:D,4,FALSE())</f>
        <v>莅戸　　 利紗　　</v>
      </c>
      <c r="M204" s="262" t="str">
        <f aca="false">VLOOKUP(A204,2022当番マスター!A:E,4,FALSE())</f>
        <v>莅戸　　 利紗　　</v>
      </c>
    </row>
    <row r="205" customFormat="false" ht="15.75" hidden="false" customHeight="true" outlineLevel="0" collapsed="false">
      <c r="A205" s="266" t="s">
        <v>1067</v>
      </c>
      <c r="B205" s="267" t="s">
        <v>1313</v>
      </c>
      <c r="C205" s="267" t="s">
        <v>1507</v>
      </c>
      <c r="D205" s="267" t="s">
        <v>1069</v>
      </c>
      <c r="E205" s="266" t="s">
        <v>1067</v>
      </c>
      <c r="F205" s="267" t="s">
        <v>1341</v>
      </c>
      <c r="G205" s="267" t="s">
        <v>1508</v>
      </c>
      <c r="H205" s="268"/>
      <c r="I205" s="268"/>
      <c r="J205" s="268"/>
      <c r="K205" s="268"/>
      <c r="L205" s="262" t="str">
        <f aca="false">VLOOKUP(A205,'2023当番マスター(旧)'!A:D,4,FALSE())</f>
        <v>古田　　 輝朗　　</v>
      </c>
      <c r="M205" s="262" t="str">
        <f aca="false">VLOOKUP(A205,2022当番マスター!A:E,4,FALSE())</f>
        <v>古田　　 輝朗　　</v>
      </c>
    </row>
    <row r="206" customFormat="false" ht="15.75" hidden="false" customHeight="true" outlineLevel="0" collapsed="false">
      <c r="A206" s="266" t="s">
        <v>1058</v>
      </c>
      <c r="B206" s="267" t="s">
        <v>1313</v>
      </c>
      <c r="C206" s="267" t="s">
        <v>1509</v>
      </c>
      <c r="D206" s="267" t="s">
        <v>1060</v>
      </c>
      <c r="E206" s="266" t="s">
        <v>1058</v>
      </c>
      <c r="F206" s="267" t="s">
        <v>1341</v>
      </c>
      <c r="G206" s="267" t="s">
        <v>1062</v>
      </c>
      <c r="H206" s="268"/>
      <c r="I206" s="268"/>
      <c r="J206" s="268"/>
      <c r="K206" s="268"/>
      <c r="L206" s="262" t="str">
        <f aca="false">VLOOKUP(A206,'2023当番マスター(旧)'!A:D,4,FALSE())</f>
        <v>アリガンバリ シーナ　</v>
      </c>
      <c r="M206" s="262" t="str">
        <f aca="false">VLOOKUP(A206,2022当番マスター!A:E,4,FALSE())</f>
        <v>アリガンバリ シーナ　</v>
      </c>
    </row>
    <row r="207" customFormat="false" ht="15.75" hidden="false" customHeight="true" outlineLevel="0" collapsed="false">
      <c r="A207" s="266" t="s">
        <v>1063</v>
      </c>
      <c r="B207" s="267" t="s">
        <v>1313</v>
      </c>
      <c r="C207" s="267" t="s">
        <v>1510</v>
      </c>
      <c r="D207" s="267" t="s">
        <v>1065</v>
      </c>
      <c r="E207" s="266" t="s">
        <v>1063</v>
      </c>
      <c r="F207" s="268"/>
      <c r="G207" s="268"/>
      <c r="H207" s="268"/>
      <c r="I207" s="268"/>
      <c r="J207" s="268"/>
      <c r="K207" s="268"/>
      <c r="L207" s="262" t="str">
        <f aca="false">VLOOKUP(A207,'2023当番マスター(旧)'!A:D,4,FALSE())</f>
        <v>山川　　 陽大　　</v>
      </c>
      <c r="M207" s="262" t="str">
        <f aca="false">VLOOKUP(A207,2022当番マスター!A:E,4,FALSE())</f>
        <v>山川　　 陽大　　</v>
      </c>
    </row>
    <row r="208" customFormat="false" ht="15.75" hidden="false" customHeight="true" outlineLevel="0" collapsed="false">
      <c r="A208" s="266" t="s">
        <v>1511</v>
      </c>
      <c r="B208" s="267" t="s">
        <v>1313</v>
      </c>
      <c r="C208" s="267" t="s">
        <v>1512</v>
      </c>
      <c r="D208" s="267" t="s">
        <v>1513</v>
      </c>
      <c r="E208" s="266" t="s">
        <v>1511</v>
      </c>
      <c r="F208" s="268"/>
      <c r="G208" s="268"/>
      <c r="H208" s="268"/>
      <c r="I208" s="268"/>
      <c r="J208" s="268"/>
      <c r="K208" s="268"/>
      <c r="L208" s="262" t="e">
        <f aca="false">VLOOKUP(A208,'2023当番マスター(旧)'!A:D,4,FALSE())</f>
        <v>#N/A</v>
      </c>
      <c r="M208" s="262" t="str">
        <f aca="false">VLOOKUP(A208,2022当番マスター!A:E,4,FALSE())</f>
        <v>古橋　　 虎太郎　</v>
      </c>
    </row>
    <row r="209" customFormat="false" ht="15.75" hidden="false" customHeight="true" outlineLevel="0" collapsed="false">
      <c r="A209" s="266" t="s">
        <v>1080</v>
      </c>
      <c r="B209" s="267" t="s">
        <v>1313</v>
      </c>
      <c r="C209" s="267" t="s">
        <v>1514</v>
      </c>
      <c r="D209" s="267" t="s">
        <v>1082</v>
      </c>
      <c r="E209" s="266" t="s">
        <v>1080</v>
      </c>
      <c r="F209" s="268"/>
      <c r="G209" s="268"/>
      <c r="H209" s="268"/>
      <c r="I209" s="268"/>
      <c r="J209" s="268"/>
      <c r="K209" s="268"/>
      <c r="L209" s="262" t="str">
        <f aca="false">VLOOKUP(A209,'2023当番マスター(旧)'!A:D,4,FALSE())</f>
        <v>久留　　 綾夏　　</v>
      </c>
      <c r="M209" s="262" t="str">
        <f aca="false">VLOOKUP(A209,2022当番マスター!A:E,4,FALSE())</f>
        <v>久留　　 綾夏　　</v>
      </c>
    </row>
    <row r="210" customFormat="false" ht="15.75" hidden="false" customHeight="true" outlineLevel="0" collapsed="false">
      <c r="A210" s="266" t="s">
        <v>1076</v>
      </c>
      <c r="B210" s="267" t="s">
        <v>1313</v>
      </c>
      <c r="C210" s="267" t="s">
        <v>1077</v>
      </c>
      <c r="D210" s="267" t="s">
        <v>1078</v>
      </c>
      <c r="E210" s="266" t="s">
        <v>1076</v>
      </c>
      <c r="F210" s="268"/>
      <c r="G210" s="268"/>
      <c r="H210" s="268"/>
      <c r="I210" s="268"/>
      <c r="J210" s="268"/>
      <c r="K210" s="268"/>
      <c r="L210" s="262" t="str">
        <f aca="false">VLOOKUP(A210,'2023当番マスター(旧)'!A:D,4,FALSE())</f>
        <v>デイサッター アメリア</v>
      </c>
      <c r="M210" s="262" t="str">
        <f aca="false">VLOOKUP(A210,2022当番マスター!A:E,4,FALSE())</f>
        <v>デイサッター アメリア</v>
      </c>
    </row>
    <row r="211" customFormat="false" ht="15.75" hidden="false" customHeight="true" outlineLevel="0" collapsed="false">
      <c r="A211" s="266" t="s">
        <v>1072</v>
      </c>
      <c r="B211" s="267" t="s">
        <v>1313</v>
      </c>
      <c r="C211" s="267" t="s">
        <v>1515</v>
      </c>
      <c r="D211" s="267" t="s">
        <v>1074</v>
      </c>
      <c r="E211" s="266" t="s">
        <v>1072</v>
      </c>
      <c r="F211" s="268"/>
      <c r="G211" s="268"/>
      <c r="H211" s="268"/>
      <c r="I211" s="268"/>
      <c r="J211" s="268"/>
      <c r="K211" s="268"/>
      <c r="L211" s="262" t="str">
        <f aca="false">VLOOKUP(A211,'2023当番マスター(旧)'!A:D,4,FALSE())</f>
        <v>小川　　 結愛　　</v>
      </c>
      <c r="M211" s="262" t="str">
        <f aca="false">VLOOKUP(A211,2022当番マスター!A:E,4,FALSE())</f>
        <v>小川　　 結愛　　</v>
      </c>
    </row>
    <row r="212" customFormat="false" ht="15.75" hidden="false" customHeight="true" outlineLevel="0" collapsed="false">
      <c r="A212" s="266" t="s">
        <v>1092</v>
      </c>
      <c r="B212" s="267" t="s">
        <v>1295</v>
      </c>
      <c r="C212" s="267" t="s">
        <v>1516</v>
      </c>
      <c r="D212" s="267" t="s">
        <v>1094</v>
      </c>
      <c r="E212" s="266" t="s">
        <v>1092</v>
      </c>
      <c r="F212" s="267" t="s">
        <v>1368</v>
      </c>
      <c r="G212" s="267" t="s">
        <v>1096</v>
      </c>
      <c r="H212" s="268"/>
      <c r="I212" s="268"/>
      <c r="J212" s="268"/>
      <c r="K212" s="268"/>
      <c r="L212" s="262" t="str">
        <f aca="false">VLOOKUP(A212,'2023当番マスター(旧)'!A:D,4,FALSE())</f>
        <v>鈴木　　 想来　　</v>
      </c>
      <c r="M212" s="262" t="str">
        <f aca="false">VLOOKUP(A212,2022当番マスター!A:E,4,FALSE())</f>
        <v>鈴木　　 想来　　</v>
      </c>
    </row>
    <row r="213" customFormat="false" ht="15.75" hidden="false" customHeight="true" outlineLevel="0" collapsed="false">
      <c r="A213" s="266" t="s">
        <v>1084</v>
      </c>
      <c r="B213" s="267" t="s">
        <v>1295</v>
      </c>
      <c r="C213" s="267" t="s">
        <v>1517</v>
      </c>
      <c r="D213" s="267" t="s">
        <v>543</v>
      </c>
      <c r="E213" s="266" t="s">
        <v>1084</v>
      </c>
      <c r="F213" s="268"/>
      <c r="G213" s="268"/>
      <c r="H213" s="268"/>
      <c r="I213" s="268"/>
      <c r="J213" s="268"/>
      <c r="K213" s="268"/>
      <c r="L213" s="262" t="str">
        <f aca="false">VLOOKUP(A213,'2023当番マスター(旧)'!A:D,4,FALSE())</f>
        <v>木谷　　 優治　　</v>
      </c>
      <c r="M213" s="262" t="str">
        <f aca="false">VLOOKUP(A213,2022当番マスター!A:E,4,FALSE())</f>
        <v>木谷　　 優治　　</v>
      </c>
    </row>
    <row r="214" customFormat="false" ht="15.75" hidden="false" customHeight="true" outlineLevel="0" collapsed="false">
      <c r="A214" s="266" t="s">
        <v>1518</v>
      </c>
      <c r="B214" s="267" t="s">
        <v>1295</v>
      </c>
      <c r="C214" s="267" t="s">
        <v>1519</v>
      </c>
      <c r="D214" s="267" t="s">
        <v>1520</v>
      </c>
      <c r="E214" s="266" t="s">
        <v>1518</v>
      </c>
      <c r="F214" s="268"/>
      <c r="G214" s="268"/>
      <c r="H214" s="268"/>
      <c r="I214" s="268"/>
      <c r="J214" s="268"/>
      <c r="K214" s="268"/>
      <c r="L214" s="262" t="e">
        <f aca="false">VLOOKUP(A214,'2023当番マスター(旧)'!A:D,4,FALSE())</f>
        <v>#N/A</v>
      </c>
      <c r="M214" s="262" t="str">
        <f aca="false">VLOOKUP(A214,2022当番マスター!A:E,4,FALSE())</f>
        <v>加藤　　 優空　　</v>
      </c>
    </row>
    <row r="215" customFormat="false" ht="15.75" hidden="false" customHeight="true" outlineLevel="0" collapsed="false">
      <c r="A215" s="266" t="s">
        <v>1087</v>
      </c>
      <c r="B215" s="267" t="s">
        <v>1295</v>
      </c>
      <c r="C215" s="267" t="s">
        <v>1521</v>
      </c>
      <c r="D215" s="267" t="s">
        <v>1089</v>
      </c>
      <c r="E215" s="266" t="s">
        <v>1087</v>
      </c>
      <c r="F215" s="268"/>
      <c r="G215" s="268"/>
      <c r="H215" s="268"/>
      <c r="I215" s="268"/>
      <c r="J215" s="268"/>
      <c r="K215" s="268"/>
      <c r="L215" s="262" t="str">
        <f aca="false">VLOOKUP(A215,'2023当番マスター(旧)'!A:D,4,FALSE())</f>
        <v>辻　　　 海澄　　</v>
      </c>
      <c r="M215" s="262" t="str">
        <f aca="false">VLOOKUP(A215,2022当番マスター!A:E,4,FALSE())</f>
        <v>辻　　　 海澄　　</v>
      </c>
    </row>
    <row r="216" customFormat="false" ht="15.75" hidden="false" customHeight="true" outlineLevel="0" collapsed="false">
      <c r="A216" s="266" t="s">
        <v>1522</v>
      </c>
      <c r="B216" s="267" t="s">
        <v>1295</v>
      </c>
      <c r="C216" s="267" t="s">
        <v>1523</v>
      </c>
      <c r="D216" s="267" t="s">
        <v>320</v>
      </c>
      <c r="E216" s="266" t="s">
        <v>1522</v>
      </c>
      <c r="F216" s="267" t="s">
        <v>1341</v>
      </c>
      <c r="G216" s="267" t="s">
        <v>1524</v>
      </c>
      <c r="H216" s="268"/>
      <c r="I216" s="268"/>
      <c r="J216" s="268"/>
      <c r="K216" s="268"/>
      <c r="L216" s="262" t="e">
        <f aca="false">VLOOKUP(A216,'2023当番マスター(旧)'!A:D,4,FALSE())</f>
        <v>#N/A</v>
      </c>
      <c r="M216" s="262" t="str">
        <f aca="false">VLOOKUP(A216,2022当番マスター!A:E,4,FALSE())</f>
        <v>竹本　　 航　　　</v>
      </c>
    </row>
    <row r="217" customFormat="false" ht="15.75" hidden="false" customHeight="true" outlineLevel="0" collapsed="false">
      <c r="A217" s="266" t="s">
        <v>1525</v>
      </c>
      <c r="B217" s="267" t="s">
        <v>1295</v>
      </c>
      <c r="C217" s="267" t="s">
        <v>1526</v>
      </c>
      <c r="D217" s="267" t="s">
        <v>1527</v>
      </c>
      <c r="E217" s="266" t="s">
        <v>1525</v>
      </c>
      <c r="F217" s="268"/>
      <c r="G217" s="268"/>
      <c r="H217" s="268"/>
      <c r="I217" s="268"/>
      <c r="J217" s="268"/>
      <c r="K217" s="268"/>
      <c r="L217" s="262" t="e">
        <f aca="false">VLOOKUP(A217,'2023当番マスター(旧)'!A:D,4,FALSE())</f>
        <v>#N/A</v>
      </c>
      <c r="M217" s="262" t="str">
        <f aca="false">VLOOKUP(A217,2022当番マスター!A:E,4,FALSE())</f>
        <v>ウィトキンズ 海登　　</v>
      </c>
    </row>
    <row r="218" customFormat="false" ht="15.75" hidden="false" customHeight="true" outlineLevel="0" collapsed="false">
      <c r="A218" s="266" t="s">
        <v>1528</v>
      </c>
      <c r="B218" s="267" t="s">
        <v>1295</v>
      </c>
      <c r="C218" s="267" t="s">
        <v>1529</v>
      </c>
      <c r="D218" s="267" t="s">
        <v>1530</v>
      </c>
      <c r="E218" s="266" t="s">
        <v>1528</v>
      </c>
      <c r="F218" s="268"/>
      <c r="G218" s="268"/>
      <c r="H218" s="268"/>
      <c r="I218" s="268"/>
      <c r="J218" s="268"/>
      <c r="K218" s="268"/>
      <c r="L218" s="262" t="e">
        <f aca="false">VLOOKUP(A218,'2023当番マスター(旧)'!A:D,4,FALSE())</f>
        <v>#N/A</v>
      </c>
      <c r="M218" s="262" t="str">
        <f aca="false">VLOOKUP(A218,2022当番マスター!A:E,4,FALSE())</f>
        <v>小山田　 茂利</v>
      </c>
    </row>
    <row r="219" customFormat="false" ht="15.75" hidden="false" customHeight="true" outlineLevel="0" collapsed="false">
      <c r="A219" s="266" t="s">
        <v>1102</v>
      </c>
      <c r="B219" s="267" t="s">
        <v>1295</v>
      </c>
      <c r="C219" s="267" t="s">
        <v>1531</v>
      </c>
      <c r="D219" s="267" t="s">
        <v>1104</v>
      </c>
      <c r="E219" s="266" t="s">
        <v>1102</v>
      </c>
      <c r="F219" s="268"/>
      <c r="G219" s="268"/>
      <c r="H219" s="268"/>
      <c r="I219" s="268"/>
      <c r="J219" s="268"/>
      <c r="K219" s="268"/>
      <c r="L219" s="262" t="str">
        <f aca="false">VLOOKUP(A219,'2023当番マスター(旧)'!A:D,4,FALSE())</f>
        <v>辻田　　 美桜　　</v>
      </c>
      <c r="M219" s="262" t="str">
        <f aca="false">VLOOKUP(A219,2022当番マスター!A:E,4,FALSE())</f>
        <v>辻田　　 美桜　　</v>
      </c>
    </row>
    <row r="220" customFormat="false" ht="15.75" hidden="false" customHeight="true" outlineLevel="0" collapsed="false">
      <c r="A220" s="266" t="s">
        <v>1107</v>
      </c>
      <c r="B220" s="267" t="s">
        <v>1295</v>
      </c>
      <c r="C220" s="267" t="s">
        <v>1532</v>
      </c>
      <c r="D220" s="267" t="s">
        <v>1109</v>
      </c>
      <c r="E220" s="266" t="s">
        <v>1107</v>
      </c>
      <c r="F220" s="268"/>
      <c r="G220" s="268"/>
      <c r="H220" s="268"/>
      <c r="I220" s="268"/>
      <c r="J220" s="268"/>
      <c r="K220" s="268"/>
      <c r="L220" s="262" t="str">
        <f aca="false">VLOOKUP(A220,'2023当番マスター(旧)'!A:D,4,FALSE())</f>
        <v>山﨑　　 美宙　　</v>
      </c>
      <c r="M220" s="262" t="str">
        <f aca="false">VLOOKUP(A220,2022当番マスター!A:E,4,FALSE())</f>
        <v>山﨑　　 美宙　　</v>
      </c>
    </row>
    <row r="221" customFormat="false" ht="15.75" hidden="false" customHeight="true" outlineLevel="0" collapsed="false">
      <c r="A221" s="266" t="s">
        <v>1098</v>
      </c>
      <c r="B221" s="267" t="s">
        <v>1295</v>
      </c>
      <c r="C221" s="267" t="s">
        <v>1533</v>
      </c>
      <c r="D221" s="267" t="s">
        <v>1100</v>
      </c>
      <c r="E221" s="266" t="s">
        <v>1098</v>
      </c>
      <c r="F221" s="268"/>
      <c r="G221" s="268"/>
      <c r="H221" s="268"/>
      <c r="I221" s="268"/>
      <c r="J221" s="268"/>
      <c r="K221" s="268"/>
      <c r="L221" s="262" t="str">
        <f aca="false">VLOOKUP(A221,'2023当番マスター(旧)'!A:D,4,FALSE())</f>
        <v>横垣　　 雪菜　　</v>
      </c>
      <c r="M221" s="262" t="str">
        <f aca="false">VLOOKUP(A221,2022当番マスター!A:E,4,FALSE())</f>
        <v>横垣　　 雪菜　　</v>
      </c>
    </row>
    <row r="222" customFormat="false" ht="15.75" hidden="false" customHeight="true" outlineLevel="0" collapsed="false">
      <c r="A222" s="266" t="s">
        <v>1111</v>
      </c>
      <c r="B222" s="267" t="s">
        <v>1295</v>
      </c>
      <c r="C222" s="267" t="s">
        <v>1534</v>
      </c>
      <c r="D222" s="267" t="s">
        <v>1114</v>
      </c>
      <c r="E222" s="266" t="s">
        <v>1111</v>
      </c>
      <c r="F222" s="267" t="s">
        <v>1368</v>
      </c>
      <c r="G222" s="267" t="s">
        <v>1535</v>
      </c>
      <c r="H222" s="268"/>
      <c r="I222" s="268"/>
      <c r="J222" s="268"/>
      <c r="K222" s="268"/>
      <c r="L222" s="262" t="str">
        <f aca="false">VLOOKUP(A222,'2023当番マスター(旧)'!A:D,4,FALSE())</f>
        <v>柳田　　 唯花</v>
      </c>
      <c r="M222" s="262" t="str">
        <f aca="false">VLOOKUP(A222,2022当番マスター!A:E,4,FALSE())</f>
        <v>柳田　　 唯花</v>
      </c>
    </row>
    <row r="223" customFormat="false" ht="15.75" hidden="false" customHeight="true" outlineLevel="0" collapsed="false">
      <c r="A223" s="266" t="s">
        <v>1536</v>
      </c>
      <c r="B223" s="267" t="s">
        <v>1295</v>
      </c>
      <c r="C223" s="267" t="s">
        <v>1537</v>
      </c>
      <c r="D223" s="267" t="s">
        <v>1538</v>
      </c>
      <c r="E223" s="266" t="s">
        <v>1536</v>
      </c>
      <c r="F223" s="268"/>
      <c r="G223" s="268"/>
      <c r="H223" s="268"/>
      <c r="I223" s="268"/>
      <c r="J223" s="268"/>
      <c r="K223" s="268"/>
      <c r="L223" s="262" t="e">
        <f aca="false">VLOOKUP(A223,'2023当番マスター(旧)'!A:D,4,FALSE())</f>
        <v>#N/A</v>
      </c>
      <c r="M223" s="262" t="str">
        <f aca="false">VLOOKUP(A223,2022当番マスター!A:E,4,FALSE())</f>
        <v>豊田　　 はるひ　</v>
      </c>
    </row>
    <row r="224" customFormat="false" ht="15.75" hidden="false" customHeight="true" outlineLevel="0" collapsed="false">
      <c r="A224" s="266" t="s">
        <v>1133</v>
      </c>
      <c r="B224" s="267" t="s">
        <v>1262</v>
      </c>
      <c r="C224" s="267" t="s">
        <v>1539</v>
      </c>
      <c r="D224" s="267" t="s">
        <v>434</v>
      </c>
      <c r="E224" s="266" t="s">
        <v>1133</v>
      </c>
      <c r="F224" s="268"/>
      <c r="G224" s="268"/>
      <c r="H224" s="268"/>
      <c r="I224" s="268"/>
      <c r="J224" s="268"/>
      <c r="K224" s="268"/>
      <c r="L224" s="262" t="str">
        <f aca="false">VLOOKUP(A224,'2023当番マスター(旧)'!A:D,4,FALSE())</f>
        <v>森　　　 海聖　　</v>
      </c>
      <c r="M224" s="262" t="str">
        <f aca="false">VLOOKUP(A224,2022当番マスター!A:E,4,FALSE())</f>
        <v>森　　　 海聖　　</v>
      </c>
    </row>
    <row r="225" customFormat="false" ht="15.75" hidden="false" customHeight="true" outlineLevel="0" collapsed="false">
      <c r="A225" s="266" t="s">
        <v>1164</v>
      </c>
      <c r="B225" s="267" t="s">
        <v>1262</v>
      </c>
      <c r="C225" s="267" t="s">
        <v>1540</v>
      </c>
      <c r="D225" s="266" t="s">
        <v>1166</v>
      </c>
      <c r="E225" s="266" t="s">
        <v>1164</v>
      </c>
      <c r="F225" s="267" t="s">
        <v>1341</v>
      </c>
      <c r="G225" s="267" t="s">
        <v>1541</v>
      </c>
      <c r="H225" s="268"/>
      <c r="I225" s="268"/>
      <c r="J225" s="268"/>
      <c r="K225" s="268"/>
      <c r="L225" s="262" t="str">
        <f aca="false">VLOOKUP(A225,'2023当番マスター(旧)'!A:D,4,FALSE())</f>
        <v>加藤　　 愛梨花</v>
      </c>
      <c r="M225" s="262" t="str">
        <f aca="false">VLOOKUP(A225,2022当番マスター!A:E,4,FALSE())</f>
        <v>加藤　　 愛梨花</v>
      </c>
    </row>
    <row r="226" customFormat="false" ht="15.75" hidden="false" customHeight="true" outlineLevel="0" collapsed="false">
      <c r="A226" s="266" t="s">
        <v>1116</v>
      </c>
      <c r="B226" s="267" t="s">
        <v>1262</v>
      </c>
      <c r="C226" s="267" t="s">
        <v>1542</v>
      </c>
      <c r="D226" s="267" t="s">
        <v>1118</v>
      </c>
      <c r="E226" s="266" t="s">
        <v>1116</v>
      </c>
      <c r="F226" s="268"/>
      <c r="G226" s="268"/>
      <c r="H226" s="268"/>
      <c r="I226" s="268"/>
      <c r="J226" s="268"/>
      <c r="K226" s="268"/>
      <c r="L226" s="262" t="str">
        <f aca="false">VLOOKUP(A226,'2023当番マスター(旧)'!A:D,4,FALSE())</f>
        <v>鎌田　　 空　　　</v>
      </c>
      <c r="M226" s="262" t="str">
        <f aca="false">VLOOKUP(A226,2022当番マスター!A:E,4,FALSE())</f>
        <v>鎌田　　 空　　　</v>
      </c>
    </row>
    <row r="227" customFormat="false" ht="15.75" hidden="false" customHeight="true" outlineLevel="0" collapsed="false">
      <c r="A227" s="266" t="s">
        <v>1136</v>
      </c>
      <c r="B227" s="267" t="s">
        <v>1262</v>
      </c>
      <c r="C227" s="267" t="s">
        <v>1543</v>
      </c>
      <c r="D227" s="267" t="s">
        <v>1138</v>
      </c>
      <c r="E227" s="266" t="s">
        <v>1136</v>
      </c>
      <c r="F227" s="267" t="s">
        <v>1489</v>
      </c>
      <c r="G227" s="267" t="s">
        <v>1140</v>
      </c>
      <c r="H227" s="268"/>
      <c r="I227" s="268"/>
      <c r="J227" s="268"/>
      <c r="K227" s="268"/>
      <c r="L227" s="262" t="str">
        <f aca="false">VLOOKUP(A227,'2023当番マスター(旧)'!A:D,4,FALSE())</f>
        <v>清水　　 太一　　</v>
      </c>
      <c r="M227" s="262" t="str">
        <f aca="false">VLOOKUP(A227,2022当番マスター!A:E,4,FALSE())</f>
        <v>清水　　 太一　　</v>
      </c>
    </row>
    <row r="228" customFormat="false" ht="15.75" hidden="false" customHeight="true" outlineLevel="0" collapsed="false">
      <c r="A228" s="266" t="s">
        <v>1126</v>
      </c>
      <c r="B228" s="267" t="s">
        <v>1262</v>
      </c>
      <c r="C228" s="267" t="s">
        <v>1544</v>
      </c>
      <c r="D228" s="267" t="s">
        <v>1128</v>
      </c>
      <c r="E228" s="266" t="s">
        <v>1126</v>
      </c>
      <c r="F228" s="267" t="s">
        <v>1489</v>
      </c>
      <c r="G228" s="267" t="s">
        <v>1131</v>
      </c>
      <c r="H228" s="268"/>
      <c r="I228" s="268"/>
      <c r="J228" s="268"/>
      <c r="K228" s="268"/>
      <c r="L228" s="262" t="str">
        <f aca="false">VLOOKUP(A228,'2023当番マスター(旧)'!A:D,4,FALSE())</f>
        <v>堂園　　 玲士　　</v>
      </c>
      <c r="M228" s="262" t="str">
        <f aca="false">VLOOKUP(A228,2022当番マスター!A:E,4,FALSE())</f>
        <v>堂園　　 玲士　　</v>
      </c>
    </row>
    <row r="229" customFormat="false" ht="15.75" hidden="false" customHeight="true" outlineLevel="0" collapsed="false">
      <c r="A229" s="266" t="s">
        <v>1160</v>
      </c>
      <c r="B229" s="267" t="s">
        <v>1262</v>
      </c>
      <c r="C229" s="267" t="s">
        <v>1545</v>
      </c>
      <c r="D229" s="267" t="s">
        <v>1162</v>
      </c>
      <c r="E229" s="266" t="s">
        <v>1160</v>
      </c>
      <c r="F229" s="268"/>
      <c r="G229" s="268"/>
      <c r="H229" s="268"/>
      <c r="I229" s="268"/>
      <c r="J229" s="268"/>
      <c r="K229" s="268"/>
      <c r="L229" s="262" t="str">
        <f aca="false">VLOOKUP(A229,'2023当番マスター(旧)'!A:D,4,FALSE())</f>
        <v>中井　　 架</v>
      </c>
      <c r="M229" s="262" t="str">
        <f aca="false">VLOOKUP(A229,2022当番マスター!A:E,4,FALSE())</f>
        <v>中井　　 架</v>
      </c>
    </row>
    <row r="230" customFormat="false" ht="15.75" hidden="false" customHeight="true" outlineLevel="0" collapsed="false">
      <c r="A230" s="266" t="s">
        <v>1120</v>
      </c>
      <c r="B230" s="267" t="s">
        <v>1262</v>
      </c>
      <c r="C230" s="267" t="s">
        <v>1546</v>
      </c>
      <c r="D230" s="267" t="s">
        <v>1122</v>
      </c>
      <c r="E230" s="266" t="s">
        <v>1120</v>
      </c>
      <c r="F230" s="268"/>
      <c r="G230" s="268"/>
      <c r="H230" s="268"/>
      <c r="I230" s="268"/>
      <c r="J230" s="268"/>
      <c r="K230" s="268"/>
      <c r="L230" s="262" t="str">
        <f aca="false">VLOOKUP(A230,'2023当番マスター(旧)'!A:D,4,FALSE())</f>
        <v>永田　　 圭　　　</v>
      </c>
      <c r="M230" s="262" t="str">
        <f aca="false">VLOOKUP(A230,2022当番マスター!A:E,4,FALSE())</f>
        <v>永田　　 圭　　　</v>
      </c>
    </row>
    <row r="231" customFormat="false" ht="15.75" hidden="false" customHeight="true" outlineLevel="0" collapsed="false">
      <c r="A231" s="266" t="s">
        <v>1547</v>
      </c>
      <c r="B231" s="267" t="s">
        <v>1262</v>
      </c>
      <c r="C231" s="267" t="s">
        <v>1548</v>
      </c>
      <c r="D231" s="267" t="s">
        <v>1549</v>
      </c>
      <c r="E231" s="266" t="s">
        <v>1547</v>
      </c>
      <c r="F231" s="268"/>
      <c r="G231" s="268"/>
      <c r="H231" s="268"/>
      <c r="I231" s="268"/>
      <c r="J231" s="268"/>
      <c r="K231" s="268"/>
      <c r="L231" s="262" t="e">
        <f aca="false">VLOOKUP(A231,'2023当番マスター(旧)'!A:D,4,FALSE())</f>
        <v>#N/A</v>
      </c>
      <c r="M231" s="262" t="str">
        <f aca="false">VLOOKUP(A231,2022当番マスター!A:E,4,FALSE())</f>
        <v>上ノ宮　 羽瑠　　</v>
      </c>
    </row>
    <row r="232" customFormat="false" ht="15.75" hidden="false" customHeight="true" outlineLevel="0" collapsed="false">
      <c r="A232" s="266" t="s">
        <v>1146</v>
      </c>
      <c r="B232" s="267" t="s">
        <v>1262</v>
      </c>
      <c r="C232" s="267" t="s">
        <v>1550</v>
      </c>
      <c r="D232" s="267" t="s">
        <v>1148</v>
      </c>
      <c r="E232" s="266" t="s">
        <v>1146</v>
      </c>
      <c r="F232" s="268"/>
      <c r="G232" s="268"/>
      <c r="H232" s="268"/>
      <c r="I232" s="268"/>
      <c r="J232" s="268"/>
      <c r="K232" s="268"/>
      <c r="L232" s="262" t="str">
        <f aca="false">VLOOKUP(A232,'2023当番マスター(旧)'!A:D,4,FALSE())</f>
        <v>髙木　　 美良　　</v>
      </c>
      <c r="M232" s="262" t="str">
        <f aca="false">VLOOKUP(A232,2022当番マスター!A:E,4,FALSE())</f>
        <v>髙木　　 美良　　</v>
      </c>
    </row>
    <row r="233" customFormat="false" ht="15.75" hidden="false" customHeight="true" outlineLevel="0" collapsed="false">
      <c r="A233" s="266" t="s">
        <v>1142</v>
      </c>
      <c r="B233" s="267" t="s">
        <v>1262</v>
      </c>
      <c r="C233" s="267" t="s">
        <v>1551</v>
      </c>
      <c r="D233" s="267" t="s">
        <v>1144</v>
      </c>
      <c r="E233" s="266" t="s">
        <v>1142</v>
      </c>
      <c r="F233" s="268"/>
      <c r="G233" s="268"/>
      <c r="H233" s="268"/>
      <c r="I233" s="268"/>
      <c r="J233" s="268"/>
      <c r="K233" s="268"/>
      <c r="L233" s="262" t="str">
        <f aca="false">VLOOKUP(A233,'2023当番マスター(旧)'!A:D,4,FALSE())</f>
        <v>ロンドノ 花　　　</v>
      </c>
      <c r="M233" s="262" t="str">
        <f aca="false">VLOOKUP(A233,2022当番マスター!A:E,4,FALSE())</f>
        <v>ロンドノ 花　　　</v>
      </c>
    </row>
    <row r="234" customFormat="false" ht="15.75" hidden="false" customHeight="true" outlineLevel="0" collapsed="false">
      <c r="A234" s="266" t="s">
        <v>1150</v>
      </c>
      <c r="B234" s="267" t="s">
        <v>1262</v>
      </c>
      <c r="C234" s="267" t="s">
        <v>1552</v>
      </c>
      <c r="D234" s="267" t="s">
        <v>1553</v>
      </c>
      <c r="E234" s="266" t="s">
        <v>1150</v>
      </c>
      <c r="F234" s="268"/>
      <c r="G234" s="268"/>
      <c r="H234" s="268"/>
      <c r="I234" s="268"/>
      <c r="J234" s="268"/>
      <c r="K234" s="268"/>
      <c r="L234" s="262" t="str">
        <f aca="false">VLOOKUP(A234,'2023当番マスター(旧)'!A:D,4,FALSE())</f>
        <v>髙田　　 彩也子　</v>
      </c>
      <c r="M234" s="262" t="str">
        <f aca="false">VLOOKUP(A234,2022当番マスター!A:E,4,FALSE())</f>
        <v>髙田　　 彩也子　</v>
      </c>
    </row>
    <row r="235" customFormat="false" ht="15.75" hidden="false" customHeight="true" outlineLevel="0" collapsed="false">
      <c r="A235" s="266" t="s">
        <v>1154</v>
      </c>
      <c r="B235" s="267" t="s">
        <v>1262</v>
      </c>
      <c r="C235" s="267" t="s">
        <v>1554</v>
      </c>
      <c r="D235" s="267" t="s">
        <v>1156</v>
      </c>
      <c r="E235" s="266" t="s">
        <v>1154</v>
      </c>
      <c r="F235" s="267" t="s">
        <v>1341</v>
      </c>
      <c r="G235" s="267" t="s">
        <v>1158</v>
      </c>
      <c r="H235" s="268"/>
      <c r="I235" s="268"/>
      <c r="J235" s="268"/>
      <c r="K235" s="268"/>
      <c r="L235" s="262" t="str">
        <f aca="false">VLOOKUP(A235,'2023当番マスター(旧)'!A:D,4,FALSE())</f>
        <v>降矢　　 瑚々　　</v>
      </c>
      <c r="M235" s="262" t="str">
        <f aca="false">VLOOKUP(A235,2022当番マスター!A:E,4,FALSE())</f>
        <v>降矢　　 瑚々　　</v>
      </c>
    </row>
    <row r="236" customFormat="false" ht="15.75" hidden="false" customHeight="true" outlineLevel="0" collapsed="false">
      <c r="A236" s="266" t="s">
        <v>1555</v>
      </c>
      <c r="B236" s="267" t="s">
        <v>1262</v>
      </c>
      <c r="C236" s="267" t="s">
        <v>1556</v>
      </c>
      <c r="D236" s="267" t="s">
        <v>1557</v>
      </c>
      <c r="E236" s="266" t="s">
        <v>1555</v>
      </c>
      <c r="F236" s="268"/>
      <c r="G236" s="268"/>
      <c r="H236" s="268"/>
      <c r="I236" s="268"/>
      <c r="J236" s="268"/>
      <c r="K236" s="268"/>
      <c r="L236" s="262" t="e">
        <f aca="false">VLOOKUP(A236,'2023当番マスター(旧)'!A:D,4,FALSE())</f>
        <v>#N/A</v>
      </c>
      <c r="M236" s="262" t="str">
        <f aca="false">VLOOKUP(A236,2022当番マスター!A:E,4,FALSE())</f>
        <v>髙橋　　 繭衣　　</v>
      </c>
    </row>
    <row r="237" customFormat="false" ht="15.75" hidden="false" customHeight="true" outlineLevel="0" collapsed="false">
      <c r="A237" s="266" t="s">
        <v>1185</v>
      </c>
      <c r="B237" s="267" t="s">
        <v>1341</v>
      </c>
      <c r="C237" s="267" t="s">
        <v>1558</v>
      </c>
      <c r="D237" s="267" t="s">
        <v>1187</v>
      </c>
      <c r="E237" s="266" t="s">
        <v>1185</v>
      </c>
      <c r="F237" s="268"/>
      <c r="G237" s="268"/>
      <c r="H237" s="268"/>
      <c r="I237" s="268"/>
      <c r="J237" s="268"/>
      <c r="K237" s="268"/>
      <c r="L237" s="262" t="str">
        <f aca="false">VLOOKUP(A237,'2023当番マスター(旧)'!A:D,4,FALSE())</f>
        <v>加藤　　 夕奈斗</v>
      </c>
      <c r="M237" s="262" t="str">
        <f aca="false">VLOOKUP(A237,2022当番マスター!A:E,4,FALSE())</f>
        <v>加藤　　 夕奈斗</v>
      </c>
    </row>
    <row r="238" customFormat="false" ht="15.75" hidden="false" customHeight="true" outlineLevel="0" collapsed="false">
      <c r="A238" s="266" t="s">
        <v>1172</v>
      </c>
      <c r="B238" s="267" t="s">
        <v>1341</v>
      </c>
      <c r="C238" s="267" t="s">
        <v>1559</v>
      </c>
      <c r="D238" s="267" t="s">
        <v>1174</v>
      </c>
      <c r="E238" s="266" t="s">
        <v>1172</v>
      </c>
      <c r="F238" s="268"/>
      <c r="G238" s="268"/>
      <c r="H238" s="268"/>
      <c r="I238" s="268"/>
      <c r="J238" s="268"/>
      <c r="K238" s="268"/>
      <c r="L238" s="262" t="str">
        <f aca="false">VLOOKUP(A238,'2023当番マスター(旧)'!A:D,4,FALSE())</f>
        <v>ピローン 弘樹　　</v>
      </c>
      <c r="M238" s="262" t="str">
        <f aca="false">VLOOKUP(A238,2022当番マスター!A:E,4,FALSE())</f>
        <v>ピローン 弘樹　　</v>
      </c>
    </row>
    <row r="239" customFormat="false" ht="15.75" hidden="false" customHeight="true" outlineLevel="0" collapsed="false">
      <c r="A239" s="266" t="s">
        <v>1168</v>
      </c>
      <c r="B239" s="267" t="s">
        <v>1341</v>
      </c>
      <c r="C239" s="267" t="s">
        <v>1560</v>
      </c>
      <c r="D239" s="267" t="s">
        <v>1170</v>
      </c>
      <c r="E239" s="266" t="s">
        <v>1168</v>
      </c>
      <c r="F239" s="268"/>
      <c r="G239" s="268"/>
      <c r="H239" s="268"/>
      <c r="I239" s="268"/>
      <c r="J239" s="268"/>
      <c r="K239" s="268"/>
      <c r="L239" s="262" t="str">
        <f aca="false">VLOOKUP(A239,'2023当番マスター(旧)'!A:D,4,FALSE())</f>
        <v>平田　　 健太郎　</v>
      </c>
      <c r="M239" s="262" t="str">
        <f aca="false">VLOOKUP(A239,2022当番マスター!A:E,4,FALSE())</f>
        <v>平田　　 健太郎　</v>
      </c>
    </row>
    <row r="240" customFormat="false" ht="15.75" hidden="false" customHeight="true" outlineLevel="0" collapsed="false">
      <c r="A240" s="266" t="s">
        <v>1176</v>
      </c>
      <c r="B240" s="267" t="s">
        <v>1341</v>
      </c>
      <c r="C240" s="267" t="s">
        <v>1561</v>
      </c>
      <c r="D240" s="267" t="s">
        <v>1178</v>
      </c>
      <c r="E240" s="266" t="s">
        <v>1176</v>
      </c>
      <c r="F240" s="268"/>
      <c r="G240" s="268"/>
      <c r="H240" s="268"/>
      <c r="I240" s="268"/>
      <c r="J240" s="268"/>
      <c r="K240" s="268"/>
      <c r="L240" s="262" t="str">
        <f aca="false">VLOOKUP(A240,'2023当番マスター(旧)'!A:D,4,FALSE())</f>
        <v>斧　　　 理美　　</v>
      </c>
      <c r="M240" s="262" t="str">
        <f aca="false">VLOOKUP(A240,2022当番マスター!A:E,4,FALSE())</f>
        <v>斧　　　 理美　　</v>
      </c>
    </row>
    <row r="241" customFormat="false" ht="15.75" hidden="false" customHeight="true" outlineLevel="0" collapsed="false">
      <c r="A241" s="266" t="s">
        <v>1180</v>
      </c>
      <c r="B241" s="267" t="s">
        <v>1341</v>
      </c>
      <c r="C241" s="267" t="s">
        <v>1562</v>
      </c>
      <c r="D241" s="267" t="s">
        <v>1182</v>
      </c>
      <c r="E241" s="266" t="s">
        <v>1180</v>
      </c>
      <c r="F241" s="267" t="s">
        <v>1489</v>
      </c>
      <c r="G241" s="267" t="s">
        <v>1184</v>
      </c>
      <c r="H241" s="268"/>
      <c r="I241" s="268"/>
      <c r="J241" s="268"/>
      <c r="K241" s="268"/>
      <c r="L241" s="262" t="str">
        <f aca="false">VLOOKUP(A241,'2023当番マスター(旧)'!A:D,4,FALSE())</f>
        <v>矢崎　　 晃子　　</v>
      </c>
      <c r="M241" s="262" t="str">
        <f aca="false">VLOOKUP(A241,2022当番マスター!A:E,4,FALSE())</f>
        <v>矢崎　　 晃子　　</v>
      </c>
    </row>
    <row r="242" customFormat="false" ht="15.75" hidden="false" customHeight="true" outlineLevel="0" collapsed="false">
      <c r="A242" s="266" t="s">
        <v>1189</v>
      </c>
      <c r="B242" s="267" t="s">
        <v>1341</v>
      </c>
      <c r="C242" s="267" t="s">
        <v>1563</v>
      </c>
      <c r="D242" s="267" t="s">
        <v>1192</v>
      </c>
      <c r="E242" s="266" t="s">
        <v>1189</v>
      </c>
      <c r="F242" s="268"/>
      <c r="G242" s="268"/>
      <c r="H242" s="268"/>
      <c r="I242" s="268"/>
      <c r="J242" s="268"/>
      <c r="K242" s="268"/>
      <c r="L242" s="262" t="str">
        <f aca="false">VLOOKUP(A242,'2023当番マスター(旧)'!A:D,4,FALSE())</f>
        <v>藤澤　　 奏</v>
      </c>
      <c r="M242" s="262" t="str">
        <f aca="false">VLOOKUP(A242,2022当番マスター!A:E,4,FALSE())</f>
        <v>藤澤　　 奏</v>
      </c>
    </row>
    <row r="243" customFormat="false" ht="15.75" hidden="false" customHeight="true" outlineLevel="0" collapsed="false">
      <c r="A243" s="266" t="s">
        <v>1195</v>
      </c>
      <c r="B243" s="267" t="s">
        <v>1341</v>
      </c>
      <c r="C243" s="267" t="s">
        <v>1564</v>
      </c>
      <c r="D243" s="266" t="s">
        <v>1565</v>
      </c>
      <c r="E243" s="266" t="s">
        <v>1195</v>
      </c>
      <c r="F243" s="267" t="s">
        <v>1489</v>
      </c>
      <c r="G243" s="267" t="s">
        <v>1200</v>
      </c>
      <c r="H243" s="268"/>
      <c r="I243" s="268"/>
      <c r="J243" s="268"/>
      <c r="K243" s="268"/>
      <c r="L243" s="262" t="str">
        <f aca="false">VLOOKUP(A243,'2023当番マスター(旧)'!A:D,4,FALSE())</f>
        <v>岡部        佳衣</v>
      </c>
      <c r="M243" s="262" t="str">
        <f aca="false">VLOOKUP(A243,2022当番マスター!A:E,4,FALSE())</f>
        <v>岡部　　 佳衣　　</v>
      </c>
    </row>
    <row r="244" customFormat="false" ht="15.75" hidden="false" customHeight="true" outlineLevel="0" collapsed="false">
      <c r="A244" s="266" t="s">
        <v>1566</v>
      </c>
      <c r="B244" s="267" t="s">
        <v>1341</v>
      </c>
      <c r="C244" s="267" t="s">
        <v>1567</v>
      </c>
      <c r="D244" s="267" t="s">
        <v>1568</v>
      </c>
      <c r="E244" s="266" t="s">
        <v>1566</v>
      </c>
      <c r="F244" s="268"/>
      <c r="G244" s="268"/>
      <c r="H244" s="268"/>
      <c r="I244" s="268"/>
      <c r="J244" s="268"/>
      <c r="K244" s="268"/>
      <c r="L244" s="262" t="e">
        <f aca="false">VLOOKUP(A244,'2023当番マスター(旧)'!A:D,4,FALSE())</f>
        <v>#N/A</v>
      </c>
      <c r="M244" s="262" t="str">
        <f aca="false">VLOOKUP(A244,2022当番マスター!A:E,4,FALSE())</f>
        <v>ケイトー 藍加</v>
      </c>
    </row>
    <row r="245" customFormat="false" ht="15.75" hidden="false" customHeight="true" outlineLevel="0" collapsed="false">
      <c r="A245" s="266" t="s">
        <v>1569</v>
      </c>
      <c r="B245" s="267" t="s">
        <v>1341</v>
      </c>
      <c r="C245" s="267" t="s">
        <v>1570</v>
      </c>
      <c r="D245" s="267" t="s">
        <v>1571</v>
      </c>
      <c r="E245" s="266" t="s">
        <v>1569</v>
      </c>
      <c r="F245" s="268"/>
      <c r="G245" s="268"/>
      <c r="H245" s="268"/>
      <c r="I245" s="268"/>
      <c r="J245" s="268"/>
      <c r="K245" s="268"/>
      <c r="L245" s="262" t="e">
        <f aca="false">VLOOKUP(A245,'2023当番マスター(旧)'!A:D,4,FALSE())</f>
        <v>#N/A</v>
      </c>
      <c r="M245" s="262" t="str">
        <f aca="false">VLOOKUP(A245,2022当番マスター!A:E,4,FALSE())</f>
        <v>三澤　　 ディエゴ嶺</v>
      </c>
    </row>
    <row r="246" customFormat="false" ht="15.75" hidden="false" customHeight="true" outlineLevel="0" collapsed="false">
      <c r="A246" s="266" t="s">
        <v>1202</v>
      </c>
      <c r="B246" s="267" t="s">
        <v>1368</v>
      </c>
      <c r="C246" s="267" t="s">
        <v>1572</v>
      </c>
      <c r="D246" s="267" t="s">
        <v>1204</v>
      </c>
      <c r="E246" s="266" t="s">
        <v>1202</v>
      </c>
      <c r="F246" s="268"/>
      <c r="G246" s="268"/>
      <c r="H246" s="268"/>
      <c r="I246" s="268"/>
      <c r="J246" s="268"/>
      <c r="K246" s="268"/>
      <c r="L246" s="262" t="str">
        <f aca="false">VLOOKUP(A246,'2023当番マスター(旧)'!A:D,4,FALSE())</f>
        <v>執行　　 創志朗　</v>
      </c>
      <c r="M246" s="262" t="str">
        <f aca="false">VLOOKUP(A246,2022当番マスター!A:E,4,FALSE())</f>
        <v>執行　　 創志朗　</v>
      </c>
    </row>
    <row r="247" customFormat="false" ht="15.75" hidden="false" customHeight="true" outlineLevel="0" collapsed="false">
      <c r="A247" s="266" t="s">
        <v>1218</v>
      </c>
      <c r="B247" s="267" t="s">
        <v>1368</v>
      </c>
      <c r="C247" s="267" t="s">
        <v>1573</v>
      </c>
      <c r="D247" s="267" t="s">
        <v>1220</v>
      </c>
      <c r="E247" s="266" t="s">
        <v>1218</v>
      </c>
      <c r="F247" s="268"/>
      <c r="G247" s="268"/>
      <c r="H247" s="268"/>
      <c r="I247" s="268"/>
      <c r="J247" s="268"/>
      <c r="K247" s="268"/>
      <c r="L247" s="262" t="str">
        <f aca="false">VLOOKUP(A247,'2023当番マスター(旧)'!A:D,4,FALSE())</f>
        <v>宅野　　 希生</v>
      </c>
      <c r="M247" s="262" t="str">
        <f aca="false">VLOOKUP(A247,2022当番マスター!A:E,4,FALSE())</f>
        <v>宅野　　 希生</v>
      </c>
    </row>
    <row r="248" customFormat="false" ht="15.75" hidden="false" customHeight="true" outlineLevel="0" collapsed="false">
      <c r="A248" s="266" t="s">
        <v>1206</v>
      </c>
      <c r="B248" s="267" t="s">
        <v>1368</v>
      </c>
      <c r="C248" s="267" t="s">
        <v>1574</v>
      </c>
      <c r="D248" s="267" t="s">
        <v>1208</v>
      </c>
      <c r="E248" s="266" t="s">
        <v>1206</v>
      </c>
      <c r="F248" s="268"/>
      <c r="G248" s="268"/>
      <c r="H248" s="268"/>
      <c r="I248" s="268"/>
      <c r="J248" s="268"/>
      <c r="K248" s="268"/>
      <c r="L248" s="262" t="str">
        <f aca="false">VLOOKUP(A248,'2023当番マスター(旧)'!A:D,4,FALSE())</f>
        <v>日栁　　 杏花　　</v>
      </c>
      <c r="M248" s="262" t="str">
        <f aca="false">VLOOKUP(A248,2022当番マスター!A:E,4,FALSE())</f>
        <v>日栁　　 杏花　　</v>
      </c>
    </row>
    <row r="249" customFormat="false" ht="15.75" hidden="false" customHeight="true" outlineLevel="0" collapsed="false">
      <c r="A249" s="266" t="s">
        <v>1210</v>
      </c>
      <c r="B249" s="267" t="s">
        <v>1368</v>
      </c>
      <c r="C249" s="267" t="s">
        <v>1575</v>
      </c>
      <c r="D249" s="267" t="s">
        <v>1212</v>
      </c>
      <c r="E249" s="266" t="s">
        <v>1210</v>
      </c>
      <c r="F249" s="268"/>
      <c r="G249" s="268"/>
      <c r="H249" s="268"/>
      <c r="I249" s="268"/>
      <c r="J249" s="268"/>
      <c r="K249" s="268"/>
      <c r="L249" s="262" t="str">
        <f aca="false">VLOOKUP(A249,'2023当番マスター(旧)'!A:D,4,FALSE())</f>
        <v>三島　　 芽愛　　</v>
      </c>
      <c r="M249" s="262" t="str">
        <f aca="false">VLOOKUP(A249,2022当番マスター!A:E,4,FALSE())</f>
        <v>三島　　 芽愛　　</v>
      </c>
    </row>
    <row r="250" customFormat="false" ht="15.75" hidden="false" customHeight="true" outlineLevel="0" collapsed="false">
      <c r="A250" s="266" t="s">
        <v>1214</v>
      </c>
      <c r="B250" s="267" t="s">
        <v>1368</v>
      </c>
      <c r="C250" s="267" t="s">
        <v>1215</v>
      </c>
      <c r="D250" s="267" t="s">
        <v>1216</v>
      </c>
      <c r="E250" s="266" t="s">
        <v>1214</v>
      </c>
      <c r="F250" s="268"/>
      <c r="G250" s="268"/>
      <c r="H250" s="268"/>
      <c r="I250" s="268"/>
      <c r="J250" s="268"/>
      <c r="K250" s="268"/>
      <c r="L250" s="262" t="str">
        <f aca="false">VLOOKUP(A250,'2023当番マスター(旧)'!A:D,4,FALSE())</f>
        <v>バークス レイラニ華子</v>
      </c>
      <c r="M250" s="262" t="str">
        <f aca="false">VLOOKUP(A250,2022当番マスター!A:E,4,FALSE())</f>
        <v>バークス レイラニ華子</v>
      </c>
    </row>
    <row r="251" customFormat="false" ht="15.75" hidden="false" customHeight="true" outlineLevel="0" collapsed="false">
      <c r="A251" s="266" t="s">
        <v>1576</v>
      </c>
      <c r="B251" s="267" t="s">
        <v>1489</v>
      </c>
      <c r="C251" s="267" t="s">
        <v>1577</v>
      </c>
      <c r="D251" s="267" t="s">
        <v>1578</v>
      </c>
      <c r="E251" s="266" t="s">
        <v>1576</v>
      </c>
      <c r="F251" s="268"/>
      <c r="G251" s="268"/>
      <c r="H251" s="268"/>
      <c r="I251" s="268"/>
      <c r="J251" s="268"/>
      <c r="K251" s="268"/>
      <c r="L251" s="262" t="e">
        <f aca="false">VLOOKUP(A251,'2023当番マスター(旧)'!A:D,4,FALSE())</f>
        <v>#N/A</v>
      </c>
      <c r="M251" s="262" t="str">
        <f aca="false">VLOOKUP(A251,2022当番マスター!A:E,4,FALSE())</f>
        <v>松木　　 雄登　　</v>
      </c>
    </row>
    <row r="252" customFormat="false" ht="15.75" hidden="false" customHeight="true" outlineLevel="0" collapsed="false">
      <c r="A252" s="266" t="s">
        <v>1579</v>
      </c>
      <c r="B252" s="267" t="s">
        <v>1489</v>
      </c>
      <c r="C252" s="267" t="s">
        <v>1580</v>
      </c>
      <c r="D252" s="267" t="s">
        <v>487</v>
      </c>
      <c r="E252" s="266" t="s">
        <v>1579</v>
      </c>
      <c r="F252" s="268"/>
      <c r="G252" s="268"/>
      <c r="H252" s="268"/>
      <c r="I252" s="268"/>
      <c r="J252" s="268"/>
      <c r="K252" s="268"/>
      <c r="L252" s="262" t="e">
        <f aca="false">VLOOKUP(A252,'2023当番マスター(旧)'!A:D,4,FALSE())</f>
        <v>#N/A</v>
      </c>
      <c r="M252" s="262" t="str">
        <f aca="false">VLOOKUP(A252,2022当番マスター!A:E,4,FALSE())</f>
        <v>モリソン オリビア桃花</v>
      </c>
    </row>
    <row r="253" customFormat="false" ht="15.75" hidden="false" customHeight="true" outlineLevel="0" collapsed="false">
      <c r="A253" s="270"/>
      <c r="B253" s="268"/>
      <c r="C253" s="270"/>
      <c r="D253" s="270"/>
      <c r="E253" s="270"/>
      <c r="F253" s="270"/>
      <c r="G253" s="270"/>
      <c r="H253" s="270"/>
      <c r="I253" s="270"/>
      <c r="J253" s="270"/>
      <c r="K253" s="270"/>
      <c r="L253" s="270"/>
      <c r="M253" s="270"/>
    </row>
    <row r="254" customFormat="false" ht="15.75" hidden="false" customHeight="true" outlineLevel="0" collapsed="false">
      <c r="A254" s="270"/>
      <c r="B254" s="270"/>
      <c r="C254" s="270"/>
      <c r="D254" s="270"/>
      <c r="E254" s="270"/>
      <c r="F254" s="270"/>
      <c r="G254" s="270"/>
      <c r="H254" s="270"/>
      <c r="I254" s="270"/>
      <c r="J254" s="270"/>
      <c r="K254" s="270"/>
      <c r="L254" s="270"/>
      <c r="M254" s="270"/>
    </row>
    <row r="255" customFormat="false" ht="15.75" hidden="false" customHeight="true" outlineLevel="0" collapsed="false">
      <c r="A255" s="270"/>
      <c r="B255" s="270"/>
      <c r="C255" s="270"/>
      <c r="D255" s="270"/>
      <c r="E255" s="270"/>
      <c r="F255" s="270"/>
      <c r="G255" s="270"/>
      <c r="H255" s="270"/>
      <c r="I255" s="270"/>
      <c r="J255" s="270"/>
      <c r="K255" s="270"/>
      <c r="L255" s="270"/>
      <c r="M255" s="270"/>
    </row>
    <row r="256" customFormat="false" ht="15.75" hidden="false" customHeight="true" outlineLevel="0" collapsed="false">
      <c r="A256" s="270"/>
      <c r="B256" s="270"/>
      <c r="C256" s="270"/>
      <c r="D256" s="270"/>
      <c r="E256" s="270"/>
      <c r="F256" s="270"/>
      <c r="G256" s="270"/>
      <c r="H256" s="270"/>
      <c r="I256" s="270"/>
      <c r="J256" s="270"/>
      <c r="K256" s="270"/>
      <c r="L256" s="270"/>
      <c r="M256" s="270"/>
    </row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M25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E4" activeCellId="0" sqref="E4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1.63"/>
    <col collapsed="false" customWidth="true" hidden="false" outlineLevel="0" max="2" min="2" style="1" width="0.38"/>
    <col collapsed="false" customWidth="true" hidden="false" outlineLevel="0" max="3" min="3" style="1" width="1"/>
    <col collapsed="false" customWidth="true" hidden="false" outlineLevel="0" max="4" min="4" style="1" width="1.88"/>
    <col collapsed="false" customWidth="true" hidden="false" outlineLevel="0" max="5" min="5" style="1" width="1.12"/>
    <col collapsed="false" customWidth="true" hidden="false" outlineLevel="0" max="6" min="6" style="1" width="1.75"/>
    <col collapsed="false" customWidth="true" hidden="false" outlineLevel="0" max="7" min="7" style="1" width="5.63"/>
    <col collapsed="false" customWidth="true" hidden="false" outlineLevel="0" max="8" min="8" style="1" width="0.88"/>
    <col collapsed="false" customWidth="true" hidden="false" outlineLevel="0" max="9" min="9" style="1" width="2.25"/>
    <col collapsed="false" customWidth="true" hidden="false" outlineLevel="0" max="10" min="10" style="1" width="0.88"/>
    <col collapsed="false" customWidth="true" hidden="false" outlineLevel="0" max="12" min="11" style="1" width="1"/>
    <col collapsed="false" customWidth="true" hidden="false" outlineLevel="0" max="13" min="13" style="1" width="0.88"/>
    <col collapsed="false" customWidth="true" hidden="false" outlineLevel="0" max="14" min="14" style="1" width="2.88"/>
    <col collapsed="false" customWidth="true" hidden="false" outlineLevel="0" max="15" min="15" style="1" width="1.63"/>
    <col collapsed="false" customWidth="true" hidden="false" outlineLevel="0" max="16" min="16" style="1" width="0.63"/>
    <col collapsed="false" customWidth="true" hidden="false" outlineLevel="0" max="17" min="17" style="1" width="0.38"/>
    <col collapsed="false" customWidth="true" hidden="false" outlineLevel="0" max="18" min="18" style="1" width="2.12"/>
    <col collapsed="false" customWidth="true" hidden="false" outlineLevel="0" max="19" min="19" style="1" width="0.38"/>
    <col collapsed="false" customWidth="true" hidden="false" outlineLevel="0" max="20" min="20" style="1" width="5.25"/>
    <col collapsed="false" customWidth="true" hidden="false" outlineLevel="0" max="22" min="21" style="1" width="1.25"/>
    <col collapsed="false" customWidth="true" hidden="false" outlineLevel="0" max="23" min="23" style="1" width="2.12"/>
    <col collapsed="false" customWidth="true" hidden="false" outlineLevel="0" max="24" min="24" style="1" width="1.12"/>
    <col collapsed="false" customWidth="true" hidden="false" outlineLevel="0" max="25" min="25" style="1" width="1.75"/>
    <col collapsed="false" customWidth="true" hidden="false" outlineLevel="0" max="26" min="26" style="1" width="3"/>
  </cols>
  <sheetData>
    <row r="1" customFormat="false" ht="12.75" hidden="false" customHeight="true" outlineLevel="0" collapsed="false">
      <c r="A1" s="271"/>
      <c r="B1" s="270"/>
      <c r="C1" s="270"/>
      <c r="D1" s="270"/>
      <c r="E1" s="270"/>
      <c r="F1" s="272" t="s">
        <v>1581</v>
      </c>
      <c r="G1" s="270"/>
      <c r="H1" s="270"/>
      <c r="I1" s="270"/>
      <c r="J1" s="270"/>
      <c r="K1" s="137" t="s">
        <v>1</v>
      </c>
      <c r="L1" s="273"/>
      <c r="M1" s="273"/>
      <c r="N1" s="274"/>
      <c r="O1" s="275" t="s">
        <v>2</v>
      </c>
      <c r="P1" s="276"/>
      <c r="Q1" s="277"/>
      <c r="R1" s="277"/>
      <c r="S1" s="277"/>
      <c r="T1" s="270"/>
      <c r="U1" s="278"/>
      <c r="V1" s="278"/>
      <c r="W1" s="279"/>
      <c r="X1" s="270"/>
      <c r="Y1" s="271"/>
      <c r="Z1" s="262"/>
    </row>
    <row r="2" customFormat="false" ht="13.5" hidden="false" customHeight="true" outlineLevel="0" collapsed="false">
      <c r="A2" s="272"/>
      <c r="B2" s="270"/>
      <c r="C2" s="270"/>
      <c r="D2" s="270"/>
      <c r="E2" s="270"/>
      <c r="F2" s="272"/>
      <c r="G2" s="270"/>
      <c r="H2" s="270"/>
      <c r="I2" s="270"/>
      <c r="J2" s="270"/>
      <c r="K2" s="262"/>
      <c r="L2" s="262"/>
      <c r="M2" s="262"/>
      <c r="N2" s="277"/>
      <c r="O2" s="270"/>
      <c r="P2" s="277"/>
      <c r="Q2" s="277"/>
      <c r="R2" s="277"/>
      <c r="S2" s="277"/>
      <c r="T2" s="126" t="s">
        <v>1582</v>
      </c>
      <c r="U2" s="278"/>
      <c r="V2" s="278"/>
      <c r="W2" s="279"/>
      <c r="X2" s="270"/>
      <c r="Y2" s="272"/>
      <c r="Z2" s="262"/>
    </row>
    <row r="3" customFormat="false" ht="17.25" hidden="false" customHeight="true" outlineLevel="0" collapsed="false">
      <c r="A3" s="280" t="s">
        <v>1583</v>
      </c>
      <c r="B3" s="281" t="s">
        <v>6</v>
      </c>
      <c r="C3" s="280" t="s">
        <v>7</v>
      </c>
      <c r="D3" s="280" t="s">
        <v>8</v>
      </c>
      <c r="E3" s="280" t="s">
        <v>9</v>
      </c>
      <c r="F3" s="282" t="s">
        <v>90</v>
      </c>
      <c r="G3" s="280" t="s">
        <v>11</v>
      </c>
      <c r="H3" s="280" t="s">
        <v>12</v>
      </c>
      <c r="I3" s="280" t="s">
        <v>13</v>
      </c>
      <c r="J3" s="280" t="s">
        <v>14</v>
      </c>
      <c r="K3" s="280" t="s">
        <v>13</v>
      </c>
      <c r="L3" s="280" t="s">
        <v>91</v>
      </c>
      <c r="M3" s="280" t="s">
        <v>13</v>
      </c>
      <c r="N3" s="283" t="s">
        <v>16</v>
      </c>
      <c r="O3" s="283"/>
      <c r="P3" s="284" t="s">
        <v>17</v>
      </c>
      <c r="Q3" s="284"/>
      <c r="R3" s="285" t="s">
        <v>18</v>
      </c>
      <c r="S3" s="285"/>
      <c r="T3" s="286" t="s">
        <v>19</v>
      </c>
      <c r="U3" s="287" t="s">
        <v>20</v>
      </c>
      <c r="V3" s="288" t="s">
        <v>21</v>
      </c>
      <c r="W3" s="289" t="s">
        <v>22</v>
      </c>
      <c r="X3" s="289" t="s">
        <v>92</v>
      </c>
      <c r="Y3" s="280" t="s">
        <v>1583</v>
      </c>
      <c r="Z3" s="262" t="s">
        <v>93</v>
      </c>
    </row>
    <row r="4" customFormat="false" ht="12.75" hidden="false" customHeight="true" outlineLevel="0" collapsed="false">
      <c r="A4" s="290" t="s">
        <v>97</v>
      </c>
      <c r="B4" s="290" t="n">
        <v>1</v>
      </c>
      <c r="C4" s="291" t="s">
        <v>27</v>
      </c>
      <c r="D4" s="291" t="s">
        <v>98</v>
      </c>
      <c r="E4" s="291" t="s">
        <v>99</v>
      </c>
      <c r="F4" s="290" t="s">
        <v>97</v>
      </c>
      <c r="G4" s="292" t="s">
        <v>100</v>
      </c>
      <c r="H4" s="291" t="s">
        <v>1584</v>
      </c>
      <c r="I4" s="291" t="s">
        <v>1585</v>
      </c>
      <c r="J4" s="292"/>
      <c r="K4" s="292"/>
      <c r="L4" s="292"/>
      <c r="M4" s="292"/>
      <c r="N4" s="293" t="s">
        <v>1586</v>
      </c>
      <c r="O4" s="293" t="s">
        <v>1587</v>
      </c>
      <c r="P4" s="294" t="n">
        <v>44716</v>
      </c>
      <c r="Q4" s="294" t="s">
        <v>32</v>
      </c>
      <c r="R4" s="295"/>
      <c r="S4" s="295"/>
      <c r="T4" s="296" t="s">
        <v>1588</v>
      </c>
      <c r="U4" s="297"/>
      <c r="V4" s="297"/>
      <c r="W4" s="298" t="s">
        <v>103</v>
      </c>
      <c r="X4" s="299" t="s">
        <v>1589</v>
      </c>
      <c r="Y4" s="290" t="s">
        <v>97</v>
      </c>
      <c r="Z4" s="300" t="s">
        <v>104</v>
      </c>
    </row>
    <row r="5" customFormat="false" ht="12.75" hidden="false" customHeight="true" outlineLevel="0" collapsed="false">
      <c r="A5" s="301" t="s">
        <v>105</v>
      </c>
      <c r="B5" s="301" t="n">
        <v>2</v>
      </c>
      <c r="C5" s="302" t="s">
        <v>27</v>
      </c>
      <c r="D5" s="302" t="s">
        <v>106</v>
      </c>
      <c r="E5" s="302" t="s">
        <v>107</v>
      </c>
      <c r="F5" s="301" t="s">
        <v>105</v>
      </c>
      <c r="G5" s="303" t="s">
        <v>108</v>
      </c>
      <c r="H5" s="303"/>
      <c r="I5" s="303"/>
      <c r="J5" s="303"/>
      <c r="K5" s="303"/>
      <c r="L5" s="303"/>
      <c r="M5" s="303"/>
      <c r="N5" s="304"/>
      <c r="O5" s="304"/>
      <c r="P5" s="304" t="n">
        <v>44730</v>
      </c>
      <c r="Q5" s="304" t="s">
        <v>32</v>
      </c>
      <c r="R5" s="304"/>
      <c r="S5" s="304"/>
      <c r="T5" s="305"/>
      <c r="U5" s="306"/>
      <c r="V5" s="306" t="n">
        <v>45094</v>
      </c>
      <c r="W5" s="307"/>
      <c r="X5" s="303"/>
      <c r="Y5" s="301" t="s">
        <v>105</v>
      </c>
      <c r="Z5" s="308" t="s">
        <v>109</v>
      </c>
    </row>
    <row r="6" customFormat="false" ht="12.75" hidden="false" customHeight="true" outlineLevel="0" collapsed="false">
      <c r="A6" s="265" t="s">
        <v>110</v>
      </c>
      <c r="B6" s="265" t="n">
        <v>3</v>
      </c>
      <c r="C6" s="262" t="s">
        <v>27</v>
      </c>
      <c r="D6" s="262" t="s">
        <v>111</v>
      </c>
      <c r="E6" s="262" t="s">
        <v>112</v>
      </c>
      <c r="F6" s="265" t="s">
        <v>110</v>
      </c>
      <c r="G6" s="270" t="s">
        <v>113</v>
      </c>
      <c r="H6" s="262" t="s">
        <v>1590</v>
      </c>
      <c r="I6" s="262" t="s">
        <v>1591</v>
      </c>
      <c r="J6" s="270"/>
      <c r="K6" s="270"/>
      <c r="L6" s="270"/>
      <c r="M6" s="270"/>
      <c r="N6" s="309"/>
      <c r="O6" s="309"/>
      <c r="P6" s="309" t="n">
        <v>44905</v>
      </c>
      <c r="Q6" s="309" t="s">
        <v>67</v>
      </c>
      <c r="R6" s="309" t="n">
        <v>44723</v>
      </c>
      <c r="S6" s="277" t="s">
        <v>67</v>
      </c>
      <c r="T6" s="310"/>
      <c r="U6" s="278"/>
      <c r="V6" s="278"/>
      <c r="W6" s="279"/>
      <c r="X6" s="270"/>
      <c r="Y6" s="265" t="s">
        <v>110</v>
      </c>
      <c r="Z6" s="300" t="s">
        <v>113</v>
      </c>
    </row>
    <row r="7" customFormat="false" ht="12.75" hidden="false" customHeight="true" outlineLevel="0" collapsed="false">
      <c r="A7" s="265" t="s">
        <v>116</v>
      </c>
      <c r="B7" s="262" t="n">
        <v>4</v>
      </c>
      <c r="C7" s="262" t="s">
        <v>27</v>
      </c>
      <c r="D7" s="262" t="s">
        <v>117</v>
      </c>
      <c r="E7" s="262" t="s">
        <v>118</v>
      </c>
      <c r="F7" s="265" t="s">
        <v>116</v>
      </c>
      <c r="G7" s="270" t="s">
        <v>119</v>
      </c>
      <c r="H7" s="262" t="s">
        <v>1592</v>
      </c>
      <c r="I7" s="262" t="s">
        <v>1593</v>
      </c>
      <c r="J7" s="270"/>
      <c r="K7" s="270"/>
      <c r="L7" s="270"/>
      <c r="M7" s="270"/>
      <c r="N7" s="309"/>
      <c r="O7" s="309"/>
      <c r="P7" s="309" t="n">
        <v>44674</v>
      </c>
      <c r="Q7" s="309" t="s">
        <v>67</v>
      </c>
      <c r="R7" s="309" t="n">
        <v>44856</v>
      </c>
      <c r="S7" s="277" t="s">
        <v>49</v>
      </c>
      <c r="T7" s="310"/>
      <c r="U7" s="278"/>
      <c r="V7" s="278"/>
      <c r="W7" s="279"/>
      <c r="X7" s="270"/>
      <c r="Y7" s="265" t="s">
        <v>116</v>
      </c>
      <c r="Z7" s="300" t="s">
        <v>119</v>
      </c>
    </row>
    <row r="8" customFormat="false" ht="12.75" hidden="false" customHeight="true" outlineLevel="0" collapsed="false">
      <c r="A8" s="265" t="s">
        <v>122</v>
      </c>
      <c r="B8" s="262" t="n">
        <v>5</v>
      </c>
      <c r="C8" s="262" t="s">
        <v>27</v>
      </c>
      <c r="D8" s="262" t="s">
        <v>123</v>
      </c>
      <c r="E8" s="262" t="s">
        <v>124</v>
      </c>
      <c r="F8" s="265" t="s">
        <v>122</v>
      </c>
      <c r="G8" s="270" t="s">
        <v>125</v>
      </c>
      <c r="H8" s="270"/>
      <c r="I8" s="270"/>
      <c r="J8" s="270"/>
      <c r="K8" s="270"/>
      <c r="L8" s="270"/>
      <c r="M8" s="270"/>
      <c r="N8" s="309"/>
      <c r="O8" s="309"/>
      <c r="P8" s="309" t="n">
        <v>44582</v>
      </c>
      <c r="Q8" s="277" t="s">
        <v>67</v>
      </c>
      <c r="R8" s="309" t="n">
        <v>44807</v>
      </c>
      <c r="S8" s="277" t="s">
        <v>67</v>
      </c>
      <c r="T8" s="310"/>
      <c r="U8" s="278"/>
      <c r="V8" s="278"/>
      <c r="W8" s="279"/>
      <c r="X8" s="270"/>
      <c r="Y8" s="265" t="s">
        <v>122</v>
      </c>
      <c r="Z8" s="300" t="s">
        <v>125</v>
      </c>
    </row>
    <row r="9" customFormat="false" ht="12.75" hidden="false" customHeight="true" outlineLevel="0" collapsed="false">
      <c r="A9" s="311" t="s">
        <v>127</v>
      </c>
      <c r="B9" s="311" t="n">
        <v>6</v>
      </c>
      <c r="C9" s="312" t="s">
        <v>27</v>
      </c>
      <c r="D9" s="312" t="s">
        <v>128</v>
      </c>
      <c r="E9" s="312" t="s">
        <v>129</v>
      </c>
      <c r="F9" s="311" t="s">
        <v>127</v>
      </c>
      <c r="G9" s="313" t="s">
        <v>130</v>
      </c>
      <c r="H9" s="312" t="s">
        <v>1594</v>
      </c>
      <c r="I9" s="312" t="s">
        <v>1595</v>
      </c>
      <c r="J9" s="312"/>
      <c r="K9" s="312"/>
      <c r="L9" s="312"/>
      <c r="M9" s="312"/>
      <c r="N9" s="314"/>
      <c r="O9" s="314"/>
      <c r="P9" s="314"/>
      <c r="Q9" s="314"/>
      <c r="R9" s="315" t="n">
        <v>44695</v>
      </c>
      <c r="S9" s="315" t="s">
        <v>126</v>
      </c>
      <c r="T9" s="316"/>
      <c r="U9" s="317"/>
      <c r="V9" s="317"/>
      <c r="W9" s="318" t="s">
        <v>60</v>
      </c>
      <c r="X9" s="312" t="s">
        <v>133</v>
      </c>
      <c r="Y9" s="311" t="s">
        <v>127</v>
      </c>
      <c r="Z9" s="300" t="s">
        <v>134</v>
      </c>
    </row>
    <row r="10" customFormat="false" ht="12.75" hidden="false" customHeight="true" outlineLevel="0" collapsed="false">
      <c r="A10" s="301" t="s">
        <v>1596</v>
      </c>
      <c r="B10" s="302" t="n">
        <v>7</v>
      </c>
      <c r="C10" s="302" t="s">
        <v>27</v>
      </c>
      <c r="D10" s="302" t="s">
        <v>1597</v>
      </c>
      <c r="E10" s="302" t="s">
        <v>1598</v>
      </c>
      <c r="F10" s="301" t="s">
        <v>1596</v>
      </c>
      <c r="G10" s="303" t="s">
        <v>1599</v>
      </c>
      <c r="H10" s="302" t="s">
        <v>1594</v>
      </c>
      <c r="I10" s="302" t="s">
        <v>1600</v>
      </c>
      <c r="J10" s="303"/>
      <c r="K10" s="303"/>
      <c r="L10" s="303"/>
      <c r="M10" s="303"/>
      <c r="N10" s="304"/>
      <c r="O10" s="304"/>
      <c r="P10" s="304" t="n">
        <v>44863</v>
      </c>
      <c r="Q10" s="319" t="s">
        <v>32</v>
      </c>
      <c r="R10" s="304" t="n">
        <v>44674</v>
      </c>
      <c r="S10" s="304" t="s">
        <v>126</v>
      </c>
      <c r="T10" s="305"/>
      <c r="U10" s="306"/>
      <c r="V10" s="306" t="n">
        <v>44912</v>
      </c>
      <c r="W10" s="307"/>
      <c r="X10" s="303"/>
      <c r="Y10" s="301" t="s">
        <v>1596</v>
      </c>
      <c r="Z10" s="300" t="s">
        <v>1599</v>
      </c>
    </row>
    <row r="11" customFormat="false" ht="12.75" hidden="false" customHeight="true" outlineLevel="0" collapsed="false">
      <c r="A11" s="320" t="s">
        <v>135</v>
      </c>
      <c r="B11" s="320" t="n">
        <v>8</v>
      </c>
      <c r="C11" s="321" t="s">
        <v>27</v>
      </c>
      <c r="D11" s="321" t="s">
        <v>136</v>
      </c>
      <c r="E11" s="321" t="s">
        <v>137</v>
      </c>
      <c r="F11" s="320" t="s">
        <v>135</v>
      </c>
      <c r="G11" s="322" t="s">
        <v>138</v>
      </c>
      <c r="H11" s="321" t="s">
        <v>1594</v>
      </c>
      <c r="I11" s="321" t="s">
        <v>1601</v>
      </c>
      <c r="J11" s="321"/>
      <c r="K11" s="321"/>
      <c r="L11" s="321"/>
      <c r="M11" s="321"/>
      <c r="N11" s="323"/>
      <c r="O11" s="323"/>
      <c r="P11" s="323"/>
      <c r="Q11" s="323"/>
      <c r="R11" s="323"/>
      <c r="S11" s="323"/>
      <c r="T11" s="324"/>
      <c r="U11" s="325"/>
      <c r="V11" s="325"/>
      <c r="W11" s="326" t="s">
        <v>55</v>
      </c>
      <c r="X11" s="321" t="s">
        <v>140</v>
      </c>
      <c r="Y11" s="320" t="s">
        <v>135</v>
      </c>
      <c r="Z11" s="300" t="s">
        <v>138</v>
      </c>
    </row>
    <row r="12" customFormat="false" ht="12.75" hidden="false" customHeight="true" outlineLevel="0" collapsed="false">
      <c r="A12" s="327" t="s">
        <v>141</v>
      </c>
      <c r="B12" s="262" t="n">
        <v>9</v>
      </c>
      <c r="C12" s="262" t="s">
        <v>27</v>
      </c>
      <c r="D12" s="262" t="s">
        <v>142</v>
      </c>
      <c r="E12" s="262" t="s">
        <v>143</v>
      </c>
      <c r="F12" s="327" t="s">
        <v>141</v>
      </c>
      <c r="G12" s="270" t="s">
        <v>144</v>
      </c>
      <c r="H12" s="270"/>
      <c r="I12" s="270"/>
      <c r="J12" s="270"/>
      <c r="K12" s="270"/>
      <c r="L12" s="270"/>
      <c r="M12" s="270"/>
      <c r="N12" s="309" t="n">
        <v>44589</v>
      </c>
      <c r="O12" s="277" t="s">
        <v>49</v>
      </c>
      <c r="P12" s="309"/>
      <c r="Q12" s="309"/>
      <c r="R12" s="309" t="n">
        <v>44807</v>
      </c>
      <c r="S12" s="277" t="s">
        <v>126</v>
      </c>
      <c r="T12" s="310" t="s">
        <v>1602</v>
      </c>
      <c r="U12" s="278"/>
      <c r="V12" s="278"/>
      <c r="W12" s="279"/>
      <c r="X12" s="270"/>
      <c r="Y12" s="327" t="s">
        <v>141</v>
      </c>
      <c r="Z12" s="300" t="s">
        <v>144</v>
      </c>
    </row>
    <row r="13" customFormat="false" ht="15" hidden="false" customHeight="true" outlineLevel="0" collapsed="false">
      <c r="A13" s="269" t="s">
        <v>148</v>
      </c>
      <c r="B13" s="328" t="n">
        <v>10</v>
      </c>
      <c r="C13" s="329" t="s">
        <v>27</v>
      </c>
      <c r="D13" s="329" t="s">
        <v>146</v>
      </c>
      <c r="E13" s="329" t="s">
        <v>147</v>
      </c>
      <c r="F13" s="328" t="s">
        <v>148</v>
      </c>
      <c r="G13" s="330" t="s">
        <v>149</v>
      </c>
      <c r="H13" s="329" t="s">
        <v>1603</v>
      </c>
      <c r="I13" s="329" t="s">
        <v>1604</v>
      </c>
      <c r="J13" s="329"/>
      <c r="K13" s="329"/>
      <c r="L13" s="329"/>
      <c r="M13" s="329"/>
      <c r="N13" s="274" t="s">
        <v>1605</v>
      </c>
      <c r="O13" s="274" t="s">
        <v>1606</v>
      </c>
      <c r="P13" s="314"/>
      <c r="Q13" s="314"/>
      <c r="R13" s="331" t="s">
        <v>1607</v>
      </c>
      <c r="S13" s="331" t="s">
        <v>1607</v>
      </c>
      <c r="T13" s="332" t="s">
        <v>1608</v>
      </c>
      <c r="U13" s="333"/>
      <c r="V13" s="333"/>
      <c r="W13" s="334" t="s">
        <v>152</v>
      </c>
      <c r="X13" s="329" t="s">
        <v>133</v>
      </c>
      <c r="Y13" s="269" t="s">
        <v>148</v>
      </c>
      <c r="Z13" s="300" t="s">
        <v>149</v>
      </c>
    </row>
    <row r="14" customFormat="false" ht="12.75" hidden="false" customHeight="true" outlineLevel="0" collapsed="false">
      <c r="A14" s="320" t="s">
        <v>153</v>
      </c>
      <c r="B14" s="321" t="n">
        <v>11</v>
      </c>
      <c r="C14" s="321" t="s">
        <v>27</v>
      </c>
      <c r="D14" s="321" t="s">
        <v>154</v>
      </c>
      <c r="E14" s="321" t="s">
        <v>155</v>
      </c>
      <c r="F14" s="320" t="s">
        <v>153</v>
      </c>
      <c r="G14" s="322" t="s">
        <v>156</v>
      </c>
      <c r="H14" s="321" t="s">
        <v>1594</v>
      </c>
      <c r="I14" s="321" t="s">
        <v>1609</v>
      </c>
      <c r="J14" s="321" t="s">
        <v>1592</v>
      </c>
      <c r="K14" s="321" t="s">
        <v>1610</v>
      </c>
      <c r="L14" s="321"/>
      <c r="M14" s="321"/>
      <c r="N14" s="323"/>
      <c r="O14" s="323"/>
      <c r="P14" s="323"/>
      <c r="Q14" s="323"/>
      <c r="R14" s="323"/>
      <c r="S14" s="323"/>
      <c r="T14" s="324"/>
      <c r="U14" s="325"/>
      <c r="V14" s="325"/>
      <c r="W14" s="326" t="s">
        <v>55</v>
      </c>
      <c r="X14" s="321" t="s">
        <v>1611</v>
      </c>
      <c r="Y14" s="320" t="s">
        <v>153</v>
      </c>
      <c r="Z14" s="300" t="s">
        <v>156</v>
      </c>
    </row>
    <row r="15" customFormat="false" ht="12.75" hidden="false" customHeight="true" outlineLevel="0" collapsed="false">
      <c r="A15" s="265" t="s">
        <v>160</v>
      </c>
      <c r="B15" s="262" t="n">
        <v>12</v>
      </c>
      <c r="C15" s="262" t="s">
        <v>27</v>
      </c>
      <c r="D15" s="262" t="s">
        <v>161</v>
      </c>
      <c r="E15" s="262" t="s">
        <v>162</v>
      </c>
      <c r="F15" s="265" t="s">
        <v>160</v>
      </c>
      <c r="G15" s="270" t="s">
        <v>1612</v>
      </c>
      <c r="H15" s="262" t="s">
        <v>1594</v>
      </c>
      <c r="I15" s="262" t="s">
        <v>1613</v>
      </c>
      <c r="J15" s="270"/>
      <c r="K15" s="270"/>
      <c r="L15" s="270"/>
      <c r="M15" s="270"/>
      <c r="N15" s="309" t="n">
        <v>44582</v>
      </c>
      <c r="O15" s="277" t="s">
        <v>49</v>
      </c>
      <c r="P15" s="309"/>
      <c r="Q15" s="309"/>
      <c r="R15" s="309" t="n">
        <v>44793</v>
      </c>
      <c r="S15" s="277" t="s">
        <v>126</v>
      </c>
      <c r="T15" s="335" t="s">
        <v>1614</v>
      </c>
      <c r="U15" s="278"/>
      <c r="V15" s="278"/>
      <c r="W15" s="279"/>
      <c r="X15" s="270"/>
      <c r="Y15" s="265" t="s">
        <v>160</v>
      </c>
      <c r="Z15" s="300" t="s">
        <v>165</v>
      </c>
    </row>
    <row r="16" customFormat="false" ht="12.75" hidden="false" customHeight="true" outlineLevel="0" collapsed="false">
      <c r="A16" s="336" t="s">
        <v>166</v>
      </c>
      <c r="B16" s="336" t="n">
        <v>13</v>
      </c>
      <c r="C16" s="337" t="s">
        <v>27</v>
      </c>
      <c r="D16" s="337" t="s">
        <v>167</v>
      </c>
      <c r="E16" s="337" t="s">
        <v>168</v>
      </c>
      <c r="F16" s="336" t="s">
        <v>166</v>
      </c>
      <c r="G16" s="338" t="s">
        <v>169</v>
      </c>
      <c r="H16" s="337" t="s">
        <v>1594</v>
      </c>
      <c r="I16" s="337" t="s">
        <v>1615</v>
      </c>
      <c r="J16" s="337"/>
      <c r="K16" s="337"/>
      <c r="L16" s="337"/>
      <c r="M16" s="337"/>
      <c r="N16" s="314"/>
      <c r="O16" s="314"/>
      <c r="P16" s="314"/>
      <c r="Q16" s="314"/>
      <c r="R16" s="339" t="s">
        <v>1616</v>
      </c>
      <c r="S16" s="340" t="s">
        <v>32</v>
      </c>
      <c r="T16" s="341" t="s">
        <v>1617</v>
      </c>
      <c r="U16" s="342"/>
      <c r="V16" s="342"/>
      <c r="W16" s="343" t="s">
        <v>240</v>
      </c>
      <c r="X16" s="337" t="s">
        <v>171</v>
      </c>
      <c r="Y16" s="336" t="s">
        <v>166</v>
      </c>
      <c r="Z16" s="300" t="s">
        <v>172</v>
      </c>
    </row>
    <row r="17" customFormat="false" ht="12.75" hidden="false" customHeight="true" outlineLevel="0" collapsed="false">
      <c r="A17" s="265" t="s">
        <v>173</v>
      </c>
      <c r="B17" s="262" t="n">
        <v>14</v>
      </c>
      <c r="C17" s="262" t="s">
        <v>27</v>
      </c>
      <c r="D17" s="262" t="s">
        <v>174</v>
      </c>
      <c r="E17" s="262" t="s">
        <v>175</v>
      </c>
      <c r="F17" s="265" t="s">
        <v>173</v>
      </c>
      <c r="G17" s="270" t="s">
        <v>176</v>
      </c>
      <c r="H17" s="270"/>
      <c r="I17" s="270"/>
      <c r="J17" s="270"/>
      <c r="K17" s="270"/>
      <c r="L17" s="270"/>
      <c r="M17" s="270"/>
      <c r="N17" s="309" t="n">
        <v>44596</v>
      </c>
      <c r="O17" s="277" t="s">
        <v>49</v>
      </c>
      <c r="P17" s="309"/>
      <c r="Q17" s="309"/>
      <c r="R17" s="309" t="n">
        <v>44821</v>
      </c>
      <c r="S17" s="277" t="s">
        <v>67</v>
      </c>
      <c r="T17" s="310"/>
      <c r="U17" s="278"/>
      <c r="V17" s="278"/>
      <c r="W17" s="279"/>
      <c r="X17" s="270"/>
      <c r="Y17" s="265" t="s">
        <v>173</v>
      </c>
      <c r="Z17" s="300" t="s">
        <v>178</v>
      </c>
    </row>
    <row r="18" customFormat="false" ht="12.75" hidden="false" customHeight="true" outlineLevel="0" collapsed="false">
      <c r="A18" s="301" t="s">
        <v>1618</v>
      </c>
      <c r="B18" s="302" t="n">
        <v>15</v>
      </c>
      <c r="C18" s="302" t="s">
        <v>27</v>
      </c>
      <c r="D18" s="302" t="s">
        <v>1619</v>
      </c>
      <c r="E18" s="302" t="s">
        <v>1620</v>
      </c>
      <c r="F18" s="301" t="s">
        <v>1618</v>
      </c>
      <c r="G18" s="303" t="s">
        <v>1621</v>
      </c>
      <c r="H18" s="302" t="s">
        <v>1594</v>
      </c>
      <c r="I18" s="302" t="s">
        <v>1622</v>
      </c>
      <c r="J18" s="302"/>
      <c r="K18" s="302"/>
      <c r="L18" s="302"/>
      <c r="M18" s="302"/>
      <c r="N18" s="319" t="s">
        <v>1623</v>
      </c>
      <c r="O18" s="319" t="s">
        <v>1624</v>
      </c>
      <c r="P18" s="304"/>
      <c r="Q18" s="304"/>
      <c r="R18" s="304"/>
      <c r="S18" s="304"/>
      <c r="T18" s="305"/>
      <c r="U18" s="344"/>
      <c r="V18" s="344" t="n">
        <v>44954</v>
      </c>
      <c r="W18" s="345" t="s">
        <v>103</v>
      </c>
      <c r="X18" s="302" t="s">
        <v>133</v>
      </c>
      <c r="Y18" s="301" t="s">
        <v>1618</v>
      </c>
      <c r="Z18" s="308" t="s">
        <v>1621</v>
      </c>
    </row>
    <row r="19" customFormat="false" ht="12.75" hidden="false" customHeight="true" outlineLevel="0" collapsed="false">
      <c r="A19" s="290" t="s">
        <v>179</v>
      </c>
      <c r="B19" s="291" t="n">
        <v>16</v>
      </c>
      <c r="C19" s="291" t="s">
        <v>27</v>
      </c>
      <c r="D19" s="291" t="s">
        <v>180</v>
      </c>
      <c r="E19" s="291" t="s">
        <v>181</v>
      </c>
      <c r="F19" s="290" t="s">
        <v>179</v>
      </c>
      <c r="G19" s="292" t="s">
        <v>182</v>
      </c>
      <c r="H19" s="291" t="s">
        <v>1625</v>
      </c>
      <c r="I19" s="291" t="s">
        <v>1626</v>
      </c>
      <c r="J19" s="291" t="s">
        <v>1627</v>
      </c>
      <c r="K19" s="291" t="s">
        <v>1628</v>
      </c>
      <c r="L19" s="292"/>
      <c r="M19" s="292"/>
      <c r="N19" s="293" t="s">
        <v>1629</v>
      </c>
      <c r="O19" s="293" t="s">
        <v>1630</v>
      </c>
      <c r="P19" s="295" t="n">
        <v>44702</v>
      </c>
      <c r="Q19" s="295" t="s">
        <v>32</v>
      </c>
      <c r="R19" s="295" t="n">
        <v>44610</v>
      </c>
      <c r="S19" s="293" t="s">
        <v>67</v>
      </c>
      <c r="T19" s="346" t="s">
        <v>1631</v>
      </c>
      <c r="U19" s="297"/>
      <c r="V19" s="297"/>
      <c r="W19" s="298"/>
      <c r="X19" s="292"/>
      <c r="Y19" s="290" t="s">
        <v>179</v>
      </c>
      <c r="Z19" s="347" t="s">
        <v>182</v>
      </c>
    </row>
    <row r="20" customFormat="false" ht="12.75" hidden="false" customHeight="true" outlineLevel="0" collapsed="false">
      <c r="A20" s="265" t="s">
        <v>187</v>
      </c>
      <c r="B20" s="262" t="n">
        <v>17</v>
      </c>
      <c r="C20" s="262" t="s">
        <v>27</v>
      </c>
      <c r="D20" s="262" t="s">
        <v>188</v>
      </c>
      <c r="E20" s="262" t="s">
        <v>189</v>
      </c>
      <c r="F20" s="265" t="s">
        <v>187</v>
      </c>
      <c r="G20" s="270" t="s">
        <v>190</v>
      </c>
      <c r="H20" s="262" t="s">
        <v>1590</v>
      </c>
      <c r="I20" s="262" t="s">
        <v>1632</v>
      </c>
      <c r="J20" s="262" t="s">
        <v>1603</v>
      </c>
      <c r="K20" s="262" t="s">
        <v>1633</v>
      </c>
      <c r="L20" s="270"/>
      <c r="M20" s="270"/>
      <c r="N20" s="309"/>
      <c r="O20" s="277"/>
      <c r="P20" s="309" t="n">
        <v>44863</v>
      </c>
      <c r="Q20" s="277" t="s">
        <v>67</v>
      </c>
      <c r="R20" s="309" t="n">
        <v>44667</v>
      </c>
      <c r="S20" s="309" t="s">
        <v>126</v>
      </c>
      <c r="T20" s="310"/>
      <c r="U20" s="278"/>
      <c r="V20" s="278"/>
      <c r="W20" s="279"/>
      <c r="X20" s="270"/>
      <c r="Y20" s="265" t="s">
        <v>187</v>
      </c>
      <c r="Z20" s="300" t="s">
        <v>193</v>
      </c>
    </row>
    <row r="21" customFormat="false" ht="12.75" hidden="false" customHeight="true" outlineLevel="0" collapsed="false">
      <c r="A21" s="265" t="s">
        <v>194</v>
      </c>
      <c r="B21" s="262" t="n">
        <v>18</v>
      </c>
      <c r="C21" s="262" t="s">
        <v>27</v>
      </c>
      <c r="D21" s="262" t="s">
        <v>195</v>
      </c>
      <c r="E21" s="262" t="s">
        <v>1250</v>
      </c>
      <c r="F21" s="265" t="s">
        <v>194</v>
      </c>
      <c r="G21" s="270" t="s">
        <v>197</v>
      </c>
      <c r="H21" s="270"/>
      <c r="I21" s="270"/>
      <c r="J21" s="270"/>
      <c r="K21" s="270"/>
      <c r="L21" s="270"/>
      <c r="M21" s="270"/>
      <c r="N21" s="309" t="n">
        <v>44596</v>
      </c>
      <c r="O21" s="277" t="s">
        <v>335</v>
      </c>
      <c r="P21" s="309"/>
      <c r="Q21" s="309"/>
      <c r="R21" s="309" t="n">
        <v>44821</v>
      </c>
      <c r="S21" s="277" t="s">
        <v>126</v>
      </c>
      <c r="T21" s="310"/>
      <c r="U21" s="278"/>
      <c r="V21" s="278"/>
      <c r="W21" s="279"/>
      <c r="X21" s="270"/>
      <c r="Y21" s="265" t="s">
        <v>194</v>
      </c>
      <c r="Z21" s="300" t="s">
        <v>197</v>
      </c>
    </row>
    <row r="22" customFormat="false" ht="12.75" hidden="false" customHeight="true" outlineLevel="0" collapsed="false">
      <c r="A22" s="265" t="s">
        <v>198</v>
      </c>
      <c r="B22" s="262" t="n">
        <v>19</v>
      </c>
      <c r="C22" s="262" t="s">
        <v>27</v>
      </c>
      <c r="D22" s="262" t="s">
        <v>199</v>
      </c>
      <c r="E22" s="262" t="s">
        <v>200</v>
      </c>
      <c r="F22" s="265" t="s">
        <v>198</v>
      </c>
      <c r="G22" s="270" t="s">
        <v>201</v>
      </c>
      <c r="H22" s="270"/>
      <c r="I22" s="270"/>
      <c r="J22" s="270"/>
      <c r="K22" s="270"/>
      <c r="L22" s="270"/>
      <c r="M22" s="270"/>
      <c r="N22" s="309"/>
      <c r="O22" s="309"/>
      <c r="P22" s="309" t="n">
        <v>44596</v>
      </c>
      <c r="Q22" s="277" t="s">
        <v>32</v>
      </c>
      <c r="R22" s="309" t="n">
        <v>44821</v>
      </c>
      <c r="S22" s="277" t="s">
        <v>49</v>
      </c>
      <c r="T22" s="310"/>
      <c r="U22" s="278" t="n">
        <v>44674</v>
      </c>
      <c r="V22" s="278"/>
      <c r="W22" s="279"/>
      <c r="X22" s="270"/>
      <c r="Y22" s="265" t="s">
        <v>198</v>
      </c>
      <c r="Z22" s="300" t="s">
        <v>201</v>
      </c>
    </row>
    <row r="23" customFormat="false" ht="12.75" hidden="false" customHeight="true" outlineLevel="0" collapsed="false">
      <c r="A23" s="301" t="s">
        <v>202</v>
      </c>
      <c r="B23" s="302" t="n">
        <v>20</v>
      </c>
      <c r="C23" s="302" t="s">
        <v>27</v>
      </c>
      <c r="D23" s="302" t="s">
        <v>203</v>
      </c>
      <c r="E23" s="302" t="s">
        <v>204</v>
      </c>
      <c r="F23" s="301" t="s">
        <v>202</v>
      </c>
      <c r="G23" s="303" t="s">
        <v>205</v>
      </c>
      <c r="H23" s="302"/>
      <c r="I23" s="302"/>
      <c r="J23" s="303"/>
      <c r="K23" s="303"/>
      <c r="L23" s="303"/>
      <c r="M23" s="303"/>
      <c r="N23" s="304" t="n">
        <v>44589</v>
      </c>
      <c r="O23" s="319" t="s">
        <v>335</v>
      </c>
      <c r="P23" s="304"/>
      <c r="Q23" s="304"/>
      <c r="R23" s="304" t="n">
        <v>44807</v>
      </c>
      <c r="S23" s="319" t="s">
        <v>49</v>
      </c>
      <c r="T23" s="305"/>
      <c r="U23" s="306"/>
      <c r="V23" s="306" t="n">
        <v>45073</v>
      </c>
      <c r="W23" s="345"/>
      <c r="X23" s="303"/>
      <c r="Y23" s="301" t="s">
        <v>202</v>
      </c>
      <c r="Z23" s="308" t="s">
        <v>205</v>
      </c>
    </row>
    <row r="24" customFormat="false" ht="12.75" hidden="false" customHeight="true" outlineLevel="0" collapsed="false">
      <c r="A24" s="265" t="s">
        <v>206</v>
      </c>
      <c r="B24" s="262" t="n">
        <v>21</v>
      </c>
      <c r="C24" s="262" t="s">
        <v>207</v>
      </c>
      <c r="D24" s="262" t="s">
        <v>208</v>
      </c>
      <c r="E24" s="262" t="s">
        <v>209</v>
      </c>
      <c r="F24" s="265" t="s">
        <v>206</v>
      </c>
      <c r="G24" s="270" t="s">
        <v>210</v>
      </c>
      <c r="H24" s="270"/>
      <c r="I24" s="270"/>
      <c r="J24" s="270"/>
      <c r="K24" s="270"/>
      <c r="L24" s="270"/>
      <c r="M24" s="270"/>
      <c r="N24" s="309" t="n">
        <v>44716</v>
      </c>
      <c r="O24" s="309" t="s">
        <v>49</v>
      </c>
      <c r="P24" s="309"/>
      <c r="Q24" s="309"/>
      <c r="R24" s="309" t="n">
        <v>44624</v>
      </c>
      <c r="S24" s="277" t="s">
        <v>67</v>
      </c>
      <c r="T24" s="310"/>
      <c r="U24" s="278"/>
      <c r="V24" s="278"/>
      <c r="W24" s="279"/>
      <c r="X24" s="270"/>
      <c r="Y24" s="265" t="s">
        <v>206</v>
      </c>
      <c r="Z24" s="348" t="s">
        <v>210</v>
      </c>
    </row>
    <row r="25" customFormat="false" ht="12.75" hidden="false" customHeight="true" outlineLevel="0" collapsed="false">
      <c r="A25" s="290" t="s">
        <v>211</v>
      </c>
      <c r="B25" s="291" t="n">
        <v>22</v>
      </c>
      <c r="C25" s="291" t="s">
        <v>207</v>
      </c>
      <c r="D25" s="291" t="s">
        <v>212</v>
      </c>
      <c r="E25" s="291" t="s">
        <v>213</v>
      </c>
      <c r="F25" s="290" t="s">
        <v>211</v>
      </c>
      <c r="G25" s="292" t="s">
        <v>214</v>
      </c>
      <c r="H25" s="291" t="s">
        <v>1634</v>
      </c>
      <c r="I25" s="291" t="s">
        <v>1635</v>
      </c>
      <c r="J25" s="291"/>
      <c r="K25" s="291"/>
      <c r="L25" s="291"/>
      <c r="M25" s="291"/>
      <c r="N25" s="293" t="s">
        <v>1636</v>
      </c>
      <c r="O25" s="293" t="s">
        <v>1637</v>
      </c>
      <c r="P25" s="314"/>
      <c r="Q25" s="314"/>
      <c r="R25" s="295"/>
      <c r="S25" s="295"/>
      <c r="T25" s="346"/>
      <c r="U25" s="349"/>
      <c r="V25" s="349"/>
      <c r="W25" s="298" t="s">
        <v>103</v>
      </c>
      <c r="X25" s="291" t="s">
        <v>217</v>
      </c>
      <c r="Y25" s="290" t="s">
        <v>211</v>
      </c>
      <c r="Z25" s="348" t="s">
        <v>218</v>
      </c>
    </row>
    <row r="26" customFormat="false" ht="12.75" hidden="false" customHeight="true" outlineLevel="0" collapsed="false">
      <c r="A26" s="290" t="s">
        <v>219</v>
      </c>
      <c r="B26" s="291" t="n">
        <v>23</v>
      </c>
      <c r="C26" s="291" t="s">
        <v>207</v>
      </c>
      <c r="D26" s="291" t="s">
        <v>220</v>
      </c>
      <c r="E26" s="291" t="s">
        <v>221</v>
      </c>
      <c r="F26" s="290" t="s">
        <v>219</v>
      </c>
      <c r="G26" s="292" t="s">
        <v>222</v>
      </c>
      <c r="H26" s="291" t="s">
        <v>1594</v>
      </c>
      <c r="I26" s="291" t="s">
        <v>1638</v>
      </c>
      <c r="J26" s="291"/>
      <c r="K26" s="291"/>
      <c r="L26" s="291"/>
      <c r="M26" s="291"/>
      <c r="N26" s="293" t="s">
        <v>1639</v>
      </c>
      <c r="O26" s="293" t="s">
        <v>1640</v>
      </c>
      <c r="P26" s="314"/>
      <c r="Q26" s="314"/>
      <c r="R26" s="295"/>
      <c r="S26" s="295"/>
      <c r="T26" s="346"/>
      <c r="U26" s="349"/>
      <c r="V26" s="349"/>
      <c r="W26" s="298" t="s">
        <v>103</v>
      </c>
      <c r="X26" s="291" t="s">
        <v>224</v>
      </c>
      <c r="Y26" s="290" t="s">
        <v>219</v>
      </c>
      <c r="Z26" s="350" t="s">
        <v>222</v>
      </c>
    </row>
    <row r="27" customFormat="false" ht="12.75" hidden="false" customHeight="true" outlineLevel="0" collapsed="false">
      <c r="A27" s="265" t="s">
        <v>225</v>
      </c>
      <c r="B27" s="262" t="n">
        <v>24</v>
      </c>
      <c r="C27" s="262" t="s">
        <v>207</v>
      </c>
      <c r="D27" s="262" t="s">
        <v>226</v>
      </c>
      <c r="E27" s="262" t="s">
        <v>227</v>
      </c>
      <c r="F27" s="265" t="s">
        <v>225</v>
      </c>
      <c r="G27" s="270" t="s">
        <v>228</v>
      </c>
      <c r="H27" s="262" t="s">
        <v>1590</v>
      </c>
      <c r="I27" s="262" t="s">
        <v>1641</v>
      </c>
      <c r="J27" s="270"/>
      <c r="K27" s="270"/>
      <c r="L27" s="270"/>
      <c r="M27" s="270"/>
      <c r="N27" s="309" t="n">
        <v>44877</v>
      </c>
      <c r="O27" s="309" t="s">
        <v>49</v>
      </c>
      <c r="P27" s="309"/>
      <c r="Q27" s="309"/>
      <c r="R27" s="309" t="n">
        <v>44688</v>
      </c>
      <c r="S27" s="309" t="s">
        <v>49</v>
      </c>
      <c r="T27" s="310"/>
      <c r="U27" s="278"/>
      <c r="V27" s="278"/>
      <c r="W27" s="279"/>
      <c r="X27" s="270"/>
      <c r="Y27" s="265" t="s">
        <v>225</v>
      </c>
      <c r="Z27" s="348" t="s">
        <v>228</v>
      </c>
    </row>
    <row r="28" customFormat="false" ht="12.75" hidden="false" customHeight="true" outlineLevel="0" collapsed="false">
      <c r="A28" s="301" t="s">
        <v>1265</v>
      </c>
      <c r="B28" s="302" t="n">
        <v>25</v>
      </c>
      <c r="C28" s="302" t="s">
        <v>207</v>
      </c>
      <c r="D28" s="302" t="s">
        <v>1642</v>
      </c>
      <c r="E28" s="302" t="s">
        <v>1267</v>
      </c>
      <c r="F28" s="301" t="s">
        <v>1265</v>
      </c>
      <c r="G28" s="303" t="s">
        <v>1643</v>
      </c>
      <c r="H28" s="302" t="s">
        <v>1592</v>
      </c>
      <c r="I28" s="302" t="s">
        <v>1644</v>
      </c>
      <c r="J28" s="302"/>
      <c r="K28" s="302"/>
      <c r="L28" s="302"/>
      <c r="M28" s="302"/>
      <c r="N28" s="304"/>
      <c r="O28" s="304"/>
      <c r="P28" s="304"/>
      <c r="Q28" s="304"/>
      <c r="R28" s="304"/>
      <c r="S28" s="304"/>
      <c r="T28" s="305"/>
      <c r="U28" s="344"/>
      <c r="V28" s="344" t="n">
        <v>45003</v>
      </c>
      <c r="W28" s="345" t="s">
        <v>60</v>
      </c>
      <c r="X28" s="302" t="s">
        <v>299</v>
      </c>
      <c r="Y28" s="301" t="s">
        <v>1265</v>
      </c>
      <c r="Z28" s="351" t="s">
        <v>1645</v>
      </c>
    </row>
    <row r="29" customFormat="false" ht="12.75" hidden="false" customHeight="true" outlineLevel="0" collapsed="false">
      <c r="A29" s="328" t="s">
        <v>230</v>
      </c>
      <c r="B29" s="329" t="n">
        <v>26</v>
      </c>
      <c r="C29" s="329" t="s">
        <v>207</v>
      </c>
      <c r="D29" s="329" t="s">
        <v>231</v>
      </c>
      <c r="E29" s="329" t="s">
        <v>232</v>
      </c>
      <c r="F29" s="328" t="s">
        <v>230</v>
      </c>
      <c r="G29" s="330" t="s">
        <v>233</v>
      </c>
      <c r="H29" s="329"/>
      <c r="I29" s="329"/>
      <c r="J29" s="329"/>
      <c r="K29" s="329"/>
      <c r="L29" s="329"/>
      <c r="M29" s="329"/>
      <c r="N29" s="314"/>
      <c r="O29" s="314"/>
      <c r="P29" s="314"/>
      <c r="Q29" s="314"/>
      <c r="R29" s="331"/>
      <c r="S29" s="331"/>
      <c r="T29" s="352"/>
      <c r="U29" s="333"/>
      <c r="V29" s="333"/>
      <c r="W29" s="334" t="s">
        <v>152</v>
      </c>
      <c r="X29" s="329" t="s">
        <v>224</v>
      </c>
      <c r="Y29" s="328" t="s">
        <v>230</v>
      </c>
      <c r="Z29" s="353" t="s">
        <v>234</v>
      </c>
    </row>
    <row r="30" customFormat="false" ht="12.75" hidden="false" customHeight="true" outlineLevel="0" collapsed="false">
      <c r="A30" s="336" t="s">
        <v>235</v>
      </c>
      <c r="B30" s="337" t="n">
        <v>27</v>
      </c>
      <c r="C30" s="337" t="s">
        <v>207</v>
      </c>
      <c r="D30" s="337" t="s">
        <v>236</v>
      </c>
      <c r="E30" s="337" t="s">
        <v>237</v>
      </c>
      <c r="F30" s="336" t="s">
        <v>235</v>
      </c>
      <c r="G30" s="338" t="s">
        <v>238</v>
      </c>
      <c r="H30" s="337" t="s">
        <v>1584</v>
      </c>
      <c r="I30" s="337" t="s">
        <v>1646</v>
      </c>
      <c r="J30" s="337"/>
      <c r="K30" s="337"/>
      <c r="L30" s="337"/>
      <c r="M30" s="337"/>
      <c r="N30" s="314"/>
      <c r="O30" s="314"/>
      <c r="P30" s="314"/>
      <c r="Q30" s="314"/>
      <c r="R30" s="339" t="s">
        <v>1647</v>
      </c>
      <c r="S30" s="340" t="s">
        <v>32</v>
      </c>
      <c r="T30" s="341"/>
      <c r="U30" s="342"/>
      <c r="V30" s="342"/>
      <c r="W30" s="343" t="s">
        <v>240</v>
      </c>
      <c r="X30" s="337" t="s">
        <v>133</v>
      </c>
      <c r="Y30" s="336" t="s">
        <v>235</v>
      </c>
      <c r="Z30" s="354" t="s">
        <v>241</v>
      </c>
    </row>
    <row r="31" customFormat="false" ht="12.75" hidden="false" customHeight="true" outlineLevel="0" collapsed="false">
      <c r="A31" s="311" t="s">
        <v>242</v>
      </c>
      <c r="B31" s="312" t="n">
        <v>28</v>
      </c>
      <c r="C31" s="312" t="s">
        <v>207</v>
      </c>
      <c r="D31" s="312" t="s">
        <v>243</v>
      </c>
      <c r="E31" s="312" t="s">
        <v>244</v>
      </c>
      <c r="F31" s="311" t="s">
        <v>242</v>
      </c>
      <c r="G31" s="313" t="s">
        <v>245</v>
      </c>
      <c r="H31" s="312"/>
      <c r="I31" s="312"/>
      <c r="J31" s="312"/>
      <c r="K31" s="312"/>
      <c r="L31" s="312"/>
      <c r="M31" s="312"/>
      <c r="N31" s="314"/>
      <c r="O31" s="314"/>
      <c r="P31" s="314"/>
      <c r="Q31" s="314"/>
      <c r="R31" s="315"/>
      <c r="S31" s="315"/>
      <c r="T31" s="316"/>
      <c r="U31" s="317"/>
      <c r="V31" s="317"/>
      <c r="W31" s="318" t="s">
        <v>60</v>
      </c>
      <c r="X31" s="312" t="s">
        <v>224</v>
      </c>
      <c r="Y31" s="311" t="s">
        <v>242</v>
      </c>
      <c r="Z31" s="348" t="s">
        <v>245</v>
      </c>
    </row>
    <row r="32" customFormat="false" ht="12.75" hidden="false" customHeight="true" outlineLevel="0" collapsed="false">
      <c r="A32" s="328" t="s">
        <v>246</v>
      </c>
      <c r="B32" s="329" t="n">
        <v>29</v>
      </c>
      <c r="C32" s="329" t="s">
        <v>207</v>
      </c>
      <c r="D32" s="329" t="s">
        <v>247</v>
      </c>
      <c r="E32" s="329" t="s">
        <v>248</v>
      </c>
      <c r="F32" s="328" t="s">
        <v>246</v>
      </c>
      <c r="G32" s="330" t="s">
        <v>249</v>
      </c>
      <c r="H32" s="329" t="s">
        <v>1648</v>
      </c>
      <c r="I32" s="329" t="s">
        <v>1649</v>
      </c>
      <c r="J32" s="329"/>
      <c r="K32" s="329"/>
      <c r="L32" s="329"/>
      <c r="M32" s="329"/>
      <c r="N32" s="314"/>
      <c r="O32" s="314"/>
      <c r="P32" s="314"/>
      <c r="Q32" s="314"/>
      <c r="R32" s="331"/>
      <c r="S32" s="331"/>
      <c r="T32" s="352"/>
      <c r="U32" s="333"/>
      <c r="V32" s="333"/>
      <c r="W32" s="334" t="s">
        <v>152</v>
      </c>
      <c r="X32" s="329" t="s">
        <v>252</v>
      </c>
      <c r="Y32" s="328" t="s">
        <v>246</v>
      </c>
      <c r="Z32" s="348" t="s">
        <v>249</v>
      </c>
    </row>
    <row r="33" customFormat="false" ht="12.75" hidden="false" customHeight="true" outlineLevel="0" collapsed="false">
      <c r="A33" s="265" t="s">
        <v>253</v>
      </c>
      <c r="B33" s="262" t="n">
        <v>30</v>
      </c>
      <c r="C33" s="262" t="s">
        <v>207</v>
      </c>
      <c r="D33" s="262" t="s">
        <v>254</v>
      </c>
      <c r="E33" s="262" t="s">
        <v>255</v>
      </c>
      <c r="F33" s="265" t="s">
        <v>253</v>
      </c>
      <c r="G33" s="270" t="s">
        <v>256</v>
      </c>
      <c r="H33" s="270"/>
      <c r="I33" s="270"/>
      <c r="J33" s="270"/>
      <c r="K33" s="270"/>
      <c r="L33" s="270"/>
      <c r="M33" s="270"/>
      <c r="N33" s="309"/>
      <c r="O33" s="309"/>
      <c r="P33" s="309" t="n">
        <v>44800</v>
      </c>
      <c r="Q33" s="309" t="s">
        <v>67</v>
      </c>
      <c r="R33" s="309"/>
      <c r="S33" s="309"/>
      <c r="T33" s="310" t="s">
        <v>1650</v>
      </c>
      <c r="U33" s="278"/>
      <c r="V33" s="278"/>
      <c r="W33" s="279"/>
      <c r="X33" s="270"/>
      <c r="Y33" s="265" t="s">
        <v>253</v>
      </c>
      <c r="Z33" s="354" t="s">
        <v>256</v>
      </c>
    </row>
    <row r="34" customFormat="false" ht="12.75" hidden="false" customHeight="true" outlineLevel="0" collapsed="false">
      <c r="A34" s="265" t="s">
        <v>257</v>
      </c>
      <c r="B34" s="262" t="n">
        <v>31</v>
      </c>
      <c r="C34" s="262" t="s">
        <v>207</v>
      </c>
      <c r="D34" s="262" t="s">
        <v>258</v>
      </c>
      <c r="E34" s="262" t="s">
        <v>259</v>
      </c>
      <c r="F34" s="265" t="s">
        <v>257</v>
      </c>
      <c r="G34" s="270" t="s">
        <v>260</v>
      </c>
      <c r="H34" s="262" t="s">
        <v>1603</v>
      </c>
      <c r="I34" s="262" t="s">
        <v>1651</v>
      </c>
      <c r="J34" s="270"/>
      <c r="K34" s="270"/>
      <c r="L34" s="270"/>
      <c r="M34" s="270"/>
      <c r="N34" s="309"/>
      <c r="O34" s="309"/>
      <c r="P34" s="309" t="n">
        <v>44660</v>
      </c>
      <c r="Q34" s="309" t="s">
        <v>67</v>
      </c>
      <c r="R34" s="309" t="n">
        <v>44870</v>
      </c>
      <c r="S34" s="277" t="s">
        <v>335</v>
      </c>
      <c r="T34" s="310"/>
      <c r="U34" s="278"/>
      <c r="V34" s="278"/>
      <c r="W34" s="279"/>
      <c r="X34" s="270"/>
      <c r="Y34" s="265" t="s">
        <v>257</v>
      </c>
      <c r="Z34" s="348" t="s">
        <v>260</v>
      </c>
    </row>
    <row r="35" customFormat="false" ht="12.75" hidden="false" customHeight="true" outlineLevel="0" collapsed="false">
      <c r="A35" s="301" t="s">
        <v>1652</v>
      </c>
      <c r="B35" s="302" t="n">
        <v>32</v>
      </c>
      <c r="C35" s="302" t="s">
        <v>207</v>
      </c>
      <c r="D35" s="355" t="s">
        <v>1653</v>
      </c>
      <c r="E35" s="302" t="s">
        <v>290</v>
      </c>
      <c r="F35" s="301" t="s">
        <v>1652</v>
      </c>
      <c r="G35" s="303" t="s">
        <v>1654</v>
      </c>
      <c r="H35" s="302" t="s">
        <v>1625</v>
      </c>
      <c r="I35" s="302" t="s">
        <v>1655</v>
      </c>
      <c r="J35" s="302"/>
      <c r="K35" s="302"/>
      <c r="L35" s="302"/>
      <c r="M35" s="302"/>
      <c r="N35" s="304"/>
      <c r="O35" s="304"/>
      <c r="P35" s="304"/>
      <c r="Q35" s="304"/>
      <c r="R35" s="304"/>
      <c r="S35" s="304"/>
      <c r="T35" s="305"/>
      <c r="U35" s="344"/>
      <c r="V35" s="344" t="n">
        <v>44730</v>
      </c>
      <c r="W35" s="345"/>
      <c r="X35" s="302"/>
      <c r="Y35" s="301" t="s">
        <v>1652</v>
      </c>
      <c r="Z35" s="348" t="s">
        <v>1654</v>
      </c>
    </row>
    <row r="36" customFormat="false" ht="12.75" hidden="false" customHeight="true" outlineLevel="0" collapsed="false">
      <c r="A36" s="265" t="s">
        <v>262</v>
      </c>
      <c r="B36" s="262" t="n">
        <v>33</v>
      </c>
      <c r="C36" s="262" t="s">
        <v>207</v>
      </c>
      <c r="D36" s="262" t="s">
        <v>263</v>
      </c>
      <c r="E36" s="262" t="s">
        <v>264</v>
      </c>
      <c r="F36" s="265" t="s">
        <v>262</v>
      </c>
      <c r="G36" s="270" t="s">
        <v>265</v>
      </c>
      <c r="H36" s="270"/>
      <c r="I36" s="270"/>
      <c r="J36" s="270"/>
      <c r="K36" s="270"/>
      <c r="L36" s="270"/>
      <c r="M36" s="270"/>
      <c r="N36" s="309" t="n">
        <v>44912</v>
      </c>
      <c r="O36" s="309" t="s">
        <v>49</v>
      </c>
      <c r="P36" s="309"/>
      <c r="Q36" s="309"/>
      <c r="R36" s="309" t="n">
        <v>44723</v>
      </c>
      <c r="S36" s="309" t="s">
        <v>126</v>
      </c>
      <c r="T36" s="310"/>
      <c r="U36" s="278"/>
      <c r="V36" s="278"/>
      <c r="W36" s="279"/>
      <c r="X36" s="270"/>
      <c r="Y36" s="265" t="s">
        <v>262</v>
      </c>
      <c r="Z36" s="348" t="s">
        <v>265</v>
      </c>
    </row>
    <row r="37" customFormat="false" ht="12.75" hidden="false" customHeight="true" outlineLevel="0" collapsed="false">
      <c r="A37" s="265" t="s">
        <v>266</v>
      </c>
      <c r="B37" s="262" t="n">
        <v>34</v>
      </c>
      <c r="C37" s="262" t="s">
        <v>207</v>
      </c>
      <c r="D37" s="262" t="s">
        <v>267</v>
      </c>
      <c r="E37" s="262" t="s">
        <v>268</v>
      </c>
      <c r="F37" s="265" t="s">
        <v>266</v>
      </c>
      <c r="G37" s="270" t="s">
        <v>269</v>
      </c>
      <c r="H37" s="262" t="s">
        <v>1603</v>
      </c>
      <c r="I37" s="262" t="s">
        <v>1656</v>
      </c>
      <c r="J37" s="270"/>
      <c r="K37" s="270"/>
      <c r="L37" s="270"/>
      <c r="M37" s="270"/>
      <c r="N37" s="309"/>
      <c r="O37" s="309"/>
      <c r="P37" s="309" t="n">
        <v>44660</v>
      </c>
      <c r="Q37" s="309" t="s">
        <v>32</v>
      </c>
      <c r="R37" s="309" t="n">
        <v>44870</v>
      </c>
      <c r="S37" s="277" t="s">
        <v>1657</v>
      </c>
      <c r="T37" s="310"/>
      <c r="U37" s="278"/>
      <c r="V37" s="278"/>
      <c r="W37" s="279"/>
      <c r="X37" s="270"/>
      <c r="Y37" s="265" t="s">
        <v>266</v>
      </c>
      <c r="Z37" s="353" t="s">
        <v>271</v>
      </c>
    </row>
    <row r="38" customFormat="false" ht="12.75" hidden="false" customHeight="true" outlineLevel="0" collapsed="false">
      <c r="A38" s="265" t="s">
        <v>272</v>
      </c>
      <c r="B38" s="262" t="n">
        <v>35</v>
      </c>
      <c r="C38" s="262" t="s">
        <v>207</v>
      </c>
      <c r="D38" s="262" t="s">
        <v>273</v>
      </c>
      <c r="E38" s="262" t="s">
        <v>274</v>
      </c>
      <c r="F38" s="272" t="s">
        <v>275</v>
      </c>
      <c r="G38" s="270" t="s">
        <v>276</v>
      </c>
      <c r="H38" s="270"/>
      <c r="I38" s="270"/>
      <c r="J38" s="270"/>
      <c r="K38" s="270"/>
      <c r="L38" s="270"/>
      <c r="M38" s="270"/>
      <c r="N38" s="309"/>
      <c r="O38" s="309"/>
      <c r="P38" s="309" t="n">
        <v>44617</v>
      </c>
      <c r="Q38" s="277" t="s">
        <v>67</v>
      </c>
      <c r="R38" s="309" t="n">
        <v>44856</v>
      </c>
      <c r="S38" s="277" t="s">
        <v>67</v>
      </c>
      <c r="T38" s="356" t="s">
        <v>1658</v>
      </c>
      <c r="U38" s="278"/>
      <c r="V38" s="278"/>
      <c r="W38" s="279"/>
      <c r="X38" s="270"/>
      <c r="Y38" s="265" t="s">
        <v>272</v>
      </c>
      <c r="Z38" s="348" t="s">
        <v>276</v>
      </c>
    </row>
    <row r="39" customFormat="false" ht="12.75" hidden="false" customHeight="true" outlineLevel="0" collapsed="false">
      <c r="A39" s="265" t="s">
        <v>277</v>
      </c>
      <c r="B39" s="262" t="n">
        <v>36</v>
      </c>
      <c r="C39" s="262" t="s">
        <v>207</v>
      </c>
      <c r="D39" s="262" t="s">
        <v>278</v>
      </c>
      <c r="E39" s="262" t="s">
        <v>279</v>
      </c>
      <c r="F39" s="265" t="s">
        <v>277</v>
      </c>
      <c r="G39" s="270" t="s">
        <v>280</v>
      </c>
      <c r="H39" s="270"/>
      <c r="I39" s="270"/>
      <c r="J39" s="270"/>
      <c r="K39" s="270"/>
      <c r="L39" s="270"/>
      <c r="M39" s="270"/>
      <c r="N39" s="309"/>
      <c r="O39" s="309"/>
      <c r="P39" s="309" t="n">
        <v>44617</v>
      </c>
      <c r="Q39" s="277" t="s">
        <v>32</v>
      </c>
      <c r="R39" s="309" t="n">
        <v>44856</v>
      </c>
      <c r="S39" s="277" t="s">
        <v>126</v>
      </c>
      <c r="T39" s="310"/>
      <c r="U39" s="278"/>
      <c r="V39" s="278"/>
      <c r="W39" s="279"/>
      <c r="X39" s="270"/>
      <c r="Y39" s="265" t="s">
        <v>277</v>
      </c>
      <c r="Z39" s="348" t="s">
        <v>280</v>
      </c>
    </row>
    <row r="40" customFormat="false" ht="12.75" hidden="false" customHeight="true" outlineLevel="0" collapsed="false">
      <c r="A40" s="320" t="s">
        <v>1281</v>
      </c>
      <c r="B40" s="321" t="n">
        <v>37</v>
      </c>
      <c r="C40" s="321" t="s">
        <v>207</v>
      </c>
      <c r="D40" s="321" t="s">
        <v>1659</v>
      </c>
      <c r="E40" s="321" t="s">
        <v>1283</v>
      </c>
      <c r="F40" s="320" t="s">
        <v>1281</v>
      </c>
      <c r="G40" s="322" t="s">
        <v>1660</v>
      </c>
      <c r="H40" s="321" t="s">
        <v>1603</v>
      </c>
      <c r="I40" s="321" t="s">
        <v>1661</v>
      </c>
      <c r="J40" s="321"/>
      <c r="K40" s="321"/>
      <c r="L40" s="321"/>
      <c r="M40" s="321"/>
      <c r="N40" s="323"/>
      <c r="O40" s="323"/>
      <c r="P40" s="323"/>
      <c r="Q40" s="323"/>
      <c r="R40" s="323"/>
      <c r="S40" s="323"/>
      <c r="T40" s="324"/>
      <c r="U40" s="325"/>
      <c r="V40" s="325" t="n">
        <v>45003</v>
      </c>
      <c r="W40" s="326" t="s">
        <v>55</v>
      </c>
      <c r="X40" s="321" t="s">
        <v>1662</v>
      </c>
      <c r="Y40" s="320" t="s">
        <v>1281</v>
      </c>
      <c r="Z40" s="348" t="s">
        <v>1660</v>
      </c>
    </row>
    <row r="41" customFormat="false" ht="12.75" hidden="false" customHeight="true" outlineLevel="0" collapsed="false">
      <c r="A41" s="301" t="s">
        <v>1663</v>
      </c>
      <c r="B41" s="302" t="n">
        <v>38</v>
      </c>
      <c r="C41" s="302" t="s">
        <v>207</v>
      </c>
      <c r="D41" s="355" t="s">
        <v>1664</v>
      </c>
      <c r="E41" s="302" t="s">
        <v>1665</v>
      </c>
      <c r="F41" s="301" t="s">
        <v>1663</v>
      </c>
      <c r="G41" s="303" t="s">
        <v>1666</v>
      </c>
      <c r="H41" s="303"/>
      <c r="I41" s="303"/>
      <c r="J41" s="303"/>
      <c r="K41" s="303"/>
      <c r="L41" s="303"/>
      <c r="M41" s="303"/>
      <c r="N41" s="304"/>
      <c r="O41" s="319"/>
      <c r="P41" s="304"/>
      <c r="Q41" s="304"/>
      <c r="R41" s="304"/>
      <c r="S41" s="304"/>
      <c r="T41" s="305"/>
      <c r="U41" s="306"/>
      <c r="V41" s="357" t="n">
        <v>44739</v>
      </c>
      <c r="W41" s="345"/>
      <c r="X41" s="303"/>
      <c r="Y41" s="301" t="s">
        <v>1663</v>
      </c>
      <c r="Z41" s="348" t="s">
        <v>1667</v>
      </c>
    </row>
    <row r="42" customFormat="false" ht="12.75" hidden="false" customHeight="true" outlineLevel="0" collapsed="false">
      <c r="A42" s="320" t="s">
        <v>1668</v>
      </c>
      <c r="B42" s="321" t="n">
        <v>39</v>
      </c>
      <c r="C42" s="321" t="s">
        <v>207</v>
      </c>
      <c r="D42" s="321" t="s">
        <v>1669</v>
      </c>
      <c r="E42" s="321" t="s">
        <v>1670</v>
      </c>
      <c r="F42" s="320" t="s">
        <v>1668</v>
      </c>
      <c r="G42" s="322" t="s">
        <v>1671</v>
      </c>
      <c r="H42" s="321" t="s">
        <v>1672</v>
      </c>
      <c r="I42" s="321" t="s">
        <v>1673</v>
      </c>
      <c r="J42" s="322"/>
      <c r="K42" s="322"/>
      <c r="L42" s="322"/>
      <c r="M42" s="322"/>
      <c r="N42" s="323"/>
      <c r="O42" s="323"/>
      <c r="P42" s="323"/>
      <c r="Q42" s="323"/>
      <c r="R42" s="323"/>
      <c r="S42" s="323"/>
      <c r="T42" s="324" t="s">
        <v>1674</v>
      </c>
      <c r="U42" s="358" t="n">
        <v>44674</v>
      </c>
      <c r="V42" s="358" t="n">
        <v>44940</v>
      </c>
      <c r="W42" s="326" t="s">
        <v>55</v>
      </c>
      <c r="X42" s="321" t="s">
        <v>1675</v>
      </c>
      <c r="Y42" s="320" t="s">
        <v>1668</v>
      </c>
      <c r="Z42" s="348" t="s">
        <v>1676</v>
      </c>
    </row>
    <row r="43" customFormat="false" ht="12.75" hidden="false" customHeight="true" outlineLevel="0" collapsed="false">
      <c r="A43" s="359" t="s">
        <v>281</v>
      </c>
      <c r="B43" s="262" t="n">
        <v>40</v>
      </c>
      <c r="C43" s="262" t="s">
        <v>207</v>
      </c>
      <c r="D43" s="262" t="s">
        <v>282</v>
      </c>
      <c r="E43" s="262" t="s">
        <v>283</v>
      </c>
      <c r="F43" s="265" t="s">
        <v>281</v>
      </c>
      <c r="G43" s="270" t="s">
        <v>284</v>
      </c>
      <c r="H43" s="262" t="s">
        <v>1594</v>
      </c>
      <c r="I43" s="262" t="s">
        <v>1677</v>
      </c>
      <c r="J43" s="262" t="s">
        <v>1678</v>
      </c>
      <c r="K43" s="360" t="s">
        <v>1679</v>
      </c>
      <c r="L43" s="360"/>
      <c r="M43" s="270"/>
      <c r="N43" s="309" t="n">
        <v>44828</v>
      </c>
      <c r="O43" s="277" t="s">
        <v>49</v>
      </c>
      <c r="P43" s="309"/>
      <c r="Q43" s="309"/>
      <c r="R43" s="309"/>
      <c r="S43" s="309"/>
      <c r="T43" s="356" t="s">
        <v>1680</v>
      </c>
      <c r="U43" s="278" t="n">
        <v>44674</v>
      </c>
      <c r="V43" s="278"/>
      <c r="W43" s="279"/>
      <c r="X43" s="270"/>
      <c r="Y43" s="359" t="s">
        <v>281</v>
      </c>
      <c r="Z43" s="348" t="s">
        <v>284</v>
      </c>
    </row>
    <row r="44" customFormat="false" ht="12.75" hidden="false" customHeight="true" outlineLevel="0" collapsed="false">
      <c r="A44" s="265" t="s">
        <v>288</v>
      </c>
      <c r="B44" s="262" t="n">
        <v>41</v>
      </c>
      <c r="C44" s="262" t="s">
        <v>207</v>
      </c>
      <c r="D44" s="262" t="s">
        <v>289</v>
      </c>
      <c r="E44" s="262" t="s">
        <v>290</v>
      </c>
      <c r="F44" s="265" t="s">
        <v>288</v>
      </c>
      <c r="G44" s="270" t="s">
        <v>291</v>
      </c>
      <c r="H44" s="262" t="s">
        <v>1625</v>
      </c>
      <c r="I44" s="262" t="s">
        <v>1681</v>
      </c>
      <c r="J44" s="262"/>
      <c r="K44" s="361"/>
      <c r="L44" s="270"/>
      <c r="M44" s="270"/>
      <c r="N44" s="362"/>
      <c r="O44" s="363"/>
      <c r="P44" s="362"/>
      <c r="Q44" s="362"/>
      <c r="R44" s="309" t="n">
        <v>44898</v>
      </c>
      <c r="S44" s="309" t="s">
        <v>67</v>
      </c>
      <c r="T44" s="310"/>
      <c r="U44" s="278" t="n">
        <v>44779</v>
      </c>
      <c r="V44" s="278"/>
      <c r="W44" s="279"/>
      <c r="X44" s="270"/>
      <c r="Y44" s="265" t="s">
        <v>288</v>
      </c>
      <c r="Z44" s="270" t="s">
        <v>291</v>
      </c>
    </row>
    <row r="45" customFormat="false" ht="12.75" hidden="false" customHeight="true" outlineLevel="0" collapsed="false">
      <c r="A45" s="328" t="s">
        <v>293</v>
      </c>
      <c r="B45" s="329" t="n">
        <v>42</v>
      </c>
      <c r="C45" s="329" t="s">
        <v>207</v>
      </c>
      <c r="D45" s="329" t="s">
        <v>294</v>
      </c>
      <c r="E45" s="329" t="s">
        <v>295</v>
      </c>
      <c r="F45" s="328" t="s">
        <v>293</v>
      </c>
      <c r="G45" s="330" t="s">
        <v>296</v>
      </c>
      <c r="H45" s="329" t="s">
        <v>1627</v>
      </c>
      <c r="I45" s="329" t="s">
        <v>1682</v>
      </c>
      <c r="J45" s="329" t="s">
        <v>1683</v>
      </c>
      <c r="K45" s="329" t="s">
        <v>1684</v>
      </c>
      <c r="L45" s="329"/>
      <c r="M45" s="329"/>
      <c r="N45" s="314"/>
      <c r="O45" s="314"/>
      <c r="P45" s="314"/>
      <c r="Q45" s="314"/>
      <c r="R45" s="331"/>
      <c r="S45" s="331"/>
      <c r="T45" s="364" t="s">
        <v>1685</v>
      </c>
      <c r="U45" s="333"/>
      <c r="V45" s="333"/>
      <c r="W45" s="334" t="s">
        <v>152</v>
      </c>
      <c r="X45" s="329" t="s">
        <v>299</v>
      </c>
      <c r="Y45" s="328" t="s">
        <v>293</v>
      </c>
      <c r="Z45" s="348" t="s">
        <v>300</v>
      </c>
    </row>
    <row r="46" customFormat="false" ht="12.75" hidden="false" customHeight="true" outlineLevel="0" collapsed="false">
      <c r="A46" s="311" t="s">
        <v>301</v>
      </c>
      <c r="B46" s="312" t="n">
        <v>43</v>
      </c>
      <c r="C46" s="312" t="s">
        <v>1686</v>
      </c>
      <c r="D46" s="312" t="s">
        <v>303</v>
      </c>
      <c r="E46" s="312" t="s">
        <v>268</v>
      </c>
      <c r="F46" s="311" t="s">
        <v>301</v>
      </c>
      <c r="G46" s="311" t="s">
        <v>304</v>
      </c>
      <c r="H46" s="312"/>
      <c r="I46" s="312"/>
      <c r="J46" s="312"/>
      <c r="K46" s="312"/>
      <c r="L46" s="312"/>
      <c r="M46" s="312"/>
      <c r="N46" s="314"/>
      <c r="O46" s="314"/>
      <c r="P46" s="314"/>
      <c r="Q46" s="314"/>
      <c r="R46" s="315"/>
      <c r="S46" s="315"/>
      <c r="T46" s="316"/>
      <c r="U46" s="317"/>
      <c r="V46" s="317"/>
      <c r="W46" s="318" t="s">
        <v>60</v>
      </c>
      <c r="X46" s="312" t="s">
        <v>305</v>
      </c>
      <c r="Y46" s="311" t="s">
        <v>301</v>
      </c>
      <c r="Z46" s="348" t="s">
        <v>306</v>
      </c>
    </row>
    <row r="47" customFormat="false" ht="12.75" hidden="false" customHeight="true" outlineLevel="0" collapsed="false">
      <c r="A47" s="265" t="s">
        <v>307</v>
      </c>
      <c r="B47" s="262" t="n">
        <v>44</v>
      </c>
      <c r="C47" s="262" t="s">
        <v>1686</v>
      </c>
      <c r="D47" s="262" t="s">
        <v>308</v>
      </c>
      <c r="E47" s="262" t="s">
        <v>309</v>
      </c>
      <c r="F47" s="265" t="s">
        <v>307</v>
      </c>
      <c r="G47" s="270" t="s">
        <v>310</v>
      </c>
      <c r="H47" s="270"/>
      <c r="I47" s="270"/>
      <c r="J47" s="270"/>
      <c r="K47" s="270"/>
      <c r="L47" s="270"/>
      <c r="M47" s="270"/>
      <c r="N47" s="309"/>
      <c r="O47" s="309"/>
      <c r="P47" s="309" t="n">
        <v>44716</v>
      </c>
      <c r="Q47" s="309" t="s">
        <v>67</v>
      </c>
      <c r="R47" s="309" t="n">
        <v>44631</v>
      </c>
      <c r="S47" s="277" t="s">
        <v>67</v>
      </c>
      <c r="T47" s="310"/>
      <c r="U47" s="278"/>
      <c r="V47" s="278"/>
      <c r="W47" s="279"/>
      <c r="X47" s="270"/>
      <c r="Y47" s="265" t="s">
        <v>307</v>
      </c>
      <c r="Z47" s="348" t="s">
        <v>310</v>
      </c>
    </row>
    <row r="48" customFormat="false" ht="12.75" hidden="false" customHeight="true" outlineLevel="0" collapsed="false">
      <c r="A48" s="265" t="s">
        <v>311</v>
      </c>
      <c r="B48" s="262" t="n">
        <v>45</v>
      </c>
      <c r="C48" s="262" t="s">
        <v>1686</v>
      </c>
      <c r="D48" s="262" t="s">
        <v>312</v>
      </c>
      <c r="E48" s="262" t="s">
        <v>313</v>
      </c>
      <c r="F48" s="272" t="s">
        <v>314</v>
      </c>
      <c r="G48" s="365" t="s">
        <v>315</v>
      </c>
      <c r="H48" s="262" t="s">
        <v>1584</v>
      </c>
      <c r="I48" s="262" t="s">
        <v>1687</v>
      </c>
      <c r="J48" s="270"/>
      <c r="K48" s="270"/>
      <c r="L48" s="270"/>
      <c r="M48" s="270"/>
      <c r="N48" s="309" t="n">
        <v>44877</v>
      </c>
      <c r="O48" s="309" t="s">
        <v>335</v>
      </c>
      <c r="P48" s="309"/>
      <c r="Q48" s="309"/>
      <c r="R48" s="309" t="n">
        <v>44688</v>
      </c>
      <c r="S48" s="309" t="s">
        <v>67</v>
      </c>
      <c r="T48" s="310" t="s">
        <v>1688</v>
      </c>
      <c r="U48" s="278"/>
      <c r="V48" s="278"/>
      <c r="W48" s="279"/>
      <c r="X48" s="270"/>
      <c r="Y48" s="265" t="s">
        <v>311</v>
      </c>
      <c r="Z48" s="348" t="s">
        <v>317</v>
      </c>
    </row>
    <row r="49" customFormat="false" ht="12.75" hidden="false" customHeight="true" outlineLevel="0" collapsed="false">
      <c r="A49" s="320" t="s">
        <v>318</v>
      </c>
      <c r="B49" s="321" t="n">
        <v>46</v>
      </c>
      <c r="C49" s="321" t="s">
        <v>1686</v>
      </c>
      <c r="D49" s="321" t="s">
        <v>319</v>
      </c>
      <c r="E49" s="321" t="s">
        <v>320</v>
      </c>
      <c r="F49" s="320" t="s">
        <v>318</v>
      </c>
      <c r="G49" s="322" t="s">
        <v>321</v>
      </c>
      <c r="H49" s="321" t="s">
        <v>1672</v>
      </c>
      <c r="I49" s="321" t="s">
        <v>1689</v>
      </c>
      <c r="J49" s="321"/>
      <c r="K49" s="321"/>
      <c r="L49" s="321"/>
      <c r="M49" s="321"/>
      <c r="N49" s="323"/>
      <c r="O49" s="323"/>
      <c r="P49" s="323"/>
      <c r="Q49" s="323"/>
      <c r="R49" s="323"/>
      <c r="S49" s="323"/>
      <c r="T49" s="324"/>
      <c r="U49" s="325"/>
      <c r="V49" s="325"/>
      <c r="W49" s="326" t="s">
        <v>55</v>
      </c>
      <c r="X49" s="321" t="s">
        <v>1690</v>
      </c>
      <c r="Y49" s="320" t="s">
        <v>318</v>
      </c>
      <c r="Z49" s="348" t="s">
        <v>321</v>
      </c>
    </row>
    <row r="50" customFormat="false" ht="12.75" hidden="false" customHeight="true" outlineLevel="0" collapsed="false">
      <c r="A50" s="265" t="s">
        <v>325</v>
      </c>
      <c r="B50" s="262" t="n">
        <v>47</v>
      </c>
      <c r="C50" s="262" t="s">
        <v>1686</v>
      </c>
      <c r="D50" s="262" t="s">
        <v>326</v>
      </c>
      <c r="E50" s="262" t="s">
        <v>327</v>
      </c>
      <c r="F50" s="265" t="s">
        <v>325</v>
      </c>
      <c r="G50" s="365" t="s">
        <v>328</v>
      </c>
      <c r="H50" s="262" t="s">
        <v>1634</v>
      </c>
      <c r="I50" s="262" t="s">
        <v>1691</v>
      </c>
      <c r="J50" s="270"/>
      <c r="K50" s="270"/>
      <c r="L50" s="270"/>
      <c r="M50" s="270"/>
      <c r="N50" s="309"/>
      <c r="O50" s="309"/>
      <c r="P50" s="309" t="n">
        <v>44800</v>
      </c>
      <c r="Q50" s="309" t="s">
        <v>32</v>
      </c>
      <c r="R50" s="309"/>
      <c r="S50" s="309"/>
      <c r="T50" s="310"/>
      <c r="U50" s="278"/>
      <c r="V50" s="278"/>
      <c r="W50" s="279"/>
      <c r="X50" s="270"/>
      <c r="Y50" s="265" t="s">
        <v>325</v>
      </c>
      <c r="Z50" s="350" t="s">
        <v>330</v>
      </c>
    </row>
    <row r="51" customFormat="false" ht="12.75" hidden="false" customHeight="true" outlineLevel="0" collapsed="false">
      <c r="A51" s="265" t="s">
        <v>331</v>
      </c>
      <c r="B51" s="262" t="n">
        <v>48</v>
      </c>
      <c r="C51" s="262" t="s">
        <v>1686</v>
      </c>
      <c r="D51" s="262" t="s">
        <v>332</v>
      </c>
      <c r="E51" s="262" t="s">
        <v>333</v>
      </c>
      <c r="F51" s="265" t="s">
        <v>331</v>
      </c>
      <c r="G51" s="270" t="s">
        <v>334</v>
      </c>
      <c r="H51" s="270"/>
      <c r="I51" s="270"/>
      <c r="J51" s="270"/>
      <c r="K51" s="270"/>
      <c r="L51" s="270"/>
      <c r="M51" s="270"/>
      <c r="N51" s="309"/>
      <c r="O51" s="309"/>
      <c r="P51" s="309" t="n">
        <v>44912</v>
      </c>
      <c r="Q51" s="309" t="s">
        <v>32</v>
      </c>
      <c r="R51" s="309" t="n">
        <v>44723</v>
      </c>
      <c r="S51" s="309" t="s">
        <v>49</v>
      </c>
      <c r="T51" s="310"/>
      <c r="U51" s="278"/>
      <c r="V51" s="278"/>
      <c r="W51" s="279"/>
      <c r="X51" s="270"/>
      <c r="Y51" s="265" t="s">
        <v>331</v>
      </c>
      <c r="Z51" s="348" t="s">
        <v>334</v>
      </c>
    </row>
    <row r="52" customFormat="false" ht="12.75" hidden="false" customHeight="true" outlineLevel="0" collapsed="false">
      <c r="A52" s="265" t="s">
        <v>336</v>
      </c>
      <c r="B52" s="262" t="n">
        <v>49</v>
      </c>
      <c r="C52" s="262" t="s">
        <v>1686</v>
      </c>
      <c r="D52" s="262" t="s">
        <v>337</v>
      </c>
      <c r="E52" s="262" t="s">
        <v>338</v>
      </c>
      <c r="F52" s="265" t="s">
        <v>336</v>
      </c>
      <c r="G52" s="270" t="s">
        <v>339</v>
      </c>
      <c r="H52" s="270"/>
      <c r="I52" s="270"/>
      <c r="J52" s="270"/>
      <c r="K52" s="270"/>
      <c r="L52" s="270"/>
      <c r="M52" s="270"/>
      <c r="N52" s="309"/>
      <c r="O52" s="309"/>
      <c r="P52" s="309" t="n">
        <v>44807</v>
      </c>
      <c r="Q52" s="277" t="s">
        <v>32</v>
      </c>
      <c r="R52" s="309"/>
      <c r="S52" s="309"/>
      <c r="T52" s="310"/>
      <c r="U52" s="278"/>
      <c r="V52" s="278"/>
      <c r="W52" s="279"/>
      <c r="X52" s="270"/>
      <c r="Y52" s="265" t="s">
        <v>336</v>
      </c>
      <c r="Z52" s="348" t="s">
        <v>340</v>
      </c>
    </row>
    <row r="53" customFormat="false" ht="12.75" hidden="false" customHeight="true" outlineLevel="0" collapsed="false">
      <c r="A53" s="328" t="s">
        <v>341</v>
      </c>
      <c r="B53" s="329" t="n">
        <v>50</v>
      </c>
      <c r="C53" s="329" t="s">
        <v>1686</v>
      </c>
      <c r="D53" s="329" t="s">
        <v>342</v>
      </c>
      <c r="E53" s="329" t="s">
        <v>343</v>
      </c>
      <c r="F53" s="328" t="s">
        <v>341</v>
      </c>
      <c r="G53" s="328" t="s">
        <v>344</v>
      </c>
      <c r="H53" s="329" t="s">
        <v>1584</v>
      </c>
      <c r="I53" s="329" t="s">
        <v>1692</v>
      </c>
      <c r="J53" s="329"/>
      <c r="K53" s="329"/>
      <c r="L53" s="329"/>
      <c r="M53" s="329"/>
      <c r="N53" s="314"/>
      <c r="O53" s="314"/>
      <c r="P53" s="314"/>
      <c r="Q53" s="314"/>
      <c r="R53" s="331"/>
      <c r="S53" s="331"/>
      <c r="T53" s="352"/>
      <c r="U53" s="333"/>
      <c r="V53" s="333"/>
      <c r="W53" s="334" t="s">
        <v>152</v>
      </c>
      <c r="X53" s="329" t="s">
        <v>346</v>
      </c>
      <c r="Y53" s="328" t="s">
        <v>341</v>
      </c>
      <c r="Z53" s="348" t="s">
        <v>347</v>
      </c>
    </row>
    <row r="54" customFormat="false" ht="12.75" hidden="false" customHeight="true" outlineLevel="0" collapsed="false">
      <c r="A54" s="265" t="s">
        <v>348</v>
      </c>
      <c r="B54" s="262" t="n">
        <v>51</v>
      </c>
      <c r="C54" s="262" t="s">
        <v>1686</v>
      </c>
      <c r="D54" s="262" t="s">
        <v>349</v>
      </c>
      <c r="E54" s="262" t="s">
        <v>350</v>
      </c>
      <c r="F54" s="265" t="s">
        <v>348</v>
      </c>
      <c r="G54" s="270" t="s">
        <v>351</v>
      </c>
      <c r="H54" s="270"/>
      <c r="I54" s="270"/>
      <c r="J54" s="270"/>
      <c r="K54" s="270"/>
      <c r="L54" s="270"/>
      <c r="M54" s="270"/>
      <c r="N54" s="309"/>
      <c r="O54" s="309"/>
      <c r="P54" s="309" t="n">
        <v>44807</v>
      </c>
      <c r="Q54" s="277" t="s">
        <v>67</v>
      </c>
      <c r="R54" s="309"/>
      <c r="S54" s="309"/>
      <c r="T54" s="310"/>
      <c r="U54" s="278"/>
      <c r="V54" s="278"/>
      <c r="W54" s="279"/>
      <c r="X54" s="270"/>
      <c r="Y54" s="265" t="s">
        <v>348</v>
      </c>
      <c r="Z54" s="348" t="s">
        <v>352</v>
      </c>
    </row>
    <row r="55" customFormat="false" ht="12.75" hidden="false" customHeight="true" outlineLevel="0" collapsed="false">
      <c r="A55" s="290" t="s">
        <v>353</v>
      </c>
      <c r="B55" s="291" t="n">
        <v>52</v>
      </c>
      <c r="C55" s="291" t="s">
        <v>1686</v>
      </c>
      <c r="D55" s="291" t="s">
        <v>354</v>
      </c>
      <c r="E55" s="291" t="s">
        <v>355</v>
      </c>
      <c r="F55" s="290" t="s">
        <v>353</v>
      </c>
      <c r="G55" s="292" t="s">
        <v>356</v>
      </c>
      <c r="H55" s="291"/>
      <c r="I55" s="291"/>
      <c r="J55" s="291"/>
      <c r="K55" s="291"/>
      <c r="L55" s="291"/>
      <c r="M55" s="291"/>
      <c r="N55" s="293" t="s">
        <v>1693</v>
      </c>
      <c r="O55" s="293" t="s">
        <v>1694</v>
      </c>
      <c r="P55" s="314"/>
      <c r="Q55" s="314"/>
      <c r="R55" s="295"/>
      <c r="S55" s="295"/>
      <c r="T55" s="346"/>
      <c r="U55" s="349"/>
      <c r="V55" s="349"/>
      <c r="W55" s="298" t="s">
        <v>103</v>
      </c>
      <c r="X55" s="291" t="s">
        <v>305</v>
      </c>
      <c r="Y55" s="290" t="s">
        <v>353</v>
      </c>
      <c r="Z55" s="348" t="s">
        <v>356</v>
      </c>
    </row>
    <row r="56" customFormat="false" ht="12.75" hidden="false" customHeight="true" outlineLevel="0" collapsed="false">
      <c r="A56" s="301" t="s">
        <v>357</v>
      </c>
      <c r="B56" s="302" t="n">
        <v>53</v>
      </c>
      <c r="C56" s="302" t="s">
        <v>1686</v>
      </c>
      <c r="D56" s="302" t="s">
        <v>358</v>
      </c>
      <c r="E56" s="302" t="s">
        <v>359</v>
      </c>
      <c r="F56" s="301" t="s">
        <v>357</v>
      </c>
      <c r="G56" s="303" t="s">
        <v>360</v>
      </c>
      <c r="H56" s="302" t="s">
        <v>1627</v>
      </c>
      <c r="I56" s="302" t="s">
        <v>1695</v>
      </c>
      <c r="J56" s="303"/>
      <c r="K56" s="303"/>
      <c r="L56" s="303"/>
      <c r="M56" s="303"/>
      <c r="N56" s="304" t="n">
        <v>44821</v>
      </c>
      <c r="O56" s="319" t="s">
        <v>335</v>
      </c>
      <c r="P56" s="304"/>
      <c r="Q56" s="304"/>
      <c r="R56" s="304"/>
      <c r="S56" s="304"/>
      <c r="T56" s="305"/>
      <c r="U56" s="306"/>
      <c r="V56" s="306" t="n">
        <v>45094</v>
      </c>
      <c r="W56" s="345"/>
      <c r="X56" s="303"/>
      <c r="Y56" s="301" t="s">
        <v>357</v>
      </c>
      <c r="Z56" s="351" t="s">
        <v>362</v>
      </c>
    </row>
    <row r="57" customFormat="false" ht="12.75" hidden="false" customHeight="true" outlineLevel="0" collapsed="false">
      <c r="A57" s="265" t="s">
        <v>363</v>
      </c>
      <c r="B57" s="262" t="n">
        <v>54</v>
      </c>
      <c r="C57" s="262" t="s">
        <v>1686</v>
      </c>
      <c r="D57" s="262" t="s">
        <v>364</v>
      </c>
      <c r="E57" s="262" t="s">
        <v>365</v>
      </c>
      <c r="F57" s="265" t="s">
        <v>363</v>
      </c>
      <c r="G57" s="365" t="s">
        <v>366</v>
      </c>
      <c r="H57" s="262" t="s">
        <v>1592</v>
      </c>
      <c r="I57" s="262" t="s">
        <v>1696</v>
      </c>
      <c r="J57" s="270"/>
      <c r="K57" s="270"/>
      <c r="L57" s="270"/>
      <c r="M57" s="270"/>
      <c r="N57" s="309" t="n">
        <v>44667</v>
      </c>
      <c r="O57" s="309" t="s">
        <v>49</v>
      </c>
      <c r="P57" s="309"/>
      <c r="Q57" s="309"/>
      <c r="R57" s="309" t="n">
        <v>44568</v>
      </c>
      <c r="S57" s="277" t="s">
        <v>67</v>
      </c>
      <c r="T57" s="310"/>
      <c r="U57" s="278"/>
      <c r="V57" s="278"/>
      <c r="W57" s="279"/>
      <c r="X57" s="270"/>
      <c r="Y57" s="265" t="s">
        <v>363</v>
      </c>
      <c r="Z57" s="366" t="s">
        <v>368</v>
      </c>
    </row>
    <row r="58" customFormat="false" ht="12.75" hidden="false" customHeight="true" outlineLevel="0" collapsed="false">
      <c r="A58" s="265" t="s">
        <v>369</v>
      </c>
      <c r="B58" s="262" t="n">
        <v>55</v>
      </c>
      <c r="C58" s="262" t="s">
        <v>1686</v>
      </c>
      <c r="D58" s="262" t="s">
        <v>370</v>
      </c>
      <c r="E58" s="262" t="s">
        <v>371</v>
      </c>
      <c r="F58" s="265" t="s">
        <v>369</v>
      </c>
      <c r="G58" s="270" t="s">
        <v>374</v>
      </c>
      <c r="H58" s="270"/>
      <c r="I58" s="270"/>
      <c r="J58" s="270"/>
      <c r="K58" s="270"/>
      <c r="L58" s="270"/>
      <c r="M58" s="270"/>
      <c r="N58" s="309"/>
      <c r="O58" s="309"/>
      <c r="P58" s="309" t="n">
        <v>44821</v>
      </c>
      <c r="Q58" s="277" t="s">
        <v>32</v>
      </c>
      <c r="R58" s="309"/>
      <c r="S58" s="309"/>
      <c r="T58" s="310"/>
      <c r="U58" s="278"/>
      <c r="V58" s="278"/>
      <c r="W58" s="279"/>
      <c r="X58" s="270"/>
      <c r="Y58" s="265" t="s">
        <v>369</v>
      </c>
      <c r="Z58" s="348" t="s">
        <v>374</v>
      </c>
    </row>
    <row r="59" customFormat="false" ht="12.75" hidden="false" customHeight="true" outlineLevel="0" collapsed="false">
      <c r="A59" s="328" t="s">
        <v>381</v>
      </c>
      <c r="B59" s="329" t="n">
        <v>56</v>
      </c>
      <c r="C59" s="329" t="s">
        <v>1686</v>
      </c>
      <c r="D59" s="329" t="s">
        <v>376</v>
      </c>
      <c r="E59" s="329" t="s">
        <v>377</v>
      </c>
      <c r="F59" s="328" t="s">
        <v>381</v>
      </c>
      <c r="G59" s="330" t="s">
        <v>1697</v>
      </c>
      <c r="H59" s="329" t="s">
        <v>1672</v>
      </c>
      <c r="I59" s="329" t="s">
        <v>1698</v>
      </c>
      <c r="J59" s="329"/>
      <c r="K59" s="329"/>
      <c r="L59" s="329"/>
      <c r="M59" s="329"/>
      <c r="N59" s="314"/>
      <c r="O59" s="314"/>
      <c r="P59" s="314"/>
      <c r="Q59" s="314"/>
      <c r="R59" s="331"/>
      <c r="S59" s="331"/>
      <c r="T59" s="352"/>
      <c r="U59" s="333"/>
      <c r="V59" s="333"/>
      <c r="W59" s="334" t="s">
        <v>152</v>
      </c>
      <c r="X59" s="329" t="s">
        <v>305</v>
      </c>
      <c r="Y59" s="328" t="s">
        <v>381</v>
      </c>
      <c r="Z59" s="348" t="s">
        <v>382</v>
      </c>
    </row>
    <row r="60" customFormat="false" ht="12.75" hidden="false" customHeight="true" outlineLevel="0" collapsed="false">
      <c r="A60" s="265" t="s">
        <v>383</v>
      </c>
      <c r="B60" s="262" t="n">
        <v>57</v>
      </c>
      <c r="C60" s="262" t="s">
        <v>1686</v>
      </c>
      <c r="D60" s="262" t="s">
        <v>384</v>
      </c>
      <c r="E60" s="262" t="s">
        <v>385</v>
      </c>
      <c r="F60" s="265" t="s">
        <v>383</v>
      </c>
      <c r="G60" s="270" t="s">
        <v>386</v>
      </c>
      <c r="H60" s="270"/>
      <c r="I60" s="270"/>
      <c r="J60" s="270"/>
      <c r="K60" s="270"/>
      <c r="L60" s="270"/>
      <c r="M60" s="270"/>
      <c r="N60" s="309"/>
      <c r="O60" s="309"/>
      <c r="P60" s="309" t="n">
        <v>44702</v>
      </c>
      <c r="Q60" s="309" t="s">
        <v>67</v>
      </c>
      <c r="R60" s="309" t="n">
        <v>44610</v>
      </c>
      <c r="S60" s="277" t="s">
        <v>126</v>
      </c>
      <c r="T60" s="310"/>
      <c r="U60" s="278"/>
      <c r="V60" s="278"/>
      <c r="W60" s="279"/>
      <c r="X60" s="270"/>
      <c r="Y60" s="265" t="s">
        <v>383</v>
      </c>
      <c r="Z60" s="348" t="s">
        <v>386</v>
      </c>
    </row>
    <row r="61" customFormat="false" ht="12.75" hidden="false" customHeight="true" outlineLevel="0" collapsed="false">
      <c r="A61" s="265" t="s">
        <v>387</v>
      </c>
      <c r="B61" s="262" t="n">
        <v>58</v>
      </c>
      <c r="C61" s="262" t="s">
        <v>1686</v>
      </c>
      <c r="D61" s="262" t="s">
        <v>388</v>
      </c>
      <c r="E61" s="262" t="s">
        <v>389</v>
      </c>
      <c r="F61" s="265" t="s">
        <v>387</v>
      </c>
      <c r="G61" s="270" t="s">
        <v>390</v>
      </c>
      <c r="H61" s="270"/>
      <c r="I61" s="270"/>
      <c r="J61" s="270"/>
      <c r="K61" s="270"/>
      <c r="L61" s="270"/>
      <c r="M61" s="270"/>
      <c r="N61" s="309"/>
      <c r="O61" s="309"/>
      <c r="P61" s="309" t="n">
        <v>44821</v>
      </c>
      <c r="Q61" s="277" t="s">
        <v>67</v>
      </c>
      <c r="R61" s="309"/>
      <c r="S61" s="309"/>
      <c r="T61" s="310"/>
      <c r="U61" s="278"/>
      <c r="V61" s="278"/>
      <c r="W61" s="279"/>
      <c r="X61" s="270"/>
      <c r="Y61" s="265" t="s">
        <v>387</v>
      </c>
      <c r="Z61" s="348" t="s">
        <v>390</v>
      </c>
    </row>
    <row r="62" customFormat="false" ht="12.75" hidden="false" customHeight="true" outlineLevel="0" collapsed="false">
      <c r="A62" s="265" t="s">
        <v>391</v>
      </c>
      <c r="B62" s="262" t="n">
        <v>59</v>
      </c>
      <c r="C62" s="262" t="s">
        <v>1686</v>
      </c>
      <c r="D62" s="262" t="s">
        <v>392</v>
      </c>
      <c r="E62" s="262" t="s">
        <v>393</v>
      </c>
      <c r="F62" s="265" t="s">
        <v>391</v>
      </c>
      <c r="G62" s="270" t="s">
        <v>394</v>
      </c>
      <c r="H62" s="262" t="s">
        <v>1699</v>
      </c>
      <c r="I62" s="262" t="s">
        <v>1700</v>
      </c>
      <c r="J62" s="270"/>
      <c r="K62" s="270"/>
      <c r="L62" s="270"/>
      <c r="M62" s="270"/>
      <c r="N62" s="309" t="n">
        <v>44610</v>
      </c>
      <c r="O62" s="277" t="s">
        <v>49</v>
      </c>
      <c r="P62" s="309"/>
      <c r="Q62" s="309"/>
      <c r="R62" s="309" t="n">
        <v>44842</v>
      </c>
      <c r="S62" s="277" t="s">
        <v>67</v>
      </c>
      <c r="T62" s="310"/>
      <c r="U62" s="278" t="n">
        <v>44681</v>
      </c>
      <c r="V62" s="278"/>
      <c r="W62" s="279"/>
      <c r="X62" s="270"/>
      <c r="Y62" s="265" t="s">
        <v>391</v>
      </c>
      <c r="Z62" s="265" t="s">
        <v>394</v>
      </c>
    </row>
    <row r="63" customFormat="false" ht="12.75" hidden="false" customHeight="true" outlineLevel="0" collapsed="false">
      <c r="A63" s="265" t="s">
        <v>404</v>
      </c>
      <c r="B63" s="262" t="n">
        <v>60</v>
      </c>
      <c r="C63" s="262" t="s">
        <v>1701</v>
      </c>
      <c r="D63" s="262" t="s">
        <v>406</v>
      </c>
      <c r="E63" s="262" t="s">
        <v>407</v>
      </c>
      <c r="F63" s="265" t="s">
        <v>404</v>
      </c>
      <c r="G63" s="270" t="s">
        <v>408</v>
      </c>
      <c r="H63" s="270"/>
      <c r="I63" s="270"/>
      <c r="J63" s="270"/>
      <c r="K63" s="270"/>
      <c r="L63" s="270"/>
      <c r="M63" s="270"/>
      <c r="N63" s="309"/>
      <c r="O63" s="309"/>
      <c r="P63" s="309" t="n">
        <v>44723</v>
      </c>
      <c r="Q63" s="309" t="s">
        <v>32</v>
      </c>
      <c r="R63" s="309" t="n">
        <v>44631</v>
      </c>
      <c r="S63" s="277" t="s">
        <v>126</v>
      </c>
      <c r="T63" s="310"/>
      <c r="U63" s="278"/>
      <c r="V63" s="278"/>
      <c r="W63" s="279"/>
      <c r="X63" s="270"/>
      <c r="Y63" s="265" t="s">
        <v>404</v>
      </c>
      <c r="Z63" s="348" t="s">
        <v>408</v>
      </c>
    </row>
    <row r="64" customFormat="false" ht="12.75" hidden="false" customHeight="true" outlineLevel="0" collapsed="false">
      <c r="A64" s="320" t="s">
        <v>409</v>
      </c>
      <c r="B64" s="321" t="n">
        <v>61</v>
      </c>
      <c r="C64" s="321" t="s">
        <v>1701</v>
      </c>
      <c r="D64" s="321" t="s">
        <v>410</v>
      </c>
      <c r="E64" s="321" t="s">
        <v>411</v>
      </c>
      <c r="F64" s="320" t="s">
        <v>409</v>
      </c>
      <c r="G64" s="320" t="s">
        <v>412</v>
      </c>
      <c r="H64" s="321"/>
      <c r="I64" s="321"/>
      <c r="J64" s="321"/>
      <c r="K64" s="321"/>
      <c r="L64" s="321"/>
      <c r="M64" s="321"/>
      <c r="N64" s="323"/>
      <c r="O64" s="323"/>
      <c r="P64" s="323"/>
      <c r="Q64" s="323"/>
      <c r="R64" s="323"/>
      <c r="S64" s="323"/>
      <c r="T64" s="324"/>
      <c r="U64" s="325"/>
      <c r="V64" s="325"/>
      <c r="W64" s="326" t="s">
        <v>510</v>
      </c>
      <c r="X64" s="321"/>
      <c r="Y64" s="320" t="s">
        <v>409</v>
      </c>
      <c r="Z64" s="348" t="s">
        <v>413</v>
      </c>
    </row>
    <row r="65" customFormat="false" ht="12.75" hidden="false" customHeight="true" outlineLevel="0" collapsed="false">
      <c r="A65" s="265" t="s">
        <v>414</v>
      </c>
      <c r="B65" s="262" t="n">
        <v>62</v>
      </c>
      <c r="C65" s="262" t="s">
        <v>1701</v>
      </c>
      <c r="D65" s="262" t="s">
        <v>415</v>
      </c>
      <c r="E65" s="262" t="s">
        <v>416</v>
      </c>
      <c r="F65" s="265" t="s">
        <v>414</v>
      </c>
      <c r="G65" s="270" t="s">
        <v>417</v>
      </c>
      <c r="H65" s="262" t="s">
        <v>1702</v>
      </c>
      <c r="I65" s="262" t="s">
        <v>1703</v>
      </c>
      <c r="J65" s="270"/>
      <c r="K65" s="270"/>
      <c r="L65" s="270"/>
      <c r="M65" s="270"/>
      <c r="N65" s="309" t="n">
        <v>44800</v>
      </c>
      <c r="O65" s="309" t="s">
        <v>49</v>
      </c>
      <c r="P65" s="309"/>
      <c r="Q65" s="309"/>
      <c r="R65" s="309"/>
      <c r="S65" s="309"/>
      <c r="T65" s="310" t="s">
        <v>1704</v>
      </c>
      <c r="U65" s="278"/>
      <c r="V65" s="278"/>
      <c r="W65" s="279"/>
      <c r="X65" s="270"/>
      <c r="Y65" s="265" t="s">
        <v>414</v>
      </c>
      <c r="Z65" s="348" t="s">
        <v>420</v>
      </c>
    </row>
    <row r="66" customFormat="false" ht="12.75" hidden="false" customHeight="true" outlineLevel="0" collapsed="false">
      <c r="A66" s="290" t="s">
        <v>421</v>
      </c>
      <c r="B66" s="291" t="n">
        <v>63</v>
      </c>
      <c r="C66" s="291" t="s">
        <v>1701</v>
      </c>
      <c r="D66" s="291" t="s">
        <v>422</v>
      </c>
      <c r="E66" s="291" t="s">
        <v>423</v>
      </c>
      <c r="F66" s="290" t="s">
        <v>421</v>
      </c>
      <c r="G66" s="292" t="s">
        <v>424</v>
      </c>
      <c r="H66" s="291"/>
      <c r="I66" s="291"/>
      <c r="J66" s="291"/>
      <c r="K66" s="291"/>
      <c r="L66" s="291"/>
      <c r="M66" s="291"/>
      <c r="N66" s="293" t="s">
        <v>1705</v>
      </c>
      <c r="O66" s="293" t="s">
        <v>1706</v>
      </c>
      <c r="P66" s="314"/>
      <c r="Q66" s="314"/>
      <c r="R66" s="295"/>
      <c r="S66" s="295"/>
      <c r="T66" s="346"/>
      <c r="U66" s="349"/>
      <c r="V66" s="349"/>
      <c r="W66" s="298" t="s">
        <v>103</v>
      </c>
      <c r="X66" s="291" t="s">
        <v>425</v>
      </c>
      <c r="Y66" s="290" t="s">
        <v>421</v>
      </c>
      <c r="Z66" s="348" t="s">
        <v>426</v>
      </c>
    </row>
    <row r="67" customFormat="false" ht="12.75" hidden="false" customHeight="true" outlineLevel="0" collapsed="false">
      <c r="A67" s="301" t="s">
        <v>1316</v>
      </c>
      <c r="B67" s="302" t="n">
        <v>64</v>
      </c>
      <c r="C67" s="302" t="s">
        <v>1701</v>
      </c>
      <c r="D67" s="302" t="s">
        <v>1707</v>
      </c>
      <c r="E67" s="302" t="s">
        <v>1318</v>
      </c>
      <c r="F67" s="301" t="s">
        <v>1316</v>
      </c>
      <c r="G67" s="303" t="s">
        <v>1708</v>
      </c>
      <c r="H67" s="302" t="s">
        <v>1625</v>
      </c>
      <c r="I67" s="302" t="s">
        <v>1709</v>
      </c>
      <c r="J67" s="302"/>
      <c r="K67" s="302"/>
      <c r="L67" s="302"/>
      <c r="M67" s="302"/>
      <c r="N67" s="304"/>
      <c r="O67" s="304"/>
      <c r="P67" s="304"/>
      <c r="Q67" s="304"/>
      <c r="R67" s="304"/>
      <c r="S67" s="304"/>
      <c r="T67" s="305"/>
      <c r="U67" s="344"/>
      <c r="V67" s="344" t="n">
        <v>45003</v>
      </c>
      <c r="W67" s="345" t="s">
        <v>60</v>
      </c>
      <c r="X67" s="302" t="s">
        <v>425</v>
      </c>
      <c r="Y67" s="301" t="s">
        <v>1316</v>
      </c>
      <c r="Z67" s="367" t="s">
        <v>1708</v>
      </c>
    </row>
    <row r="68" customFormat="false" ht="12.75" hidden="false" customHeight="true" outlineLevel="0" collapsed="false">
      <c r="A68" s="265" t="s">
        <v>427</v>
      </c>
      <c r="B68" s="262" t="n">
        <v>65</v>
      </c>
      <c r="C68" s="262" t="s">
        <v>1701</v>
      </c>
      <c r="D68" s="262" t="s">
        <v>428</v>
      </c>
      <c r="E68" s="262" t="s">
        <v>429</v>
      </c>
      <c r="F68" s="265" t="s">
        <v>427</v>
      </c>
      <c r="G68" s="270" t="s">
        <v>430</v>
      </c>
      <c r="H68" s="270"/>
      <c r="I68" s="270"/>
      <c r="J68" s="270"/>
      <c r="K68" s="270"/>
      <c r="L68" s="270"/>
      <c r="M68" s="270"/>
      <c r="N68" s="309" t="n">
        <v>44702</v>
      </c>
      <c r="O68" s="309" t="s">
        <v>49</v>
      </c>
      <c r="P68" s="309"/>
      <c r="Q68" s="309"/>
      <c r="R68" s="309" t="n">
        <v>44617</v>
      </c>
      <c r="S68" s="277" t="s">
        <v>67</v>
      </c>
      <c r="T68" s="310"/>
      <c r="U68" s="278"/>
      <c r="V68" s="278"/>
      <c r="W68" s="279"/>
      <c r="X68" s="270"/>
      <c r="Y68" s="265" t="s">
        <v>427</v>
      </c>
      <c r="Z68" s="348" t="s">
        <v>431</v>
      </c>
    </row>
    <row r="69" customFormat="false" ht="12.75" hidden="false" customHeight="true" outlineLevel="0" collapsed="false">
      <c r="A69" s="311" t="s">
        <v>439</v>
      </c>
      <c r="B69" s="312" t="n">
        <v>66</v>
      </c>
      <c r="C69" s="312" t="s">
        <v>1701</v>
      </c>
      <c r="D69" s="312" t="s">
        <v>433</v>
      </c>
      <c r="E69" s="312" t="s">
        <v>434</v>
      </c>
      <c r="F69" s="311" t="s">
        <v>439</v>
      </c>
      <c r="G69" s="313" t="s">
        <v>435</v>
      </c>
      <c r="H69" s="312" t="s">
        <v>1702</v>
      </c>
      <c r="I69" s="312" t="s">
        <v>1710</v>
      </c>
      <c r="J69" s="312"/>
      <c r="K69" s="312"/>
      <c r="L69" s="312"/>
      <c r="M69" s="312"/>
      <c r="N69" s="314"/>
      <c r="O69" s="314"/>
      <c r="P69" s="314"/>
      <c r="Q69" s="314"/>
      <c r="R69" s="315"/>
      <c r="S69" s="315"/>
      <c r="T69" s="316"/>
      <c r="U69" s="317"/>
      <c r="V69" s="317"/>
      <c r="W69" s="318" t="s">
        <v>60</v>
      </c>
      <c r="X69" s="312" t="s">
        <v>438</v>
      </c>
      <c r="Y69" s="311" t="s">
        <v>439</v>
      </c>
      <c r="Z69" s="348" t="s">
        <v>440</v>
      </c>
    </row>
    <row r="70" customFormat="false" ht="12.75" hidden="false" customHeight="true" outlineLevel="0" collapsed="false">
      <c r="A70" s="320" t="s">
        <v>441</v>
      </c>
      <c r="B70" s="321" t="n">
        <v>67</v>
      </c>
      <c r="C70" s="321" t="s">
        <v>1701</v>
      </c>
      <c r="D70" s="321" t="s">
        <v>442</v>
      </c>
      <c r="E70" s="321" t="s">
        <v>443</v>
      </c>
      <c r="F70" s="320" t="s">
        <v>441</v>
      </c>
      <c r="G70" s="322" t="s">
        <v>444</v>
      </c>
      <c r="H70" s="321" t="s">
        <v>1584</v>
      </c>
      <c r="I70" s="321" t="s">
        <v>1711</v>
      </c>
      <c r="J70" s="321"/>
      <c r="K70" s="321"/>
      <c r="L70" s="321"/>
      <c r="M70" s="321"/>
      <c r="N70" s="323"/>
      <c r="O70" s="323"/>
      <c r="P70" s="323"/>
      <c r="Q70" s="323"/>
      <c r="R70" s="323"/>
      <c r="S70" s="323"/>
      <c r="T70" s="324"/>
      <c r="U70" s="325"/>
      <c r="V70" s="325"/>
      <c r="W70" s="326" t="s">
        <v>55</v>
      </c>
      <c r="X70" s="321" t="s">
        <v>1712</v>
      </c>
      <c r="Y70" s="320" t="s">
        <v>441</v>
      </c>
      <c r="Z70" s="348" t="s">
        <v>444</v>
      </c>
    </row>
    <row r="71" customFormat="false" ht="12.75" hidden="false" customHeight="true" outlineLevel="0" collapsed="false">
      <c r="A71" s="320" t="s">
        <v>447</v>
      </c>
      <c r="B71" s="321" t="n">
        <v>68</v>
      </c>
      <c r="C71" s="321" t="s">
        <v>1701</v>
      </c>
      <c r="D71" s="321" t="s">
        <v>448</v>
      </c>
      <c r="E71" s="321" t="s">
        <v>449</v>
      </c>
      <c r="F71" s="320" t="s">
        <v>447</v>
      </c>
      <c r="G71" s="322" t="s">
        <v>450</v>
      </c>
      <c r="H71" s="321" t="s">
        <v>1713</v>
      </c>
      <c r="I71" s="321" t="s">
        <v>1714</v>
      </c>
      <c r="J71" s="321"/>
      <c r="K71" s="321"/>
      <c r="L71" s="321"/>
      <c r="M71" s="321"/>
      <c r="N71" s="323"/>
      <c r="O71" s="323"/>
      <c r="P71" s="323"/>
      <c r="Q71" s="323"/>
      <c r="R71" s="323"/>
      <c r="S71" s="323"/>
      <c r="T71" s="324"/>
      <c r="U71" s="325"/>
      <c r="V71" s="325"/>
      <c r="W71" s="326" t="s">
        <v>55</v>
      </c>
      <c r="X71" s="321" t="s">
        <v>1715</v>
      </c>
      <c r="Y71" s="320" t="s">
        <v>447</v>
      </c>
      <c r="Z71" s="348" t="s">
        <v>450</v>
      </c>
    </row>
    <row r="72" customFormat="false" ht="12.75" hidden="false" customHeight="true" outlineLevel="0" collapsed="false">
      <c r="A72" s="301" t="s">
        <v>1716</v>
      </c>
      <c r="B72" s="302" t="n">
        <v>69</v>
      </c>
      <c r="C72" s="302" t="s">
        <v>1701</v>
      </c>
      <c r="D72" s="302" t="s">
        <v>1717</v>
      </c>
      <c r="E72" s="302" t="s">
        <v>1718</v>
      </c>
      <c r="F72" s="301" t="s">
        <v>1716</v>
      </c>
      <c r="G72" s="368" t="s">
        <v>1719</v>
      </c>
      <c r="H72" s="302"/>
      <c r="I72" s="302"/>
      <c r="J72" s="302"/>
      <c r="K72" s="302"/>
      <c r="L72" s="302"/>
      <c r="M72" s="302"/>
      <c r="N72" s="304"/>
      <c r="O72" s="304"/>
      <c r="P72" s="304"/>
      <c r="Q72" s="304"/>
      <c r="R72" s="304"/>
      <c r="S72" s="304"/>
      <c r="T72" s="305"/>
      <c r="U72" s="344"/>
      <c r="V72" s="344" t="n">
        <v>44982</v>
      </c>
      <c r="W72" s="345" t="s">
        <v>152</v>
      </c>
      <c r="X72" s="302" t="s">
        <v>425</v>
      </c>
      <c r="Y72" s="301" t="s">
        <v>1716</v>
      </c>
      <c r="Z72" s="351" t="s">
        <v>1720</v>
      </c>
    </row>
    <row r="73" customFormat="false" ht="12.75" hidden="false" customHeight="true" outlineLevel="0" collapsed="false">
      <c r="A73" s="265" t="s">
        <v>452</v>
      </c>
      <c r="B73" s="262" t="n">
        <v>70</v>
      </c>
      <c r="C73" s="262" t="s">
        <v>1701</v>
      </c>
      <c r="D73" s="262" t="s">
        <v>453</v>
      </c>
      <c r="E73" s="262" t="s">
        <v>454</v>
      </c>
      <c r="F73" s="265" t="s">
        <v>452</v>
      </c>
      <c r="G73" s="270" t="s">
        <v>455</v>
      </c>
      <c r="H73" s="262" t="s">
        <v>1672</v>
      </c>
      <c r="I73" s="262" t="s">
        <v>1721</v>
      </c>
      <c r="J73" s="270"/>
      <c r="K73" s="270"/>
      <c r="L73" s="270"/>
      <c r="M73" s="270"/>
      <c r="N73" s="309" t="n">
        <v>44905</v>
      </c>
      <c r="O73" s="309" t="s">
        <v>49</v>
      </c>
      <c r="P73" s="309"/>
      <c r="Q73" s="309"/>
      <c r="R73" s="309" t="n">
        <v>44716</v>
      </c>
      <c r="S73" s="309" t="s">
        <v>67</v>
      </c>
      <c r="T73" s="310"/>
      <c r="U73" s="278"/>
      <c r="V73" s="278"/>
      <c r="W73" s="279"/>
      <c r="X73" s="270"/>
      <c r="Y73" s="265" t="s">
        <v>452</v>
      </c>
      <c r="Z73" s="348" t="s">
        <v>457</v>
      </c>
    </row>
    <row r="74" customFormat="false" ht="12.75" hidden="false" customHeight="true" outlineLevel="0" collapsed="false">
      <c r="A74" s="265" t="s">
        <v>458</v>
      </c>
      <c r="B74" s="262" t="n">
        <v>71</v>
      </c>
      <c r="C74" s="262" t="s">
        <v>1701</v>
      </c>
      <c r="D74" s="262" t="s">
        <v>459</v>
      </c>
      <c r="E74" s="262" t="s">
        <v>460</v>
      </c>
      <c r="F74" s="265" t="s">
        <v>458</v>
      </c>
      <c r="G74" s="270" t="s">
        <v>461</v>
      </c>
      <c r="H74" s="262" t="s">
        <v>1584</v>
      </c>
      <c r="I74" s="262" t="s">
        <v>1722</v>
      </c>
      <c r="J74" s="270"/>
      <c r="K74" s="270"/>
      <c r="L74" s="270"/>
      <c r="M74" s="270"/>
      <c r="N74" s="309" t="n">
        <v>44660</v>
      </c>
      <c r="O74" s="309" t="s">
        <v>49</v>
      </c>
      <c r="P74" s="309"/>
      <c r="Q74" s="309"/>
      <c r="R74" s="309" t="n">
        <v>44582</v>
      </c>
      <c r="S74" s="277" t="s">
        <v>126</v>
      </c>
      <c r="T74" s="310"/>
      <c r="U74" s="278"/>
      <c r="V74" s="278"/>
      <c r="W74" s="279"/>
      <c r="X74" s="270"/>
      <c r="Y74" s="265" t="s">
        <v>458</v>
      </c>
      <c r="Z74" s="348" t="s">
        <v>461</v>
      </c>
    </row>
    <row r="75" customFormat="false" ht="12.75" hidden="false" customHeight="true" outlineLevel="0" collapsed="false">
      <c r="A75" s="265" t="s">
        <v>463</v>
      </c>
      <c r="B75" s="262" t="n">
        <v>72</v>
      </c>
      <c r="C75" s="262" t="s">
        <v>1701</v>
      </c>
      <c r="D75" s="262" t="s">
        <v>464</v>
      </c>
      <c r="E75" s="262" t="s">
        <v>465</v>
      </c>
      <c r="F75" s="265" t="s">
        <v>466</v>
      </c>
      <c r="G75" s="270" t="s">
        <v>467</v>
      </c>
      <c r="H75" s="270"/>
      <c r="I75" s="270"/>
      <c r="J75" s="270"/>
      <c r="K75" s="270"/>
      <c r="L75" s="270"/>
      <c r="M75" s="270"/>
      <c r="N75" s="309" t="n">
        <v>44610</v>
      </c>
      <c r="O75" s="277" t="s">
        <v>335</v>
      </c>
      <c r="P75" s="309"/>
      <c r="Q75" s="309"/>
      <c r="R75" s="309" t="n">
        <v>44842</v>
      </c>
      <c r="S75" s="277" t="s">
        <v>126</v>
      </c>
      <c r="T75" s="356" t="s">
        <v>1723</v>
      </c>
      <c r="U75" s="278"/>
      <c r="V75" s="278"/>
      <c r="W75" s="279"/>
      <c r="X75" s="270"/>
      <c r="Y75" s="265" t="s">
        <v>463</v>
      </c>
      <c r="Z75" s="348" t="s">
        <v>468</v>
      </c>
    </row>
    <row r="76" customFormat="false" ht="12.75" hidden="false" customHeight="true" outlineLevel="0" collapsed="false">
      <c r="A76" s="265" t="s">
        <v>469</v>
      </c>
      <c r="B76" s="262" t="n">
        <v>73</v>
      </c>
      <c r="C76" s="262" t="s">
        <v>1701</v>
      </c>
      <c r="D76" s="262" t="s">
        <v>470</v>
      </c>
      <c r="E76" s="262" t="s">
        <v>471</v>
      </c>
      <c r="F76" s="265" t="s">
        <v>469</v>
      </c>
      <c r="G76" s="270" t="s">
        <v>472</v>
      </c>
      <c r="H76" s="262" t="s">
        <v>1584</v>
      </c>
      <c r="I76" s="262" t="s">
        <v>473</v>
      </c>
      <c r="J76" s="270"/>
      <c r="K76" s="270"/>
      <c r="L76" s="270"/>
      <c r="M76" s="270"/>
      <c r="N76" s="309"/>
      <c r="O76" s="309"/>
      <c r="P76" s="309" t="n">
        <v>44610</v>
      </c>
      <c r="Q76" s="277" t="s">
        <v>32</v>
      </c>
      <c r="R76" s="309" t="n">
        <v>44842</v>
      </c>
      <c r="S76" s="277" t="s">
        <v>49</v>
      </c>
      <c r="T76" s="310"/>
      <c r="U76" s="278"/>
      <c r="V76" s="278"/>
      <c r="W76" s="279"/>
      <c r="X76" s="270"/>
      <c r="Y76" s="265" t="s">
        <v>469</v>
      </c>
      <c r="Z76" s="348" t="s">
        <v>472</v>
      </c>
    </row>
    <row r="77" customFormat="false" ht="12.75" hidden="false" customHeight="true" outlineLevel="0" collapsed="false">
      <c r="A77" s="301" t="s">
        <v>1328</v>
      </c>
      <c r="B77" s="302" t="n">
        <v>74</v>
      </c>
      <c r="C77" s="302" t="s">
        <v>1701</v>
      </c>
      <c r="D77" s="302" t="s">
        <v>1724</v>
      </c>
      <c r="E77" s="302" t="s">
        <v>1330</v>
      </c>
      <c r="F77" s="301" t="s">
        <v>1328</v>
      </c>
      <c r="G77" s="303" t="s">
        <v>1725</v>
      </c>
      <c r="H77" s="302" t="s">
        <v>1686</v>
      </c>
      <c r="I77" s="302" t="s">
        <v>1331</v>
      </c>
      <c r="J77" s="303"/>
      <c r="K77" s="303"/>
      <c r="L77" s="303"/>
      <c r="M77" s="303"/>
      <c r="N77" s="304"/>
      <c r="O77" s="304"/>
      <c r="P77" s="304" t="n">
        <v>44709</v>
      </c>
      <c r="Q77" s="304" t="s">
        <v>32</v>
      </c>
      <c r="R77" s="304" t="n">
        <v>44617</v>
      </c>
      <c r="S77" s="319" t="s">
        <v>126</v>
      </c>
      <c r="T77" s="305"/>
      <c r="U77" s="306"/>
      <c r="V77" s="306" t="n">
        <v>45003</v>
      </c>
      <c r="W77" s="345"/>
      <c r="X77" s="303"/>
      <c r="Y77" s="301" t="s">
        <v>1328</v>
      </c>
      <c r="Z77" s="351" t="s">
        <v>1725</v>
      </c>
    </row>
    <row r="78" customFormat="false" ht="12.75" hidden="false" customHeight="true" outlineLevel="0" collapsed="false">
      <c r="A78" s="265" t="s">
        <v>474</v>
      </c>
      <c r="B78" s="262" t="n">
        <v>75</v>
      </c>
      <c r="C78" s="262" t="s">
        <v>1701</v>
      </c>
      <c r="D78" s="262" t="s">
        <v>475</v>
      </c>
      <c r="E78" s="262" t="s">
        <v>476</v>
      </c>
      <c r="F78" s="265" t="s">
        <v>474</v>
      </c>
      <c r="G78" s="270" t="s">
        <v>477</v>
      </c>
      <c r="H78" s="262" t="s">
        <v>1713</v>
      </c>
      <c r="I78" s="262" t="s">
        <v>1726</v>
      </c>
      <c r="J78" s="270"/>
      <c r="K78" s="270"/>
      <c r="L78" s="270"/>
      <c r="M78" s="270"/>
      <c r="N78" s="309" t="n">
        <v>44681</v>
      </c>
      <c r="O78" s="309" t="s">
        <v>49</v>
      </c>
      <c r="P78" s="309"/>
      <c r="Q78" s="309"/>
      <c r="R78" s="309" t="n">
        <v>44582</v>
      </c>
      <c r="S78" s="277" t="s">
        <v>67</v>
      </c>
      <c r="T78" s="356" t="s">
        <v>1727</v>
      </c>
      <c r="U78" s="278"/>
      <c r="V78" s="278"/>
      <c r="W78" s="279"/>
      <c r="X78" s="270"/>
      <c r="Y78" s="265" t="s">
        <v>474</v>
      </c>
      <c r="Z78" s="348" t="s">
        <v>477</v>
      </c>
    </row>
    <row r="79" customFormat="false" ht="12.75" hidden="false" customHeight="true" outlineLevel="0" collapsed="false">
      <c r="A79" s="265" t="s">
        <v>479</v>
      </c>
      <c r="B79" s="262" t="n">
        <v>76</v>
      </c>
      <c r="C79" s="262" t="s">
        <v>1728</v>
      </c>
      <c r="D79" s="369" t="s">
        <v>481</v>
      </c>
      <c r="E79" s="262" t="s">
        <v>482</v>
      </c>
      <c r="F79" s="265" t="s">
        <v>479</v>
      </c>
      <c r="G79" s="270" t="s">
        <v>483</v>
      </c>
      <c r="H79" s="262" t="s">
        <v>1729</v>
      </c>
      <c r="I79" s="370" t="s">
        <v>1730</v>
      </c>
      <c r="J79" s="270"/>
      <c r="K79" s="270"/>
      <c r="L79" s="270"/>
      <c r="M79" s="270"/>
      <c r="N79" s="309"/>
      <c r="O79" s="309"/>
      <c r="P79" s="309" t="n">
        <v>44596</v>
      </c>
      <c r="Q79" s="277" t="s">
        <v>67</v>
      </c>
      <c r="R79" s="309" t="n">
        <v>44828</v>
      </c>
      <c r="S79" s="277" t="s">
        <v>67</v>
      </c>
      <c r="T79" s="310"/>
      <c r="U79" s="278" t="n">
        <v>44660</v>
      </c>
      <c r="V79" s="278"/>
      <c r="W79" s="279"/>
      <c r="X79" s="270"/>
      <c r="Y79" s="265" t="s">
        <v>479</v>
      </c>
      <c r="Z79" s="348" t="s">
        <v>483</v>
      </c>
    </row>
    <row r="80" customFormat="false" ht="12.75" hidden="false" customHeight="true" outlineLevel="0" collapsed="false">
      <c r="A80" s="265" t="s">
        <v>485</v>
      </c>
      <c r="B80" s="262" t="n">
        <v>77</v>
      </c>
      <c r="C80" s="262" t="s">
        <v>1728</v>
      </c>
      <c r="D80" s="369" t="s">
        <v>486</v>
      </c>
      <c r="E80" s="262" t="s">
        <v>487</v>
      </c>
      <c r="F80" s="265" t="s">
        <v>485</v>
      </c>
      <c r="G80" s="270" t="s">
        <v>488</v>
      </c>
      <c r="H80" s="262"/>
      <c r="I80" s="370"/>
      <c r="J80" s="270"/>
      <c r="K80" s="270"/>
      <c r="L80" s="270"/>
      <c r="M80" s="270"/>
      <c r="N80" s="309" t="n">
        <v>44603</v>
      </c>
      <c r="O80" s="277" t="s">
        <v>49</v>
      </c>
      <c r="P80" s="309"/>
      <c r="Q80" s="309"/>
      <c r="R80" s="309" t="n">
        <v>44828</v>
      </c>
      <c r="S80" s="277" t="s">
        <v>126</v>
      </c>
      <c r="T80" s="310"/>
      <c r="U80" s="278" t="n">
        <v>44716</v>
      </c>
      <c r="V80" s="278"/>
      <c r="W80" s="279"/>
      <c r="X80" s="270"/>
      <c r="Y80" s="265" t="s">
        <v>485</v>
      </c>
      <c r="Z80" s="348"/>
    </row>
    <row r="81" customFormat="false" ht="12.75" hidden="false" customHeight="true" outlineLevel="0" collapsed="false">
      <c r="A81" s="320" t="s">
        <v>489</v>
      </c>
      <c r="B81" s="321" t="n">
        <v>78</v>
      </c>
      <c r="C81" s="321" t="s">
        <v>1648</v>
      </c>
      <c r="D81" s="321" t="s">
        <v>490</v>
      </c>
      <c r="E81" s="321" t="s">
        <v>491</v>
      </c>
      <c r="F81" s="320" t="s">
        <v>489</v>
      </c>
      <c r="G81" s="322" t="s">
        <v>492</v>
      </c>
      <c r="H81" s="321" t="s">
        <v>1625</v>
      </c>
      <c r="I81" s="321" t="s">
        <v>1731</v>
      </c>
      <c r="J81" s="321"/>
      <c r="K81" s="321"/>
      <c r="L81" s="321"/>
      <c r="M81" s="321"/>
      <c r="N81" s="323"/>
      <c r="O81" s="323"/>
      <c r="P81" s="323"/>
      <c r="Q81" s="323"/>
      <c r="R81" s="323"/>
      <c r="S81" s="323"/>
      <c r="T81" s="324"/>
      <c r="U81" s="325"/>
      <c r="V81" s="325"/>
      <c r="W81" s="326" t="s">
        <v>55</v>
      </c>
      <c r="X81" s="321" t="s">
        <v>1712</v>
      </c>
      <c r="Y81" s="320" t="s">
        <v>489</v>
      </c>
      <c r="Z81" s="350" t="s">
        <v>492</v>
      </c>
    </row>
    <row r="82" customFormat="false" ht="12.75" hidden="false" customHeight="true" outlineLevel="0" collapsed="false">
      <c r="A82" s="336" t="s">
        <v>494</v>
      </c>
      <c r="B82" s="337" t="n">
        <v>79</v>
      </c>
      <c r="C82" s="337" t="s">
        <v>1648</v>
      </c>
      <c r="D82" s="337" t="s">
        <v>495</v>
      </c>
      <c r="E82" s="337" t="s">
        <v>496</v>
      </c>
      <c r="F82" s="336" t="s">
        <v>494</v>
      </c>
      <c r="G82" s="338" t="s">
        <v>497</v>
      </c>
      <c r="H82" s="337"/>
      <c r="I82" s="337"/>
      <c r="J82" s="337"/>
      <c r="K82" s="337"/>
      <c r="L82" s="337"/>
      <c r="M82" s="337"/>
      <c r="N82" s="314"/>
      <c r="O82" s="314"/>
      <c r="P82" s="314"/>
      <c r="Q82" s="314"/>
      <c r="R82" s="339" t="s">
        <v>1732</v>
      </c>
      <c r="S82" s="340" t="s">
        <v>32</v>
      </c>
      <c r="T82" s="341"/>
      <c r="U82" s="342"/>
      <c r="V82" s="342"/>
      <c r="W82" s="343" t="s">
        <v>240</v>
      </c>
      <c r="X82" s="337" t="s">
        <v>305</v>
      </c>
      <c r="Y82" s="336" t="s">
        <v>494</v>
      </c>
      <c r="Z82" s="348" t="s">
        <v>497</v>
      </c>
    </row>
    <row r="83" customFormat="false" ht="12.75" hidden="false" customHeight="true" outlineLevel="0" collapsed="false">
      <c r="A83" s="301" t="s">
        <v>1733</v>
      </c>
      <c r="B83" s="302" t="n">
        <v>80</v>
      </c>
      <c r="C83" s="302" t="s">
        <v>1648</v>
      </c>
      <c r="D83" s="302" t="s">
        <v>1734</v>
      </c>
      <c r="E83" s="302" t="s">
        <v>1735</v>
      </c>
      <c r="F83" s="301" t="s">
        <v>1733</v>
      </c>
      <c r="G83" s="303" t="s">
        <v>1736</v>
      </c>
      <c r="H83" s="303"/>
      <c r="I83" s="303"/>
      <c r="J83" s="303"/>
      <c r="K83" s="303"/>
      <c r="L83" s="303"/>
      <c r="M83" s="303"/>
      <c r="N83" s="304" t="n">
        <v>44681</v>
      </c>
      <c r="O83" s="304" t="s">
        <v>335</v>
      </c>
      <c r="P83" s="304"/>
      <c r="Q83" s="304"/>
      <c r="R83" s="304" t="n">
        <v>44568</v>
      </c>
      <c r="S83" s="319" t="s">
        <v>126</v>
      </c>
      <c r="T83" s="305"/>
      <c r="U83" s="306"/>
      <c r="V83" s="306" t="n">
        <v>44954</v>
      </c>
      <c r="W83" s="345"/>
      <c r="X83" s="303"/>
      <c r="Y83" s="301" t="s">
        <v>1733</v>
      </c>
      <c r="Z83" s="353" t="s">
        <v>1737</v>
      </c>
    </row>
    <row r="84" customFormat="false" ht="12.75" hidden="false" customHeight="true" outlineLevel="0" collapsed="false">
      <c r="A84" s="301" t="s">
        <v>1738</v>
      </c>
      <c r="B84" s="302" t="n">
        <v>81</v>
      </c>
      <c r="C84" s="302" t="s">
        <v>1648</v>
      </c>
      <c r="D84" s="355" t="s">
        <v>1739</v>
      </c>
      <c r="E84" s="302" t="s">
        <v>268</v>
      </c>
      <c r="F84" s="301" t="s">
        <v>1738</v>
      </c>
      <c r="G84" s="303" t="s">
        <v>1740</v>
      </c>
      <c r="H84" s="303"/>
      <c r="I84" s="303"/>
      <c r="J84" s="303"/>
      <c r="K84" s="303"/>
      <c r="L84" s="303"/>
      <c r="M84" s="303"/>
      <c r="N84" s="304" t="n">
        <v>44723</v>
      </c>
      <c r="O84" s="304" t="s">
        <v>49</v>
      </c>
      <c r="P84" s="304"/>
      <c r="Q84" s="304"/>
      <c r="R84" s="304"/>
      <c r="S84" s="304"/>
      <c r="T84" s="305" t="s">
        <v>1741</v>
      </c>
      <c r="U84" s="306"/>
      <c r="V84" s="306" t="n">
        <v>44912</v>
      </c>
      <c r="W84" s="345"/>
      <c r="X84" s="303"/>
      <c r="Y84" s="301" t="s">
        <v>1738</v>
      </c>
      <c r="Z84" s="351" t="s">
        <v>1740</v>
      </c>
    </row>
    <row r="85" customFormat="false" ht="12.75" hidden="false" customHeight="true" outlineLevel="0" collapsed="false">
      <c r="A85" s="301" t="s">
        <v>1742</v>
      </c>
      <c r="B85" s="302" t="n">
        <v>82</v>
      </c>
      <c r="C85" s="302" t="s">
        <v>1648</v>
      </c>
      <c r="D85" s="355" t="s">
        <v>1743</v>
      </c>
      <c r="E85" s="302" t="s">
        <v>1744</v>
      </c>
      <c r="F85" s="301" t="s">
        <v>1742</v>
      </c>
      <c r="G85" s="303" t="s">
        <v>1745</v>
      </c>
      <c r="H85" s="302" t="s">
        <v>1584</v>
      </c>
      <c r="I85" s="302" t="s">
        <v>1746</v>
      </c>
      <c r="J85" s="302"/>
      <c r="K85" s="302"/>
      <c r="L85" s="302"/>
      <c r="M85" s="302"/>
      <c r="N85" s="371" t="s">
        <v>1747</v>
      </c>
      <c r="O85" s="319" t="s">
        <v>1748</v>
      </c>
      <c r="P85" s="304"/>
      <c r="Q85" s="304"/>
      <c r="R85" s="304"/>
      <c r="S85" s="304"/>
      <c r="T85" s="372" t="s">
        <v>1749</v>
      </c>
      <c r="U85" s="344"/>
      <c r="V85" s="344" t="n">
        <v>44785</v>
      </c>
      <c r="W85" s="345" t="s">
        <v>103</v>
      </c>
      <c r="X85" s="302" t="s">
        <v>346</v>
      </c>
      <c r="Y85" s="301" t="s">
        <v>1742</v>
      </c>
      <c r="Z85" s="348" t="s">
        <v>1745</v>
      </c>
    </row>
    <row r="86" customFormat="false" ht="12.75" hidden="false" customHeight="true" outlineLevel="0" collapsed="false">
      <c r="A86" s="301" t="s">
        <v>1750</v>
      </c>
      <c r="B86" s="302" t="n">
        <v>83</v>
      </c>
      <c r="C86" s="302" t="s">
        <v>1648</v>
      </c>
      <c r="D86" s="355" t="s">
        <v>1751</v>
      </c>
      <c r="E86" s="302" t="s">
        <v>1752</v>
      </c>
      <c r="F86" s="301" t="s">
        <v>1750</v>
      </c>
      <c r="G86" s="303" t="s">
        <v>1753</v>
      </c>
      <c r="H86" s="302" t="s">
        <v>1672</v>
      </c>
      <c r="I86" s="302" t="s">
        <v>1754</v>
      </c>
      <c r="J86" s="302"/>
      <c r="K86" s="302"/>
      <c r="L86" s="302"/>
      <c r="M86" s="302"/>
      <c r="N86" s="304"/>
      <c r="O86" s="304"/>
      <c r="P86" s="304"/>
      <c r="Q86" s="304"/>
      <c r="R86" s="304"/>
      <c r="S86" s="304"/>
      <c r="T86" s="305"/>
      <c r="U86" s="344"/>
      <c r="V86" s="344" t="n">
        <v>44758</v>
      </c>
      <c r="W86" s="345" t="s">
        <v>60</v>
      </c>
      <c r="X86" s="302" t="s">
        <v>903</v>
      </c>
      <c r="Y86" s="301" t="s">
        <v>1750</v>
      </c>
      <c r="Z86" s="348" t="s">
        <v>1753</v>
      </c>
    </row>
    <row r="87" customFormat="false" ht="12.75" hidden="false" customHeight="true" outlineLevel="0" collapsed="false">
      <c r="A87" s="290" t="s">
        <v>498</v>
      </c>
      <c r="B87" s="291" t="n">
        <v>84</v>
      </c>
      <c r="C87" s="291" t="s">
        <v>1648</v>
      </c>
      <c r="D87" s="291" t="s">
        <v>499</v>
      </c>
      <c r="E87" s="291" t="s">
        <v>471</v>
      </c>
      <c r="F87" s="290" t="s">
        <v>498</v>
      </c>
      <c r="G87" s="292" t="s">
        <v>500</v>
      </c>
      <c r="H87" s="291"/>
      <c r="I87" s="291"/>
      <c r="J87" s="291"/>
      <c r="K87" s="291"/>
      <c r="L87" s="291"/>
      <c r="M87" s="291"/>
      <c r="N87" s="293" t="s">
        <v>1755</v>
      </c>
      <c r="O87" s="293" t="s">
        <v>1756</v>
      </c>
      <c r="P87" s="314"/>
      <c r="Q87" s="314"/>
      <c r="R87" s="295"/>
      <c r="S87" s="295"/>
      <c r="T87" s="346"/>
      <c r="U87" s="349"/>
      <c r="V87" s="349"/>
      <c r="W87" s="298" t="s">
        <v>103</v>
      </c>
      <c r="X87" s="291" t="s">
        <v>252</v>
      </c>
      <c r="Y87" s="290" t="s">
        <v>498</v>
      </c>
      <c r="Z87" s="348" t="s">
        <v>500</v>
      </c>
    </row>
    <row r="88" customFormat="false" ht="12.75" hidden="false" customHeight="true" outlineLevel="0" collapsed="false">
      <c r="A88" s="265" t="s">
        <v>501</v>
      </c>
      <c r="B88" s="262" t="n">
        <v>85</v>
      </c>
      <c r="C88" s="262" t="s">
        <v>1648</v>
      </c>
      <c r="D88" s="262" t="s">
        <v>502</v>
      </c>
      <c r="E88" s="262" t="s">
        <v>503</v>
      </c>
      <c r="F88" s="265" t="s">
        <v>501</v>
      </c>
      <c r="G88" s="270" t="s">
        <v>504</v>
      </c>
      <c r="H88" s="270"/>
      <c r="I88" s="270"/>
      <c r="J88" s="270"/>
      <c r="K88" s="270"/>
      <c r="L88" s="270"/>
      <c r="M88" s="270"/>
      <c r="N88" s="309" t="n">
        <v>44800</v>
      </c>
      <c r="O88" s="309" t="s">
        <v>335</v>
      </c>
      <c r="P88" s="309"/>
      <c r="Q88" s="309"/>
      <c r="R88" s="309"/>
      <c r="S88" s="309"/>
      <c r="T88" s="356" t="s">
        <v>1757</v>
      </c>
      <c r="U88" s="278"/>
      <c r="V88" s="278"/>
      <c r="W88" s="279"/>
      <c r="X88" s="270"/>
      <c r="Y88" s="265" t="s">
        <v>501</v>
      </c>
      <c r="Z88" s="348" t="s">
        <v>504</v>
      </c>
    </row>
    <row r="89" customFormat="false" ht="12.75" hidden="false" customHeight="true" outlineLevel="0" collapsed="false">
      <c r="A89" s="265" t="s">
        <v>505</v>
      </c>
      <c r="B89" s="262" t="n">
        <v>86</v>
      </c>
      <c r="C89" s="262" t="s">
        <v>1648</v>
      </c>
      <c r="D89" s="262" t="s">
        <v>506</v>
      </c>
      <c r="E89" s="262" t="s">
        <v>507</v>
      </c>
      <c r="F89" s="265" t="s">
        <v>505</v>
      </c>
      <c r="G89" s="270" t="s">
        <v>508</v>
      </c>
      <c r="H89" s="262" t="s">
        <v>1713</v>
      </c>
      <c r="I89" s="262" t="s">
        <v>1758</v>
      </c>
      <c r="J89" s="270"/>
      <c r="K89" s="270"/>
      <c r="L89" s="270"/>
      <c r="M89" s="270"/>
      <c r="N89" s="309" t="n">
        <v>44709</v>
      </c>
      <c r="O89" s="309" t="s">
        <v>335</v>
      </c>
      <c r="P89" s="309"/>
      <c r="Q89" s="309"/>
      <c r="R89" s="309" t="n">
        <v>44624</v>
      </c>
      <c r="S89" s="277" t="s">
        <v>126</v>
      </c>
      <c r="T89" s="310"/>
      <c r="U89" s="278"/>
      <c r="V89" s="278"/>
      <c r="W89" s="279"/>
      <c r="X89" s="270"/>
      <c r="Y89" s="265" t="s">
        <v>505</v>
      </c>
      <c r="Z89" s="348" t="s">
        <v>508</v>
      </c>
    </row>
    <row r="90" customFormat="false" ht="12.75" hidden="false" customHeight="true" outlineLevel="0" collapsed="false">
      <c r="A90" s="265" t="s">
        <v>511</v>
      </c>
      <c r="B90" s="262" t="n">
        <v>87</v>
      </c>
      <c r="C90" s="262" t="s">
        <v>1648</v>
      </c>
      <c r="D90" s="262" t="s">
        <v>512</v>
      </c>
      <c r="E90" s="262" t="s">
        <v>513</v>
      </c>
      <c r="F90" s="265" t="s">
        <v>511</v>
      </c>
      <c r="G90" s="270" t="s">
        <v>514</v>
      </c>
      <c r="H90" s="262" t="s">
        <v>1702</v>
      </c>
      <c r="I90" s="262" t="s">
        <v>1759</v>
      </c>
      <c r="J90" s="262" t="s">
        <v>1760</v>
      </c>
      <c r="K90" s="262" t="s">
        <v>1761</v>
      </c>
      <c r="L90" s="270"/>
      <c r="M90" s="270"/>
      <c r="N90" s="309"/>
      <c r="O90" s="277"/>
      <c r="P90" s="309" t="n">
        <v>44905</v>
      </c>
      <c r="Q90" s="309" t="s">
        <v>32</v>
      </c>
      <c r="R90" s="309" t="n">
        <v>44716</v>
      </c>
      <c r="S90" s="277" t="s">
        <v>126</v>
      </c>
      <c r="T90" s="310"/>
      <c r="U90" s="278"/>
      <c r="V90" s="278"/>
      <c r="W90" s="279"/>
      <c r="X90" s="270"/>
      <c r="Y90" s="265" t="s">
        <v>511</v>
      </c>
      <c r="Z90" s="348" t="s">
        <v>514</v>
      </c>
    </row>
    <row r="91" customFormat="false" ht="12.75" hidden="false" customHeight="true" outlineLevel="0" collapsed="false">
      <c r="A91" s="311" t="s">
        <v>518</v>
      </c>
      <c r="B91" s="312" t="n">
        <v>88</v>
      </c>
      <c r="C91" s="312" t="s">
        <v>1648</v>
      </c>
      <c r="D91" s="312" t="s">
        <v>519</v>
      </c>
      <c r="E91" s="312" t="s">
        <v>520</v>
      </c>
      <c r="F91" s="311" t="s">
        <v>518</v>
      </c>
      <c r="G91" s="313" t="s">
        <v>521</v>
      </c>
      <c r="H91" s="312"/>
      <c r="I91" s="312"/>
      <c r="J91" s="312"/>
      <c r="K91" s="312"/>
      <c r="L91" s="312"/>
      <c r="M91" s="312"/>
      <c r="N91" s="314"/>
      <c r="O91" s="314"/>
      <c r="P91" s="314"/>
      <c r="Q91" s="314"/>
      <c r="R91" s="315"/>
      <c r="S91" s="315"/>
      <c r="T91" s="316"/>
      <c r="U91" s="317"/>
      <c r="V91" s="317"/>
      <c r="W91" s="318" t="s">
        <v>60</v>
      </c>
      <c r="X91" s="312" t="s">
        <v>252</v>
      </c>
      <c r="Y91" s="311" t="s">
        <v>518</v>
      </c>
      <c r="Z91" s="348" t="s">
        <v>521</v>
      </c>
    </row>
    <row r="92" customFormat="false" ht="12.75" hidden="false" customHeight="true" outlineLevel="0" collapsed="false">
      <c r="A92" s="265" t="s">
        <v>522</v>
      </c>
      <c r="B92" s="262" t="n">
        <v>89</v>
      </c>
      <c r="C92" s="262" t="s">
        <v>1648</v>
      </c>
      <c r="D92" s="262" t="s">
        <v>523</v>
      </c>
      <c r="E92" s="262" t="s">
        <v>524</v>
      </c>
      <c r="F92" s="265" t="s">
        <v>522</v>
      </c>
      <c r="G92" s="265" t="s">
        <v>525</v>
      </c>
      <c r="H92" s="262" t="s">
        <v>1625</v>
      </c>
      <c r="I92" s="262" t="s">
        <v>1762</v>
      </c>
      <c r="J92" s="270"/>
      <c r="K92" s="270"/>
      <c r="L92" s="270"/>
      <c r="M92" s="270"/>
      <c r="N92" s="309" t="n">
        <v>44603</v>
      </c>
      <c r="O92" s="277" t="s">
        <v>335</v>
      </c>
      <c r="P92" s="309"/>
      <c r="Q92" s="309"/>
      <c r="R92" s="309" t="n">
        <v>44828</v>
      </c>
      <c r="S92" s="277" t="s">
        <v>49</v>
      </c>
      <c r="T92" s="310"/>
      <c r="U92" s="278"/>
      <c r="V92" s="278"/>
      <c r="W92" s="279"/>
      <c r="X92" s="270"/>
      <c r="Y92" s="265" t="s">
        <v>522</v>
      </c>
      <c r="Z92" s="348" t="s">
        <v>527</v>
      </c>
    </row>
    <row r="93" customFormat="false" ht="12.75" hidden="false" customHeight="true" outlineLevel="0" collapsed="false">
      <c r="A93" s="265" t="s">
        <v>528</v>
      </c>
      <c r="B93" s="262" t="n">
        <v>90</v>
      </c>
      <c r="C93" s="262" t="s">
        <v>1648</v>
      </c>
      <c r="D93" s="262" t="s">
        <v>529</v>
      </c>
      <c r="E93" s="262" t="s">
        <v>530</v>
      </c>
      <c r="F93" s="265" t="s">
        <v>528</v>
      </c>
      <c r="G93" s="270" t="s">
        <v>531</v>
      </c>
      <c r="H93" s="262" t="s">
        <v>1592</v>
      </c>
      <c r="I93" s="262" t="s">
        <v>1763</v>
      </c>
      <c r="J93" s="262" t="s">
        <v>1764</v>
      </c>
      <c r="K93" s="262" t="s">
        <v>1765</v>
      </c>
      <c r="L93" s="270"/>
      <c r="M93" s="270"/>
      <c r="N93" s="309" t="n">
        <v>44856</v>
      </c>
      <c r="O93" s="277" t="s">
        <v>49</v>
      </c>
      <c r="P93" s="309"/>
      <c r="Q93" s="309"/>
      <c r="R93" s="309"/>
      <c r="S93" s="309"/>
      <c r="T93" s="310"/>
      <c r="U93" s="278"/>
      <c r="V93" s="278"/>
      <c r="W93" s="279"/>
      <c r="X93" s="270"/>
      <c r="Y93" s="265" t="s">
        <v>528</v>
      </c>
      <c r="Z93" s="348" t="s">
        <v>531</v>
      </c>
    </row>
    <row r="94" customFormat="false" ht="12.75" hidden="false" customHeight="true" outlineLevel="0" collapsed="false">
      <c r="A94" s="265" t="s">
        <v>537</v>
      </c>
      <c r="B94" s="262" t="n">
        <v>91</v>
      </c>
      <c r="C94" s="262" t="s">
        <v>1648</v>
      </c>
      <c r="D94" s="262" t="s">
        <v>1766</v>
      </c>
      <c r="E94" s="262" t="s">
        <v>539</v>
      </c>
      <c r="F94" s="265" t="s">
        <v>537</v>
      </c>
      <c r="G94" s="270" t="s">
        <v>540</v>
      </c>
      <c r="H94" s="270"/>
      <c r="I94" s="270"/>
      <c r="J94" s="270"/>
      <c r="K94" s="270"/>
      <c r="L94" s="270"/>
      <c r="M94" s="270"/>
      <c r="N94" s="309" t="n">
        <v>44856</v>
      </c>
      <c r="O94" s="277" t="s">
        <v>335</v>
      </c>
      <c r="P94" s="309"/>
      <c r="Q94" s="309"/>
      <c r="R94" s="309"/>
      <c r="S94" s="309"/>
      <c r="T94" s="310"/>
      <c r="U94" s="278"/>
      <c r="V94" s="278"/>
      <c r="W94" s="279"/>
      <c r="X94" s="270"/>
      <c r="Y94" s="265" t="s">
        <v>537</v>
      </c>
      <c r="Z94" s="348" t="s">
        <v>540</v>
      </c>
    </row>
    <row r="95" customFormat="false" ht="12.75" hidden="false" customHeight="true" outlineLevel="0" collapsed="false">
      <c r="A95" s="301" t="s">
        <v>541</v>
      </c>
      <c r="B95" s="302" t="n">
        <v>92</v>
      </c>
      <c r="C95" s="302" t="s">
        <v>1648</v>
      </c>
      <c r="D95" s="302" t="s">
        <v>542</v>
      </c>
      <c r="E95" s="302" t="s">
        <v>543</v>
      </c>
      <c r="F95" s="301" t="s">
        <v>541</v>
      </c>
      <c r="G95" s="303" t="s">
        <v>544</v>
      </c>
      <c r="H95" s="303"/>
      <c r="I95" s="303"/>
      <c r="J95" s="303"/>
      <c r="K95" s="303"/>
      <c r="L95" s="303"/>
      <c r="M95" s="303"/>
      <c r="N95" s="304"/>
      <c r="O95" s="304"/>
      <c r="P95" s="304" t="n">
        <v>44603</v>
      </c>
      <c r="Q95" s="319" t="s">
        <v>32</v>
      </c>
      <c r="R95" s="304" t="n">
        <v>44835</v>
      </c>
      <c r="S95" s="319" t="s">
        <v>126</v>
      </c>
      <c r="T95" s="305"/>
      <c r="U95" s="306"/>
      <c r="V95" s="306" t="n">
        <v>45073</v>
      </c>
      <c r="W95" s="345"/>
      <c r="X95" s="303"/>
      <c r="Y95" s="301" t="s">
        <v>541</v>
      </c>
      <c r="Z95" s="351" t="s">
        <v>544</v>
      </c>
    </row>
    <row r="96" customFormat="false" ht="12.75" hidden="false" customHeight="true" outlineLevel="0" collapsed="false">
      <c r="A96" s="373" t="s">
        <v>545</v>
      </c>
      <c r="B96" s="262" t="n">
        <v>93</v>
      </c>
      <c r="C96" s="262" t="s">
        <v>1648</v>
      </c>
      <c r="D96" s="262" t="s">
        <v>546</v>
      </c>
      <c r="E96" s="262" t="s">
        <v>547</v>
      </c>
      <c r="F96" s="373" t="s">
        <v>545</v>
      </c>
      <c r="G96" s="270" t="s">
        <v>548</v>
      </c>
      <c r="H96" s="262" t="s">
        <v>1625</v>
      </c>
      <c r="I96" s="369" t="s">
        <v>1767</v>
      </c>
      <c r="J96" s="262" t="s">
        <v>1627</v>
      </c>
      <c r="K96" s="360" t="s">
        <v>1768</v>
      </c>
      <c r="L96" s="360"/>
      <c r="M96" s="270"/>
      <c r="N96" s="309"/>
      <c r="O96" s="309"/>
      <c r="P96" s="309" t="n">
        <v>44603</v>
      </c>
      <c r="Q96" s="277" t="s">
        <v>67</v>
      </c>
      <c r="R96" s="309" t="n">
        <v>44835</v>
      </c>
      <c r="S96" s="277" t="s">
        <v>49</v>
      </c>
      <c r="T96" s="310" t="s">
        <v>1769</v>
      </c>
      <c r="U96" s="278" t="n">
        <v>44660</v>
      </c>
      <c r="V96" s="278"/>
      <c r="W96" s="279"/>
      <c r="X96" s="270"/>
      <c r="Y96" s="373" t="s">
        <v>545</v>
      </c>
      <c r="Z96" s="348" t="s">
        <v>548</v>
      </c>
    </row>
    <row r="97" customFormat="false" ht="12.75" hidden="false" customHeight="true" outlineLevel="0" collapsed="false">
      <c r="A97" s="265" t="s">
        <v>551</v>
      </c>
      <c r="B97" s="262" t="n">
        <v>94</v>
      </c>
      <c r="C97" s="262" t="s">
        <v>1648</v>
      </c>
      <c r="D97" s="262" t="s">
        <v>552</v>
      </c>
      <c r="E97" s="262" t="s">
        <v>553</v>
      </c>
      <c r="F97" s="265" t="s">
        <v>551</v>
      </c>
      <c r="G97" s="270" t="s">
        <v>554</v>
      </c>
      <c r="H97" s="262" t="s">
        <v>1625</v>
      </c>
      <c r="I97" s="374" t="s">
        <v>1770</v>
      </c>
      <c r="J97" s="262"/>
      <c r="K97" s="361"/>
      <c r="L97" s="270"/>
      <c r="M97" s="270"/>
      <c r="N97" s="309" t="n">
        <v>44624</v>
      </c>
      <c r="O97" s="277" t="s">
        <v>335</v>
      </c>
      <c r="P97" s="309"/>
      <c r="Q97" s="309"/>
      <c r="R97" s="309" t="n">
        <v>44870</v>
      </c>
      <c r="S97" s="277" t="s">
        <v>126</v>
      </c>
      <c r="T97" s="356" t="s">
        <v>1771</v>
      </c>
      <c r="U97" s="278" t="n">
        <v>44779</v>
      </c>
      <c r="V97" s="278"/>
      <c r="W97" s="279"/>
      <c r="X97" s="270"/>
      <c r="Y97" s="265" t="s">
        <v>551</v>
      </c>
      <c r="Z97" s="348"/>
    </row>
    <row r="98" customFormat="false" ht="12.75" hidden="false" customHeight="true" outlineLevel="0" collapsed="false">
      <c r="A98" s="265" t="s">
        <v>556</v>
      </c>
      <c r="B98" s="262" t="n">
        <v>95</v>
      </c>
      <c r="C98" s="262" t="s">
        <v>1648</v>
      </c>
      <c r="D98" s="262" t="s">
        <v>557</v>
      </c>
      <c r="E98" s="262" t="s">
        <v>558</v>
      </c>
      <c r="F98" s="265" t="s">
        <v>556</v>
      </c>
      <c r="G98" s="270" t="s">
        <v>559</v>
      </c>
      <c r="H98" s="262"/>
      <c r="I98" s="270"/>
      <c r="J98" s="262"/>
      <c r="K98" s="361"/>
      <c r="L98" s="270"/>
      <c r="M98" s="270"/>
      <c r="N98" s="309"/>
      <c r="O98" s="309"/>
      <c r="P98" s="309" t="n">
        <v>44624</v>
      </c>
      <c r="Q98" s="277" t="s">
        <v>32</v>
      </c>
      <c r="R98" s="309" t="n">
        <v>44870</v>
      </c>
      <c r="S98" s="277" t="s">
        <v>49</v>
      </c>
      <c r="T98" s="310"/>
      <c r="U98" s="278" t="n">
        <v>44779</v>
      </c>
      <c r="V98" s="278"/>
      <c r="W98" s="279"/>
      <c r="X98" s="270"/>
      <c r="Y98" s="265" t="s">
        <v>556</v>
      </c>
      <c r="Z98" s="348"/>
    </row>
    <row r="99" customFormat="false" ht="12.75" hidden="false" customHeight="true" outlineLevel="0" collapsed="false">
      <c r="A99" s="359" t="s">
        <v>560</v>
      </c>
      <c r="B99" s="262" t="n">
        <v>96</v>
      </c>
      <c r="C99" s="262" t="s">
        <v>1648</v>
      </c>
      <c r="D99" s="262" t="s">
        <v>561</v>
      </c>
      <c r="E99" s="262" t="s">
        <v>333</v>
      </c>
      <c r="F99" s="265" t="s">
        <v>560</v>
      </c>
      <c r="G99" s="270" t="s">
        <v>562</v>
      </c>
      <c r="H99" s="262" t="s">
        <v>1584</v>
      </c>
      <c r="I99" s="369" t="s">
        <v>1772</v>
      </c>
      <c r="J99" s="262"/>
      <c r="K99" s="361"/>
      <c r="L99" s="270"/>
      <c r="M99" s="270"/>
      <c r="N99" s="362"/>
      <c r="O99" s="362"/>
      <c r="P99" s="362"/>
      <c r="Q99" s="362"/>
      <c r="R99" s="309" t="n">
        <v>44912</v>
      </c>
      <c r="S99" s="277" t="s">
        <v>126</v>
      </c>
      <c r="T99" s="310" t="s">
        <v>1773</v>
      </c>
      <c r="U99" s="278" t="n">
        <v>44800</v>
      </c>
      <c r="V99" s="278"/>
      <c r="W99" s="279"/>
      <c r="X99" s="270"/>
      <c r="Y99" s="359" t="s">
        <v>560</v>
      </c>
      <c r="Z99" s="348"/>
    </row>
    <row r="100" customFormat="false" ht="12.75" hidden="false" customHeight="true" outlineLevel="0" collapsed="false">
      <c r="A100" s="301" t="s">
        <v>564</v>
      </c>
      <c r="B100" s="302" t="n">
        <v>97</v>
      </c>
      <c r="C100" s="302" t="s">
        <v>1594</v>
      </c>
      <c r="D100" s="302" t="s">
        <v>565</v>
      </c>
      <c r="E100" s="302" t="s">
        <v>566</v>
      </c>
      <c r="F100" s="301" t="s">
        <v>564</v>
      </c>
      <c r="G100" s="303" t="s">
        <v>567</v>
      </c>
      <c r="H100" s="303"/>
      <c r="I100" s="303"/>
      <c r="J100" s="303"/>
      <c r="K100" s="303"/>
      <c r="L100" s="303"/>
      <c r="M100" s="303"/>
      <c r="N100" s="304" t="n">
        <v>44716</v>
      </c>
      <c r="O100" s="304" t="s">
        <v>335</v>
      </c>
      <c r="P100" s="304"/>
      <c r="Q100" s="304"/>
      <c r="R100" s="304" t="n">
        <v>44631</v>
      </c>
      <c r="S100" s="319" t="s">
        <v>49</v>
      </c>
      <c r="T100" s="305"/>
      <c r="U100" s="306"/>
      <c r="V100" s="306" t="n">
        <v>45094</v>
      </c>
      <c r="W100" s="345"/>
      <c r="X100" s="303"/>
      <c r="Y100" s="301" t="s">
        <v>564</v>
      </c>
      <c r="Z100" s="351" t="s">
        <v>567</v>
      </c>
    </row>
    <row r="101" customFormat="false" ht="12.75" hidden="false" customHeight="true" outlineLevel="0" collapsed="false">
      <c r="A101" s="328" t="s">
        <v>568</v>
      </c>
      <c r="B101" s="329" t="n">
        <v>98</v>
      </c>
      <c r="C101" s="329" t="s">
        <v>1594</v>
      </c>
      <c r="D101" s="329" t="s">
        <v>569</v>
      </c>
      <c r="E101" s="329" t="s">
        <v>570</v>
      </c>
      <c r="F101" s="328" t="s">
        <v>568</v>
      </c>
      <c r="G101" s="330" t="s">
        <v>571</v>
      </c>
      <c r="H101" s="329" t="s">
        <v>1672</v>
      </c>
      <c r="I101" s="329" t="s">
        <v>1774</v>
      </c>
      <c r="J101" s="329"/>
      <c r="K101" s="329"/>
      <c r="L101" s="329"/>
      <c r="M101" s="329"/>
      <c r="N101" s="314"/>
      <c r="O101" s="314"/>
      <c r="P101" s="314"/>
      <c r="Q101" s="314"/>
      <c r="R101" s="331"/>
      <c r="S101" s="331"/>
      <c r="T101" s="352"/>
      <c r="U101" s="333"/>
      <c r="V101" s="333"/>
      <c r="W101" s="334" t="s">
        <v>152</v>
      </c>
      <c r="X101" s="329" t="s">
        <v>171</v>
      </c>
      <c r="Y101" s="328" t="s">
        <v>568</v>
      </c>
      <c r="Z101" s="265" t="s">
        <v>571</v>
      </c>
    </row>
    <row r="102" customFormat="false" ht="12.75" hidden="false" customHeight="true" outlineLevel="0" collapsed="false">
      <c r="A102" s="301" t="s">
        <v>1775</v>
      </c>
      <c r="B102" s="302" t="n">
        <v>99</v>
      </c>
      <c r="C102" s="302" t="s">
        <v>1594</v>
      </c>
      <c r="D102" s="355" t="s">
        <v>1776</v>
      </c>
      <c r="E102" s="302" t="s">
        <v>1777</v>
      </c>
      <c r="F102" s="301" t="s">
        <v>1775</v>
      </c>
      <c r="G102" s="303" t="s">
        <v>1778</v>
      </c>
      <c r="H102" s="302" t="s">
        <v>1713</v>
      </c>
      <c r="I102" s="302" t="s">
        <v>1779</v>
      </c>
      <c r="J102" s="302"/>
      <c r="K102" s="302"/>
      <c r="L102" s="302"/>
      <c r="M102" s="302"/>
      <c r="N102" s="304"/>
      <c r="O102" s="304"/>
      <c r="P102" s="304"/>
      <c r="Q102" s="304"/>
      <c r="R102" s="304"/>
      <c r="S102" s="304"/>
      <c r="T102" s="305"/>
      <c r="U102" s="344"/>
      <c r="V102" s="344" t="n">
        <v>44702</v>
      </c>
      <c r="W102" s="345"/>
      <c r="X102" s="302"/>
      <c r="Y102" s="301" t="s">
        <v>1775</v>
      </c>
      <c r="Z102" s="265" t="s">
        <v>1778</v>
      </c>
    </row>
    <row r="103" customFormat="false" ht="12.75" hidden="false" customHeight="true" outlineLevel="0" collapsed="false">
      <c r="A103" s="301" t="s">
        <v>1780</v>
      </c>
      <c r="B103" s="302" t="n">
        <v>100</v>
      </c>
      <c r="C103" s="302" t="s">
        <v>1594</v>
      </c>
      <c r="D103" s="355" t="s">
        <v>1781</v>
      </c>
      <c r="E103" s="302" t="s">
        <v>1782</v>
      </c>
      <c r="F103" s="301" t="s">
        <v>1780</v>
      </c>
      <c r="G103" s="303" t="s">
        <v>1783</v>
      </c>
      <c r="H103" s="302" t="s">
        <v>1627</v>
      </c>
      <c r="I103" s="302" t="s">
        <v>1784</v>
      </c>
      <c r="J103" s="302"/>
      <c r="K103" s="302"/>
      <c r="L103" s="302"/>
      <c r="M103" s="302"/>
      <c r="N103" s="304"/>
      <c r="O103" s="304"/>
      <c r="P103" s="304"/>
      <c r="Q103" s="304"/>
      <c r="R103" s="304"/>
      <c r="S103" s="304"/>
      <c r="T103" s="375"/>
      <c r="U103" s="344"/>
      <c r="V103" s="344" t="n">
        <v>44709</v>
      </c>
      <c r="W103" s="345"/>
      <c r="X103" s="302"/>
      <c r="Y103" s="301" t="s">
        <v>1780</v>
      </c>
      <c r="Z103" s="265" t="s">
        <v>1783</v>
      </c>
    </row>
    <row r="104" customFormat="false" ht="12.75" hidden="false" customHeight="true" outlineLevel="0" collapsed="false">
      <c r="A104" s="265" t="s">
        <v>573</v>
      </c>
      <c r="B104" s="262" t="n">
        <v>101</v>
      </c>
      <c r="C104" s="262" t="s">
        <v>1594</v>
      </c>
      <c r="D104" s="262" t="s">
        <v>574</v>
      </c>
      <c r="E104" s="262" t="s">
        <v>575</v>
      </c>
      <c r="F104" s="376" t="s">
        <v>573</v>
      </c>
      <c r="G104" s="270" t="s">
        <v>576</v>
      </c>
      <c r="H104" s="270"/>
      <c r="I104" s="270"/>
      <c r="J104" s="270"/>
      <c r="K104" s="270"/>
      <c r="L104" s="270"/>
      <c r="M104" s="270"/>
      <c r="N104" s="309" t="n">
        <v>44582</v>
      </c>
      <c r="O104" s="277" t="s">
        <v>335</v>
      </c>
      <c r="P104" s="309"/>
      <c r="Q104" s="309"/>
      <c r="R104" s="309" t="n">
        <v>44800</v>
      </c>
      <c r="S104" s="309" t="s">
        <v>67</v>
      </c>
      <c r="T104" s="310"/>
      <c r="U104" s="278"/>
      <c r="V104" s="278"/>
      <c r="W104" s="279"/>
      <c r="X104" s="270"/>
      <c r="Y104" s="265" t="s">
        <v>573</v>
      </c>
      <c r="Z104" s="265" t="s">
        <v>576</v>
      </c>
    </row>
    <row r="105" customFormat="false" ht="12.75" hidden="false" customHeight="true" outlineLevel="0" collapsed="false">
      <c r="A105" s="301" t="s">
        <v>1356</v>
      </c>
      <c r="B105" s="302" t="n">
        <v>102</v>
      </c>
      <c r="C105" s="302" t="s">
        <v>1594</v>
      </c>
      <c r="D105" s="302" t="s">
        <v>1785</v>
      </c>
      <c r="E105" s="302" t="s">
        <v>1358</v>
      </c>
      <c r="F105" s="301" t="s">
        <v>1356</v>
      </c>
      <c r="G105" s="303" t="s">
        <v>1786</v>
      </c>
      <c r="H105" s="302" t="s">
        <v>1672</v>
      </c>
      <c r="I105" s="302" t="s">
        <v>1787</v>
      </c>
      <c r="J105" s="303"/>
      <c r="K105" s="303"/>
      <c r="L105" s="303"/>
      <c r="M105" s="303"/>
      <c r="N105" s="304" t="n">
        <v>44898</v>
      </c>
      <c r="O105" s="304" t="s">
        <v>49</v>
      </c>
      <c r="P105" s="304"/>
      <c r="Q105" s="304"/>
      <c r="R105" s="304" t="n">
        <v>44695</v>
      </c>
      <c r="S105" s="304" t="s">
        <v>67</v>
      </c>
      <c r="T105" s="305"/>
      <c r="U105" s="306"/>
      <c r="V105" s="306" t="n">
        <v>44996</v>
      </c>
      <c r="W105" s="345"/>
      <c r="X105" s="303"/>
      <c r="Y105" s="301" t="s">
        <v>1356</v>
      </c>
      <c r="Z105" s="351" t="s">
        <v>1786</v>
      </c>
    </row>
    <row r="106" customFormat="false" ht="12.75" hidden="false" customHeight="true" outlineLevel="0" collapsed="false">
      <c r="A106" s="265" t="s">
        <v>577</v>
      </c>
      <c r="B106" s="262" t="n">
        <v>103</v>
      </c>
      <c r="C106" s="262" t="s">
        <v>1594</v>
      </c>
      <c r="D106" s="262" t="s">
        <v>578</v>
      </c>
      <c r="E106" s="262" t="s">
        <v>579</v>
      </c>
      <c r="F106" s="265" t="s">
        <v>577</v>
      </c>
      <c r="G106" s="270" t="s">
        <v>580</v>
      </c>
      <c r="H106" s="270"/>
      <c r="I106" s="270"/>
      <c r="J106" s="270"/>
      <c r="K106" s="270"/>
      <c r="L106" s="270"/>
      <c r="M106" s="270"/>
      <c r="N106" s="309" t="n">
        <v>44905</v>
      </c>
      <c r="O106" s="309" t="s">
        <v>335</v>
      </c>
      <c r="P106" s="309"/>
      <c r="Q106" s="309"/>
      <c r="R106" s="309" t="n">
        <v>44716</v>
      </c>
      <c r="S106" s="309" t="s">
        <v>49</v>
      </c>
      <c r="T106" s="310" t="s">
        <v>1788</v>
      </c>
      <c r="U106" s="278"/>
      <c r="V106" s="278"/>
      <c r="W106" s="279"/>
      <c r="X106" s="270"/>
      <c r="Y106" s="265" t="s">
        <v>577</v>
      </c>
      <c r="Z106" s="348" t="s">
        <v>580</v>
      </c>
    </row>
    <row r="107" customFormat="false" ht="12.75" hidden="false" customHeight="true" outlineLevel="0" collapsed="false">
      <c r="A107" s="265" t="s">
        <v>581</v>
      </c>
      <c r="B107" s="262" t="n">
        <v>104</v>
      </c>
      <c r="C107" s="262" t="s">
        <v>1594</v>
      </c>
      <c r="D107" s="262" t="s">
        <v>582</v>
      </c>
      <c r="E107" s="262" t="s">
        <v>583</v>
      </c>
      <c r="F107" s="265" t="s">
        <v>581</v>
      </c>
      <c r="G107" s="270" t="s">
        <v>584</v>
      </c>
      <c r="H107" s="270"/>
      <c r="I107" s="270"/>
      <c r="J107" s="270"/>
      <c r="K107" s="270"/>
      <c r="L107" s="270"/>
      <c r="M107" s="270"/>
      <c r="N107" s="309"/>
      <c r="O107" s="309"/>
      <c r="P107" s="309" t="n">
        <v>44835</v>
      </c>
      <c r="Q107" s="277" t="s">
        <v>32</v>
      </c>
      <c r="R107" s="309"/>
      <c r="S107" s="309"/>
      <c r="T107" s="310"/>
      <c r="U107" s="278"/>
      <c r="V107" s="278"/>
      <c r="W107" s="279"/>
      <c r="X107" s="270"/>
      <c r="Y107" s="265" t="s">
        <v>581</v>
      </c>
      <c r="Z107" s="348" t="s">
        <v>584</v>
      </c>
    </row>
    <row r="108" customFormat="false" ht="12.75" hidden="false" customHeight="true" outlineLevel="0" collapsed="false">
      <c r="A108" s="301" t="s">
        <v>585</v>
      </c>
      <c r="B108" s="302" t="n">
        <v>105</v>
      </c>
      <c r="C108" s="302" t="s">
        <v>1594</v>
      </c>
      <c r="D108" s="302" t="s">
        <v>586</v>
      </c>
      <c r="E108" s="302" t="s">
        <v>587</v>
      </c>
      <c r="F108" s="301" t="s">
        <v>585</v>
      </c>
      <c r="G108" s="303" t="s">
        <v>588</v>
      </c>
      <c r="H108" s="303"/>
      <c r="I108" s="303"/>
      <c r="J108" s="303"/>
      <c r="K108" s="303"/>
      <c r="L108" s="303"/>
      <c r="M108" s="303"/>
      <c r="N108" s="304"/>
      <c r="O108" s="304"/>
      <c r="P108" s="304" t="n">
        <v>44828</v>
      </c>
      <c r="Q108" s="319" t="s">
        <v>32</v>
      </c>
      <c r="R108" s="304" t="n">
        <v>44660</v>
      </c>
      <c r="S108" s="304" t="s">
        <v>67</v>
      </c>
      <c r="T108" s="305"/>
      <c r="U108" s="306"/>
      <c r="V108" s="306" t="n">
        <v>45045</v>
      </c>
      <c r="W108" s="345"/>
      <c r="X108" s="303"/>
      <c r="Y108" s="301" t="s">
        <v>585</v>
      </c>
      <c r="Z108" s="351" t="s">
        <v>588</v>
      </c>
    </row>
    <row r="109" customFormat="false" ht="12.75" hidden="false" customHeight="true" outlineLevel="0" collapsed="false">
      <c r="A109" s="265" t="s">
        <v>589</v>
      </c>
      <c r="B109" s="262" t="n">
        <v>106</v>
      </c>
      <c r="C109" s="262" t="s">
        <v>1594</v>
      </c>
      <c r="D109" s="262" t="s">
        <v>590</v>
      </c>
      <c r="E109" s="262" t="s">
        <v>591</v>
      </c>
      <c r="F109" s="265" t="s">
        <v>589</v>
      </c>
      <c r="G109" s="270" t="s">
        <v>592</v>
      </c>
      <c r="H109" s="270"/>
      <c r="I109" s="270"/>
      <c r="J109" s="270"/>
      <c r="K109" s="270"/>
      <c r="L109" s="270"/>
      <c r="M109" s="270"/>
      <c r="N109" s="309"/>
      <c r="O109" s="309"/>
      <c r="P109" s="309" t="n">
        <v>44835</v>
      </c>
      <c r="Q109" s="277" t="s">
        <v>67</v>
      </c>
      <c r="R109" s="309"/>
      <c r="S109" s="309"/>
      <c r="T109" s="310"/>
      <c r="U109" s="278"/>
      <c r="V109" s="278"/>
      <c r="W109" s="279"/>
      <c r="X109" s="270"/>
      <c r="Y109" s="265" t="s">
        <v>589</v>
      </c>
      <c r="Z109" s="348" t="s">
        <v>592</v>
      </c>
    </row>
    <row r="110" customFormat="false" ht="12.75" hidden="false" customHeight="true" outlineLevel="0" collapsed="false">
      <c r="A110" s="301" t="s">
        <v>1352</v>
      </c>
      <c r="B110" s="302" t="n">
        <v>107</v>
      </c>
      <c r="C110" s="302" t="s">
        <v>1594</v>
      </c>
      <c r="D110" s="302" t="s">
        <v>1789</v>
      </c>
      <c r="E110" s="302" t="s">
        <v>1354</v>
      </c>
      <c r="F110" s="301" t="s">
        <v>1352</v>
      </c>
      <c r="G110" s="303" t="s">
        <v>1790</v>
      </c>
      <c r="H110" s="302"/>
      <c r="I110" s="302"/>
      <c r="J110" s="302"/>
      <c r="K110" s="302"/>
      <c r="L110" s="302"/>
      <c r="M110" s="302"/>
      <c r="N110" s="304"/>
      <c r="O110" s="304"/>
      <c r="P110" s="304"/>
      <c r="Q110" s="304"/>
      <c r="R110" s="304"/>
      <c r="S110" s="304"/>
      <c r="T110" s="305"/>
      <c r="U110" s="344"/>
      <c r="V110" s="344" t="n">
        <v>45003</v>
      </c>
      <c r="W110" s="345" t="s">
        <v>60</v>
      </c>
      <c r="X110" s="302" t="s">
        <v>171</v>
      </c>
      <c r="Y110" s="301" t="s">
        <v>1352</v>
      </c>
      <c r="Z110" s="351" t="s">
        <v>1790</v>
      </c>
    </row>
    <row r="111" customFormat="false" ht="12.75" hidden="false" customHeight="true" outlineLevel="0" collapsed="false">
      <c r="A111" s="301" t="s">
        <v>1791</v>
      </c>
      <c r="B111" s="302" t="n">
        <v>108</v>
      </c>
      <c r="C111" s="302" t="s">
        <v>1594</v>
      </c>
      <c r="D111" s="355" t="s">
        <v>1792</v>
      </c>
      <c r="E111" s="302" t="s">
        <v>1793</v>
      </c>
      <c r="F111" s="301" t="s">
        <v>1791</v>
      </c>
      <c r="G111" s="302"/>
      <c r="H111" s="302"/>
      <c r="I111" s="302"/>
      <c r="J111" s="302"/>
      <c r="K111" s="302"/>
      <c r="L111" s="302"/>
      <c r="M111" s="302"/>
      <c r="N111" s="377" t="n">
        <v>44709</v>
      </c>
      <c r="O111" s="377" t="s">
        <v>49</v>
      </c>
      <c r="P111" s="304"/>
      <c r="Q111" s="304"/>
      <c r="R111" s="304"/>
      <c r="S111" s="304"/>
      <c r="T111" s="305"/>
      <c r="U111" s="344"/>
      <c r="V111" s="344" t="n">
        <v>44659</v>
      </c>
      <c r="W111" s="345"/>
      <c r="X111" s="302"/>
      <c r="Y111" s="301" t="s">
        <v>1791</v>
      </c>
      <c r="Z111" s="348"/>
    </row>
    <row r="112" customFormat="false" ht="12.75" hidden="false" customHeight="true" outlineLevel="0" collapsed="false">
      <c r="A112" s="290" t="s">
        <v>593</v>
      </c>
      <c r="B112" s="291" t="n">
        <v>109</v>
      </c>
      <c r="C112" s="291" t="s">
        <v>1594</v>
      </c>
      <c r="D112" s="291" t="s">
        <v>594</v>
      </c>
      <c r="E112" s="290" t="s">
        <v>595</v>
      </c>
      <c r="F112" s="290" t="s">
        <v>593</v>
      </c>
      <c r="G112" s="292" t="s">
        <v>596</v>
      </c>
      <c r="H112" s="291"/>
      <c r="I112" s="291"/>
      <c r="J112" s="291"/>
      <c r="K112" s="291"/>
      <c r="L112" s="291"/>
      <c r="M112" s="291"/>
      <c r="N112" s="293" t="s">
        <v>1794</v>
      </c>
      <c r="O112" s="293" t="s">
        <v>1795</v>
      </c>
      <c r="P112" s="314"/>
      <c r="Q112" s="314"/>
      <c r="R112" s="295"/>
      <c r="S112" s="295"/>
      <c r="T112" s="378"/>
      <c r="U112" s="349"/>
      <c r="V112" s="349"/>
      <c r="W112" s="298" t="s">
        <v>103</v>
      </c>
      <c r="X112" s="291" t="s">
        <v>171</v>
      </c>
      <c r="Y112" s="290" t="s">
        <v>593</v>
      </c>
      <c r="Z112" s="348" t="s">
        <v>596</v>
      </c>
    </row>
    <row r="113" customFormat="false" ht="12.75" hidden="false" customHeight="true" outlineLevel="0" collapsed="false">
      <c r="A113" s="265" t="s">
        <v>597</v>
      </c>
      <c r="B113" s="262" t="n">
        <v>110</v>
      </c>
      <c r="C113" s="379" t="s">
        <v>1594</v>
      </c>
      <c r="D113" s="262" t="s">
        <v>598</v>
      </c>
      <c r="E113" s="262" t="s">
        <v>599</v>
      </c>
      <c r="F113" s="265" t="s">
        <v>597</v>
      </c>
      <c r="G113" s="270" t="s">
        <v>600</v>
      </c>
      <c r="H113" s="262" t="s">
        <v>1672</v>
      </c>
      <c r="I113" s="369" t="s">
        <v>1796</v>
      </c>
      <c r="J113" s="270"/>
      <c r="K113" s="270"/>
      <c r="L113" s="270"/>
      <c r="M113" s="270"/>
      <c r="N113" s="309" t="n">
        <v>44828</v>
      </c>
      <c r="O113" s="277" t="s">
        <v>335</v>
      </c>
      <c r="P113" s="309"/>
      <c r="Q113" s="309"/>
      <c r="R113" s="309"/>
      <c r="S113" s="309"/>
      <c r="T113" s="310"/>
      <c r="U113" s="278" t="n">
        <v>44695</v>
      </c>
      <c r="V113" s="278"/>
      <c r="W113" s="279"/>
      <c r="X113" s="270"/>
      <c r="Y113" s="265" t="s">
        <v>597</v>
      </c>
      <c r="Z113" s="265" t="s">
        <v>600</v>
      </c>
    </row>
    <row r="114" customFormat="false" ht="12.75" hidden="false" customHeight="true" outlineLevel="0" collapsed="false">
      <c r="A114" s="359" t="s">
        <v>602</v>
      </c>
      <c r="B114" s="262" t="n">
        <v>111</v>
      </c>
      <c r="C114" s="379" t="s">
        <v>1594</v>
      </c>
      <c r="D114" s="262" t="s">
        <v>603</v>
      </c>
      <c r="E114" s="262" t="s">
        <v>604</v>
      </c>
      <c r="F114" s="376" t="s">
        <v>602</v>
      </c>
      <c r="G114" s="270" t="s">
        <v>605</v>
      </c>
      <c r="H114" s="262" t="s">
        <v>1592</v>
      </c>
      <c r="I114" s="369" t="s">
        <v>1797</v>
      </c>
      <c r="J114" s="270"/>
      <c r="K114" s="270"/>
      <c r="L114" s="270"/>
      <c r="M114" s="270"/>
      <c r="N114" s="362"/>
      <c r="O114" s="363"/>
      <c r="P114" s="362"/>
      <c r="Q114" s="362"/>
      <c r="R114" s="309" t="n">
        <v>44905</v>
      </c>
      <c r="S114" s="309" t="s">
        <v>49</v>
      </c>
      <c r="T114" s="310"/>
      <c r="U114" s="278" t="n">
        <v>44807</v>
      </c>
      <c r="V114" s="278"/>
      <c r="W114" s="279"/>
      <c r="X114" s="270"/>
      <c r="Y114" s="359" t="s">
        <v>602</v>
      </c>
      <c r="Z114" s="262"/>
    </row>
    <row r="115" customFormat="false" ht="12.75" hidden="false" customHeight="true" outlineLevel="0" collapsed="false">
      <c r="A115" s="320" t="s">
        <v>607</v>
      </c>
      <c r="B115" s="321" t="n">
        <v>112</v>
      </c>
      <c r="C115" s="321" t="s">
        <v>1590</v>
      </c>
      <c r="D115" s="321" t="s">
        <v>608</v>
      </c>
      <c r="E115" s="321" t="s">
        <v>609</v>
      </c>
      <c r="F115" s="320" t="s">
        <v>607</v>
      </c>
      <c r="G115" s="322" t="s">
        <v>610</v>
      </c>
      <c r="H115" s="321" t="s">
        <v>1592</v>
      </c>
      <c r="I115" s="321" t="s">
        <v>1798</v>
      </c>
      <c r="J115" s="321"/>
      <c r="K115" s="321"/>
      <c r="L115" s="321"/>
      <c r="M115" s="321"/>
      <c r="N115" s="323"/>
      <c r="O115" s="323"/>
      <c r="P115" s="323"/>
      <c r="Q115" s="323"/>
      <c r="R115" s="323"/>
      <c r="S115" s="323"/>
      <c r="T115" s="324"/>
      <c r="U115" s="325"/>
      <c r="V115" s="325"/>
      <c r="W115" s="326" t="s">
        <v>55</v>
      </c>
      <c r="X115" s="321" t="s">
        <v>1799</v>
      </c>
      <c r="Y115" s="320" t="s">
        <v>607</v>
      </c>
      <c r="Z115" s="348" t="s">
        <v>610</v>
      </c>
    </row>
    <row r="116" customFormat="false" ht="12.75" hidden="false" customHeight="true" outlineLevel="0" collapsed="false">
      <c r="A116" s="301" t="s">
        <v>1800</v>
      </c>
      <c r="B116" s="302" t="n">
        <v>113</v>
      </c>
      <c r="C116" s="302" t="s">
        <v>1590</v>
      </c>
      <c r="D116" s="302" t="s">
        <v>1801</v>
      </c>
      <c r="E116" s="302" t="s">
        <v>566</v>
      </c>
      <c r="F116" s="301" t="s">
        <v>1800</v>
      </c>
      <c r="G116" s="303" t="s">
        <v>1802</v>
      </c>
      <c r="H116" s="303"/>
      <c r="I116" s="303"/>
      <c r="J116" s="303"/>
      <c r="K116" s="303"/>
      <c r="L116" s="303"/>
      <c r="M116" s="303"/>
      <c r="N116" s="304"/>
      <c r="O116" s="304"/>
      <c r="P116" s="304" t="n">
        <v>44723</v>
      </c>
      <c r="Q116" s="304" t="s">
        <v>67</v>
      </c>
      <c r="R116" s="304" t="n">
        <v>44638</v>
      </c>
      <c r="S116" s="319" t="s">
        <v>67</v>
      </c>
      <c r="T116" s="380" t="s">
        <v>1803</v>
      </c>
      <c r="U116" s="306"/>
      <c r="V116" s="306" t="n">
        <v>44912</v>
      </c>
      <c r="W116" s="345"/>
      <c r="X116" s="303"/>
      <c r="Y116" s="301" t="s">
        <v>1800</v>
      </c>
      <c r="Z116" s="348" t="s">
        <v>1802</v>
      </c>
    </row>
    <row r="117" customFormat="false" ht="12.75" hidden="false" customHeight="true" outlineLevel="0" collapsed="false">
      <c r="A117" s="265" t="s">
        <v>613</v>
      </c>
      <c r="B117" s="262" t="n">
        <v>114</v>
      </c>
      <c r="C117" s="262" t="s">
        <v>1590</v>
      </c>
      <c r="D117" s="262" t="s">
        <v>614</v>
      </c>
      <c r="E117" s="262" t="s">
        <v>615</v>
      </c>
      <c r="F117" s="265" t="s">
        <v>613</v>
      </c>
      <c r="G117" s="270" t="s">
        <v>616</v>
      </c>
      <c r="H117" s="262" t="s">
        <v>1627</v>
      </c>
      <c r="I117" s="262" t="s">
        <v>1804</v>
      </c>
      <c r="J117" s="262" t="s">
        <v>1760</v>
      </c>
      <c r="K117" s="262" t="s">
        <v>1805</v>
      </c>
      <c r="L117" s="270"/>
      <c r="M117" s="270"/>
      <c r="N117" s="309"/>
      <c r="O117" s="309"/>
      <c r="P117" s="309" t="n">
        <v>44582</v>
      </c>
      <c r="Q117" s="277" t="s">
        <v>32</v>
      </c>
      <c r="R117" s="309" t="n">
        <v>44800</v>
      </c>
      <c r="S117" s="309" t="s">
        <v>126</v>
      </c>
      <c r="T117" s="310"/>
      <c r="U117" s="278"/>
      <c r="V117" s="278"/>
      <c r="W117" s="279"/>
      <c r="X117" s="270"/>
      <c r="Y117" s="265" t="s">
        <v>613</v>
      </c>
      <c r="Z117" s="348" t="s">
        <v>619</v>
      </c>
    </row>
    <row r="118" customFormat="false" ht="12.75" hidden="false" customHeight="true" outlineLevel="0" collapsed="false">
      <c r="A118" s="320" t="s">
        <v>620</v>
      </c>
      <c r="B118" s="321" t="n">
        <v>115</v>
      </c>
      <c r="C118" s="321" t="s">
        <v>1590</v>
      </c>
      <c r="D118" s="321" t="s">
        <v>621</v>
      </c>
      <c r="E118" s="321" t="s">
        <v>622</v>
      </c>
      <c r="F118" s="320" t="s">
        <v>620</v>
      </c>
      <c r="G118" s="322" t="s">
        <v>623</v>
      </c>
      <c r="H118" s="321" t="s">
        <v>1764</v>
      </c>
      <c r="I118" s="321" t="s">
        <v>1806</v>
      </c>
      <c r="J118" s="321"/>
      <c r="K118" s="321"/>
      <c r="L118" s="321"/>
      <c r="M118" s="321"/>
      <c r="N118" s="323"/>
      <c r="O118" s="323"/>
      <c r="P118" s="323"/>
      <c r="Q118" s="323"/>
      <c r="R118" s="323"/>
      <c r="S118" s="323"/>
      <c r="T118" s="324"/>
      <c r="U118" s="325"/>
      <c r="V118" s="325"/>
      <c r="W118" s="326" t="s">
        <v>55</v>
      </c>
      <c r="X118" s="321" t="s">
        <v>1807</v>
      </c>
      <c r="Y118" s="320" t="s">
        <v>620</v>
      </c>
      <c r="Z118" s="348" t="s">
        <v>623</v>
      </c>
    </row>
    <row r="119" customFormat="false" ht="12.75" hidden="false" customHeight="true" outlineLevel="0" collapsed="false">
      <c r="A119" s="320" t="s">
        <v>1372</v>
      </c>
      <c r="B119" s="321" t="n">
        <v>116</v>
      </c>
      <c r="C119" s="321" t="s">
        <v>1590</v>
      </c>
      <c r="D119" s="321" t="s">
        <v>1808</v>
      </c>
      <c r="E119" s="321" t="s">
        <v>1374</v>
      </c>
      <c r="F119" s="320" t="s">
        <v>1372</v>
      </c>
      <c r="G119" s="322" t="s">
        <v>1809</v>
      </c>
      <c r="H119" s="321" t="s">
        <v>1760</v>
      </c>
      <c r="I119" s="321" t="s">
        <v>1810</v>
      </c>
      <c r="J119" s="321"/>
      <c r="K119" s="321"/>
      <c r="L119" s="321"/>
      <c r="M119" s="321"/>
      <c r="N119" s="323"/>
      <c r="O119" s="323"/>
      <c r="P119" s="323"/>
      <c r="Q119" s="323"/>
      <c r="R119" s="323"/>
      <c r="S119" s="323"/>
      <c r="T119" s="324"/>
      <c r="U119" s="325"/>
      <c r="V119" s="325" t="n">
        <v>45003</v>
      </c>
      <c r="W119" s="326" t="s">
        <v>55</v>
      </c>
      <c r="X119" s="321" t="s">
        <v>1811</v>
      </c>
      <c r="Y119" s="320" t="s">
        <v>1372</v>
      </c>
      <c r="Z119" s="348" t="s">
        <v>1809</v>
      </c>
    </row>
    <row r="120" customFormat="false" ht="12.75" hidden="false" customHeight="true" outlineLevel="0" collapsed="false">
      <c r="A120" s="320" t="s">
        <v>626</v>
      </c>
      <c r="B120" s="321" t="n">
        <v>117</v>
      </c>
      <c r="C120" s="321" t="s">
        <v>1590</v>
      </c>
      <c r="D120" s="321" t="s">
        <v>627</v>
      </c>
      <c r="E120" s="321" t="s">
        <v>628</v>
      </c>
      <c r="F120" s="320" t="s">
        <v>626</v>
      </c>
      <c r="G120" s="322" t="s">
        <v>629</v>
      </c>
      <c r="H120" s="321" t="s">
        <v>1603</v>
      </c>
      <c r="I120" s="321" t="s">
        <v>1812</v>
      </c>
      <c r="J120" s="321" t="s">
        <v>1764</v>
      </c>
      <c r="K120" s="321" t="s">
        <v>1813</v>
      </c>
      <c r="L120" s="321"/>
      <c r="M120" s="321"/>
      <c r="N120" s="323"/>
      <c r="O120" s="323"/>
      <c r="P120" s="323"/>
      <c r="Q120" s="323"/>
      <c r="R120" s="323"/>
      <c r="S120" s="323"/>
      <c r="T120" s="324"/>
      <c r="U120" s="325"/>
      <c r="V120" s="325"/>
      <c r="W120" s="326" t="s">
        <v>55</v>
      </c>
      <c r="X120" s="321" t="s">
        <v>1814</v>
      </c>
      <c r="Y120" s="320" t="s">
        <v>626</v>
      </c>
      <c r="Z120" s="348" t="s">
        <v>629</v>
      </c>
    </row>
    <row r="121" customFormat="false" ht="12.75" hidden="false" customHeight="true" outlineLevel="0" collapsed="false">
      <c r="A121" s="320" t="s">
        <v>1377</v>
      </c>
      <c r="B121" s="321" t="n">
        <v>118</v>
      </c>
      <c r="C121" s="321" t="s">
        <v>1590</v>
      </c>
      <c r="D121" s="321" t="s">
        <v>1815</v>
      </c>
      <c r="E121" s="321" t="s">
        <v>1379</v>
      </c>
      <c r="F121" s="320" t="s">
        <v>1377</v>
      </c>
      <c r="G121" s="322" t="s">
        <v>1816</v>
      </c>
      <c r="H121" s="321" t="s">
        <v>1817</v>
      </c>
      <c r="I121" s="321" t="s">
        <v>1818</v>
      </c>
      <c r="J121" s="321"/>
      <c r="K121" s="321"/>
      <c r="L121" s="321"/>
      <c r="M121" s="321"/>
      <c r="N121" s="323"/>
      <c r="O121" s="323"/>
      <c r="P121" s="323"/>
      <c r="Q121" s="323"/>
      <c r="R121" s="323"/>
      <c r="S121" s="323"/>
      <c r="T121" s="324"/>
      <c r="U121" s="325"/>
      <c r="V121" s="325"/>
      <c r="W121" s="326" t="s">
        <v>510</v>
      </c>
      <c r="X121" s="321" t="s">
        <v>1819</v>
      </c>
      <c r="Y121" s="320" t="s">
        <v>1377</v>
      </c>
      <c r="Z121" s="348" t="s">
        <v>1816</v>
      </c>
    </row>
    <row r="122" customFormat="false" ht="12.75" hidden="false" customHeight="true" outlineLevel="0" collapsed="false">
      <c r="A122" s="311" t="s">
        <v>633</v>
      </c>
      <c r="B122" s="312" t="n">
        <v>119</v>
      </c>
      <c r="C122" s="312" t="s">
        <v>1590</v>
      </c>
      <c r="D122" s="312" t="s">
        <v>634</v>
      </c>
      <c r="E122" s="312" t="s">
        <v>635</v>
      </c>
      <c r="F122" s="311" t="s">
        <v>633</v>
      </c>
      <c r="G122" s="313" t="s">
        <v>636</v>
      </c>
      <c r="H122" s="312" t="s">
        <v>1592</v>
      </c>
      <c r="I122" s="312" t="s">
        <v>1820</v>
      </c>
      <c r="J122" s="312"/>
      <c r="K122" s="312"/>
      <c r="L122" s="312"/>
      <c r="M122" s="312"/>
      <c r="N122" s="314"/>
      <c r="O122" s="314"/>
      <c r="P122" s="314"/>
      <c r="Q122" s="314"/>
      <c r="R122" s="315"/>
      <c r="S122" s="315"/>
      <c r="T122" s="316"/>
      <c r="U122" s="317"/>
      <c r="V122" s="317"/>
      <c r="W122" s="318" t="s">
        <v>60</v>
      </c>
      <c r="X122" s="312" t="s">
        <v>638</v>
      </c>
      <c r="Y122" s="311" t="s">
        <v>633</v>
      </c>
      <c r="Z122" s="348" t="s">
        <v>636</v>
      </c>
    </row>
    <row r="123" customFormat="false" ht="12.75" hidden="false" customHeight="true" outlineLevel="0" collapsed="false">
      <c r="A123" s="265" t="s">
        <v>639</v>
      </c>
      <c r="B123" s="262" t="n">
        <v>120</v>
      </c>
      <c r="C123" s="262" t="s">
        <v>1590</v>
      </c>
      <c r="D123" s="262" t="s">
        <v>640</v>
      </c>
      <c r="E123" s="262" t="s">
        <v>641</v>
      </c>
      <c r="F123" s="265" t="s">
        <v>642</v>
      </c>
      <c r="G123" s="270" t="s">
        <v>643</v>
      </c>
      <c r="H123" s="270"/>
      <c r="I123" s="270"/>
      <c r="J123" s="270"/>
      <c r="K123" s="270"/>
      <c r="L123" s="270"/>
      <c r="M123" s="270"/>
      <c r="N123" s="309"/>
      <c r="O123" s="309"/>
      <c r="P123" s="309" t="n">
        <v>44667</v>
      </c>
      <c r="Q123" s="309" t="s">
        <v>32</v>
      </c>
      <c r="R123" s="309" t="n">
        <v>44568</v>
      </c>
      <c r="S123" s="277" t="s">
        <v>49</v>
      </c>
      <c r="T123" s="310"/>
      <c r="U123" s="278"/>
      <c r="V123" s="278"/>
      <c r="W123" s="279"/>
      <c r="X123" s="270"/>
      <c r="Y123" s="265" t="s">
        <v>639</v>
      </c>
      <c r="Z123" s="381" t="s">
        <v>643</v>
      </c>
    </row>
    <row r="124" customFormat="false" ht="12.75" hidden="false" customHeight="true" outlineLevel="0" collapsed="false">
      <c r="A124" s="265" t="s">
        <v>644</v>
      </c>
      <c r="B124" s="262" t="n">
        <v>121</v>
      </c>
      <c r="C124" s="262" t="s">
        <v>1590</v>
      </c>
      <c r="D124" s="262" t="s">
        <v>645</v>
      </c>
      <c r="E124" s="262" t="s">
        <v>646</v>
      </c>
      <c r="F124" s="265" t="s">
        <v>644</v>
      </c>
      <c r="G124" s="270" t="s">
        <v>647</v>
      </c>
      <c r="H124" s="270"/>
      <c r="I124" s="270"/>
      <c r="J124" s="270"/>
      <c r="K124" s="270"/>
      <c r="L124" s="270"/>
      <c r="M124" s="270"/>
      <c r="N124" s="309" t="n">
        <v>44821</v>
      </c>
      <c r="O124" s="309" t="s">
        <v>49</v>
      </c>
      <c r="P124" s="309"/>
      <c r="Q124" s="309"/>
      <c r="R124" s="309" t="n">
        <v>44660</v>
      </c>
      <c r="S124" s="309" t="s">
        <v>49</v>
      </c>
      <c r="T124" s="310"/>
      <c r="U124" s="278"/>
      <c r="V124" s="278"/>
      <c r="W124" s="279"/>
      <c r="X124" s="270"/>
      <c r="Y124" s="265" t="s">
        <v>644</v>
      </c>
      <c r="Z124" s="348" t="s">
        <v>647</v>
      </c>
    </row>
    <row r="125" customFormat="false" ht="12.75" hidden="false" customHeight="true" outlineLevel="0" collapsed="false">
      <c r="A125" s="301" t="s">
        <v>1821</v>
      </c>
      <c r="B125" s="302" t="n">
        <v>122</v>
      </c>
      <c r="C125" s="302" t="s">
        <v>1590</v>
      </c>
      <c r="D125" s="302" t="s">
        <v>1822</v>
      </c>
      <c r="E125" s="302" t="s">
        <v>1823</v>
      </c>
      <c r="F125" s="301" t="s">
        <v>1821</v>
      </c>
      <c r="G125" s="303" t="s">
        <v>1824</v>
      </c>
      <c r="H125" s="303"/>
      <c r="I125" s="303"/>
      <c r="J125" s="303"/>
      <c r="K125" s="303"/>
      <c r="L125" s="303"/>
      <c r="M125" s="303"/>
      <c r="N125" s="304"/>
      <c r="O125" s="304"/>
      <c r="P125" s="304" t="n">
        <v>44575</v>
      </c>
      <c r="Q125" s="319" t="s">
        <v>67</v>
      </c>
      <c r="R125" s="304" t="n">
        <v>44793</v>
      </c>
      <c r="S125" s="304" t="s">
        <v>67</v>
      </c>
      <c r="T125" s="305"/>
      <c r="U125" s="306"/>
      <c r="V125" s="306" t="n">
        <v>44947</v>
      </c>
      <c r="W125" s="345"/>
      <c r="X125" s="303"/>
      <c r="Y125" s="301" t="s">
        <v>1821</v>
      </c>
      <c r="Z125" s="348" t="s">
        <v>1825</v>
      </c>
    </row>
    <row r="126" customFormat="false" ht="12.75" hidden="false" customHeight="true" outlineLevel="0" collapsed="false">
      <c r="A126" s="328" t="s">
        <v>648</v>
      </c>
      <c r="B126" s="329" t="n">
        <v>123</v>
      </c>
      <c r="C126" s="329" t="s">
        <v>1590</v>
      </c>
      <c r="D126" s="329" t="s">
        <v>649</v>
      </c>
      <c r="E126" s="329" t="s">
        <v>429</v>
      </c>
      <c r="F126" s="328" t="s">
        <v>648</v>
      </c>
      <c r="G126" s="330" t="s">
        <v>650</v>
      </c>
      <c r="H126" s="329"/>
      <c r="I126" s="329"/>
      <c r="J126" s="329"/>
      <c r="K126" s="329"/>
      <c r="L126" s="329"/>
      <c r="M126" s="329"/>
      <c r="N126" s="314"/>
      <c r="O126" s="314"/>
      <c r="P126" s="314"/>
      <c r="Q126" s="314"/>
      <c r="R126" s="331"/>
      <c r="S126" s="331"/>
      <c r="T126" s="352"/>
      <c r="U126" s="333"/>
      <c r="V126" s="333"/>
      <c r="W126" s="334" t="s">
        <v>152</v>
      </c>
      <c r="X126" s="329" t="s">
        <v>651</v>
      </c>
      <c r="Y126" s="328" t="s">
        <v>648</v>
      </c>
      <c r="Z126" s="350" t="s">
        <v>650</v>
      </c>
    </row>
    <row r="127" customFormat="false" ht="12.75" hidden="false" customHeight="true" outlineLevel="0" collapsed="false">
      <c r="A127" s="265" t="s">
        <v>652</v>
      </c>
      <c r="B127" s="262" t="n">
        <v>124</v>
      </c>
      <c r="C127" s="262" t="s">
        <v>1590</v>
      </c>
      <c r="D127" s="262" t="s">
        <v>653</v>
      </c>
      <c r="E127" s="262" t="s">
        <v>654</v>
      </c>
      <c r="F127" s="265" t="s">
        <v>655</v>
      </c>
      <c r="G127" s="270" t="s">
        <v>656</v>
      </c>
      <c r="H127" s="270"/>
      <c r="I127" s="270"/>
      <c r="J127" s="270"/>
      <c r="K127" s="270"/>
      <c r="L127" s="270"/>
      <c r="M127" s="270"/>
      <c r="N127" s="309" t="n">
        <v>44688</v>
      </c>
      <c r="O127" s="309" t="s">
        <v>335</v>
      </c>
      <c r="P127" s="309"/>
      <c r="Q127" s="309"/>
      <c r="R127" s="309" t="n">
        <v>44589</v>
      </c>
      <c r="S127" s="277" t="s">
        <v>67</v>
      </c>
      <c r="T127" s="310" t="s">
        <v>1826</v>
      </c>
      <c r="U127" s="278"/>
      <c r="V127" s="278"/>
      <c r="W127" s="279"/>
      <c r="X127" s="270"/>
      <c r="Y127" s="265" t="s">
        <v>652</v>
      </c>
      <c r="Z127" s="348" t="s">
        <v>656</v>
      </c>
    </row>
    <row r="128" customFormat="false" ht="12.75" hidden="false" customHeight="true" outlineLevel="0" collapsed="false">
      <c r="A128" s="301" t="s">
        <v>1827</v>
      </c>
      <c r="B128" s="302" t="n">
        <v>125</v>
      </c>
      <c r="C128" s="302" t="s">
        <v>1590</v>
      </c>
      <c r="D128" s="302" t="s">
        <v>1828</v>
      </c>
      <c r="E128" s="302" t="s">
        <v>1829</v>
      </c>
      <c r="F128" s="301" t="s">
        <v>1827</v>
      </c>
      <c r="G128" s="303" t="s">
        <v>1830</v>
      </c>
      <c r="H128" s="302" t="s">
        <v>1702</v>
      </c>
      <c r="I128" s="302" t="s">
        <v>1831</v>
      </c>
      <c r="J128" s="303"/>
      <c r="K128" s="303"/>
      <c r="L128" s="303"/>
      <c r="M128" s="303"/>
      <c r="N128" s="304" t="n">
        <v>44898</v>
      </c>
      <c r="O128" s="304" t="s">
        <v>335</v>
      </c>
      <c r="P128" s="382"/>
      <c r="Q128" s="304"/>
      <c r="R128" s="304" t="n">
        <v>44702</v>
      </c>
      <c r="S128" s="304" t="s">
        <v>126</v>
      </c>
      <c r="T128" s="305"/>
      <c r="U128" s="306"/>
      <c r="V128" s="306" t="n">
        <v>44968</v>
      </c>
      <c r="W128" s="345"/>
      <c r="X128" s="303"/>
      <c r="Y128" s="301" t="s">
        <v>1827</v>
      </c>
      <c r="Z128" s="350" t="s">
        <v>1830</v>
      </c>
    </row>
    <row r="129" customFormat="false" ht="12.75" hidden="false" customHeight="true" outlineLevel="0" collapsed="false">
      <c r="A129" s="265" t="s">
        <v>657</v>
      </c>
      <c r="B129" s="262" t="n">
        <v>126</v>
      </c>
      <c r="C129" s="262" t="s">
        <v>1590</v>
      </c>
      <c r="D129" s="262" t="s">
        <v>658</v>
      </c>
      <c r="E129" s="262" t="s">
        <v>659</v>
      </c>
      <c r="F129" s="265" t="s">
        <v>657</v>
      </c>
      <c r="G129" s="270" t="s">
        <v>660</v>
      </c>
      <c r="H129" s="270"/>
      <c r="I129" s="270"/>
      <c r="J129" s="270"/>
      <c r="K129" s="270"/>
      <c r="L129" s="270"/>
      <c r="M129" s="270"/>
      <c r="N129" s="309" t="n">
        <v>44842</v>
      </c>
      <c r="O129" s="277" t="s">
        <v>49</v>
      </c>
      <c r="P129" s="309"/>
      <c r="Q129" s="309"/>
      <c r="R129" s="309"/>
      <c r="S129" s="309"/>
      <c r="T129" s="310"/>
      <c r="U129" s="278"/>
      <c r="V129" s="278"/>
      <c r="W129" s="279"/>
      <c r="X129" s="270"/>
      <c r="Y129" s="265" t="s">
        <v>657</v>
      </c>
      <c r="Z129" s="348" t="s">
        <v>660</v>
      </c>
    </row>
    <row r="130" customFormat="false" ht="12.75" hidden="false" customHeight="true" outlineLevel="0" collapsed="false">
      <c r="A130" s="301" t="s">
        <v>1832</v>
      </c>
      <c r="B130" s="302" t="n">
        <v>127</v>
      </c>
      <c r="C130" s="302" t="s">
        <v>1590</v>
      </c>
      <c r="D130" s="355" t="s">
        <v>1833</v>
      </c>
      <c r="E130" s="302" t="s">
        <v>1578</v>
      </c>
      <c r="F130" s="301" t="s">
        <v>1832</v>
      </c>
      <c r="G130" s="301" t="s">
        <v>1834</v>
      </c>
      <c r="H130" s="302" t="s">
        <v>1702</v>
      </c>
      <c r="I130" s="302" t="s">
        <v>1835</v>
      </c>
      <c r="J130" s="302"/>
      <c r="K130" s="302"/>
      <c r="L130" s="302"/>
      <c r="M130" s="302"/>
      <c r="N130" s="304"/>
      <c r="O130" s="304"/>
      <c r="P130" s="304"/>
      <c r="Q130" s="304"/>
      <c r="R130" s="304"/>
      <c r="S130" s="304"/>
      <c r="T130" s="375"/>
      <c r="U130" s="344"/>
      <c r="V130" s="344" t="n">
        <v>44709</v>
      </c>
      <c r="W130" s="345"/>
      <c r="X130" s="302"/>
      <c r="Y130" s="301" t="s">
        <v>1832</v>
      </c>
      <c r="Z130" s="353" t="s">
        <v>1834</v>
      </c>
    </row>
    <row r="131" customFormat="false" ht="12.75" hidden="false" customHeight="true" outlineLevel="0" collapsed="false">
      <c r="A131" s="265" t="s">
        <v>670</v>
      </c>
      <c r="B131" s="262" t="n">
        <v>128</v>
      </c>
      <c r="C131" s="262" t="s">
        <v>1603</v>
      </c>
      <c r="D131" s="262" t="s">
        <v>671</v>
      </c>
      <c r="E131" s="262" t="s">
        <v>672</v>
      </c>
      <c r="F131" s="265" t="s">
        <v>670</v>
      </c>
      <c r="G131" s="270" t="s">
        <v>673</v>
      </c>
      <c r="H131" s="270"/>
      <c r="I131" s="270"/>
      <c r="J131" s="270"/>
      <c r="K131" s="270"/>
      <c r="L131" s="270"/>
      <c r="M131" s="270"/>
      <c r="N131" s="309" t="n">
        <v>44723</v>
      </c>
      <c r="O131" s="277" t="s">
        <v>335</v>
      </c>
      <c r="P131" s="309"/>
      <c r="Q131" s="309"/>
      <c r="R131" s="309" t="n">
        <v>44638</v>
      </c>
      <c r="S131" s="277" t="s">
        <v>126</v>
      </c>
      <c r="T131" s="310"/>
      <c r="U131" s="278"/>
      <c r="V131" s="278"/>
      <c r="W131" s="279"/>
      <c r="X131" s="270"/>
      <c r="Y131" s="265" t="s">
        <v>670</v>
      </c>
      <c r="Z131" s="265" t="s">
        <v>673</v>
      </c>
    </row>
    <row r="132" customFormat="false" ht="12.75" hidden="false" customHeight="true" outlineLevel="0" collapsed="false">
      <c r="A132" s="301" t="s">
        <v>1836</v>
      </c>
      <c r="B132" s="302" t="n">
        <v>129</v>
      </c>
      <c r="C132" s="302" t="s">
        <v>1603</v>
      </c>
      <c r="D132" s="355" t="s">
        <v>1837</v>
      </c>
      <c r="E132" s="301" t="s">
        <v>1838</v>
      </c>
      <c r="F132" s="301" t="s">
        <v>1836</v>
      </c>
      <c r="G132" s="303" t="s">
        <v>1839</v>
      </c>
      <c r="H132" s="302" t="s">
        <v>1584</v>
      </c>
      <c r="I132" s="302" t="s">
        <v>1840</v>
      </c>
      <c r="J132" s="303"/>
      <c r="K132" s="303"/>
      <c r="L132" s="303"/>
      <c r="M132" s="303"/>
      <c r="N132" s="304"/>
      <c r="O132" s="304"/>
      <c r="P132" s="304"/>
      <c r="Q132" s="304"/>
      <c r="R132" s="377" t="n">
        <v>44793</v>
      </c>
      <c r="S132" s="377" t="s">
        <v>126</v>
      </c>
      <c r="T132" s="372" t="s">
        <v>1841</v>
      </c>
      <c r="U132" s="306"/>
      <c r="V132" s="306" t="n">
        <v>44702</v>
      </c>
      <c r="W132" s="345"/>
      <c r="X132" s="303"/>
      <c r="Y132" s="301" t="s">
        <v>1836</v>
      </c>
      <c r="Z132" s="265" t="s">
        <v>1839</v>
      </c>
    </row>
    <row r="133" customFormat="false" ht="12.75" hidden="false" customHeight="true" outlineLevel="0" collapsed="false">
      <c r="A133" s="301" t="s">
        <v>1842</v>
      </c>
      <c r="B133" s="302" t="n">
        <v>130</v>
      </c>
      <c r="C133" s="302" t="s">
        <v>1603</v>
      </c>
      <c r="D133" s="355" t="s">
        <v>1843</v>
      </c>
      <c r="E133" s="302" t="s">
        <v>1844</v>
      </c>
      <c r="F133" s="301" t="s">
        <v>1842</v>
      </c>
      <c r="G133" s="303" t="s">
        <v>1845</v>
      </c>
      <c r="H133" s="302" t="s">
        <v>1817</v>
      </c>
      <c r="I133" s="302" t="s">
        <v>1846</v>
      </c>
      <c r="J133" s="302" t="s">
        <v>1847</v>
      </c>
      <c r="K133" s="302" t="s">
        <v>1848</v>
      </c>
      <c r="L133" s="303"/>
      <c r="M133" s="303"/>
      <c r="N133" s="304"/>
      <c r="O133" s="304"/>
      <c r="P133" s="304"/>
      <c r="Q133" s="304"/>
      <c r="R133" s="304" t="n">
        <v>44800</v>
      </c>
      <c r="S133" s="319" t="s">
        <v>49</v>
      </c>
      <c r="T133" s="305"/>
      <c r="U133" s="306"/>
      <c r="V133" s="306" t="n">
        <v>44828</v>
      </c>
      <c r="W133" s="345"/>
      <c r="X133" s="303"/>
      <c r="Y133" s="301" t="s">
        <v>1842</v>
      </c>
      <c r="Z133" s="265" t="s">
        <v>1849</v>
      </c>
    </row>
    <row r="134" customFormat="false" ht="12.75" hidden="false" customHeight="true" outlineLevel="0" collapsed="false">
      <c r="A134" s="290" t="s">
        <v>674</v>
      </c>
      <c r="B134" s="291" t="n">
        <v>131</v>
      </c>
      <c r="C134" s="291" t="s">
        <v>1603</v>
      </c>
      <c r="D134" s="291" t="s">
        <v>675</v>
      </c>
      <c r="E134" s="291" t="s">
        <v>676</v>
      </c>
      <c r="F134" s="290" t="s">
        <v>674</v>
      </c>
      <c r="G134" s="292" t="s">
        <v>677</v>
      </c>
      <c r="H134" s="291" t="s">
        <v>1590</v>
      </c>
      <c r="I134" s="291" t="s">
        <v>1850</v>
      </c>
      <c r="J134" s="291"/>
      <c r="K134" s="291"/>
      <c r="L134" s="291"/>
      <c r="M134" s="291"/>
      <c r="N134" s="293" t="s">
        <v>1851</v>
      </c>
      <c r="O134" s="293" t="s">
        <v>1852</v>
      </c>
      <c r="P134" s="314"/>
      <c r="Q134" s="314"/>
      <c r="R134" s="295"/>
      <c r="S134" s="295"/>
      <c r="T134" s="346"/>
      <c r="U134" s="349"/>
      <c r="V134" s="349"/>
      <c r="W134" s="298" t="s">
        <v>103</v>
      </c>
      <c r="X134" s="291" t="s">
        <v>651</v>
      </c>
      <c r="Y134" s="290" t="s">
        <v>674</v>
      </c>
      <c r="Z134" s="265" t="s">
        <v>677</v>
      </c>
    </row>
    <row r="135" customFormat="false" ht="12.75" hidden="false" customHeight="true" outlineLevel="0" collapsed="false">
      <c r="A135" s="301" t="s">
        <v>1393</v>
      </c>
      <c r="B135" s="302" t="n">
        <v>132</v>
      </c>
      <c r="C135" s="302" t="s">
        <v>1603</v>
      </c>
      <c r="D135" s="302" t="s">
        <v>1853</v>
      </c>
      <c r="E135" s="302" t="s">
        <v>1395</v>
      </c>
      <c r="F135" s="301" t="s">
        <v>1393</v>
      </c>
      <c r="G135" s="303" t="s">
        <v>1854</v>
      </c>
      <c r="H135" s="302"/>
      <c r="I135" s="302"/>
      <c r="J135" s="302"/>
      <c r="K135" s="302"/>
      <c r="L135" s="302"/>
      <c r="M135" s="302"/>
      <c r="N135" s="304"/>
      <c r="O135" s="304"/>
      <c r="P135" s="304"/>
      <c r="Q135" s="304"/>
      <c r="R135" s="304"/>
      <c r="S135" s="304"/>
      <c r="T135" s="305"/>
      <c r="U135" s="344"/>
      <c r="V135" s="344" t="n">
        <v>45003</v>
      </c>
      <c r="W135" s="345" t="s">
        <v>152</v>
      </c>
      <c r="X135" s="302" t="s">
        <v>1855</v>
      </c>
      <c r="Y135" s="301" t="s">
        <v>1393</v>
      </c>
      <c r="Z135" s="301" t="s">
        <v>1854</v>
      </c>
    </row>
    <row r="136" customFormat="false" ht="12.75" hidden="false" customHeight="true" outlineLevel="0" collapsed="false">
      <c r="A136" s="265" t="s">
        <v>679</v>
      </c>
      <c r="B136" s="262" t="n">
        <v>133</v>
      </c>
      <c r="C136" s="262" t="s">
        <v>1603</v>
      </c>
      <c r="D136" s="262" t="s">
        <v>680</v>
      </c>
      <c r="E136" s="262" t="s">
        <v>681</v>
      </c>
      <c r="F136" s="265" t="s">
        <v>679</v>
      </c>
      <c r="G136" s="270" t="s">
        <v>682</v>
      </c>
      <c r="H136" s="270"/>
      <c r="I136" s="270"/>
      <c r="J136" s="270"/>
      <c r="K136" s="270"/>
      <c r="L136" s="270"/>
      <c r="M136" s="270"/>
      <c r="N136" s="309" t="n">
        <v>44702</v>
      </c>
      <c r="O136" s="309" t="s">
        <v>335</v>
      </c>
      <c r="P136" s="309"/>
      <c r="Q136" s="309"/>
      <c r="R136" s="309" t="n">
        <v>44617</v>
      </c>
      <c r="S136" s="277" t="s">
        <v>49</v>
      </c>
      <c r="T136" s="310"/>
      <c r="U136" s="278"/>
      <c r="V136" s="278"/>
      <c r="W136" s="279"/>
      <c r="X136" s="270"/>
      <c r="Y136" s="265" t="s">
        <v>679</v>
      </c>
      <c r="Z136" s="265" t="s">
        <v>682</v>
      </c>
    </row>
    <row r="137" customFormat="false" ht="12.75" hidden="false" customHeight="true" outlineLevel="0" collapsed="false">
      <c r="A137" s="301" t="s">
        <v>1856</v>
      </c>
      <c r="B137" s="302" t="n">
        <v>134</v>
      </c>
      <c r="C137" s="302" t="s">
        <v>1603</v>
      </c>
      <c r="D137" s="355" t="s">
        <v>1857</v>
      </c>
      <c r="E137" s="302" t="s">
        <v>1858</v>
      </c>
      <c r="F137" s="301" t="s">
        <v>1856</v>
      </c>
      <c r="G137" s="303" t="s">
        <v>1859</v>
      </c>
      <c r="H137" s="302" t="s">
        <v>1702</v>
      </c>
      <c r="I137" s="302" t="s">
        <v>1860</v>
      </c>
      <c r="J137" s="303"/>
      <c r="K137" s="303"/>
      <c r="L137" s="303"/>
      <c r="M137" s="303"/>
      <c r="N137" s="304"/>
      <c r="O137" s="304"/>
      <c r="P137" s="304"/>
      <c r="Q137" s="304"/>
      <c r="R137" s="304"/>
      <c r="S137" s="304"/>
      <c r="T137" s="305"/>
      <c r="U137" s="344"/>
      <c r="V137" s="344" t="n">
        <v>44702</v>
      </c>
      <c r="W137" s="345"/>
      <c r="X137" s="303"/>
      <c r="Y137" s="301" t="s">
        <v>1856</v>
      </c>
      <c r="Z137" s="265" t="s">
        <v>1859</v>
      </c>
    </row>
    <row r="138" customFormat="false" ht="12.75" hidden="false" customHeight="true" outlineLevel="0" collapsed="false">
      <c r="A138" s="301" t="s">
        <v>1861</v>
      </c>
      <c r="B138" s="302" t="n">
        <v>135</v>
      </c>
      <c r="C138" s="302" t="s">
        <v>1603</v>
      </c>
      <c r="D138" s="355" t="s">
        <v>1862</v>
      </c>
      <c r="E138" s="302" t="s">
        <v>333</v>
      </c>
      <c r="F138" s="301" t="s">
        <v>1861</v>
      </c>
      <c r="G138" s="303" t="s">
        <v>1863</v>
      </c>
      <c r="H138" s="302" t="s">
        <v>1672</v>
      </c>
      <c r="I138" s="302" t="s">
        <v>1864</v>
      </c>
      <c r="J138" s="302" t="s">
        <v>1702</v>
      </c>
      <c r="K138" s="302" t="s">
        <v>1865</v>
      </c>
      <c r="L138" s="302"/>
      <c r="M138" s="302"/>
      <c r="N138" s="304"/>
      <c r="O138" s="304"/>
      <c r="P138" s="304"/>
      <c r="Q138" s="304"/>
      <c r="R138" s="319" t="s">
        <v>1866</v>
      </c>
      <c r="S138" s="304" t="s">
        <v>32</v>
      </c>
      <c r="T138" s="305" t="s">
        <v>1867</v>
      </c>
      <c r="U138" s="383"/>
      <c r="V138" s="383" t="n">
        <v>44709</v>
      </c>
      <c r="W138" s="384" t="s">
        <v>240</v>
      </c>
      <c r="X138" s="302" t="s">
        <v>903</v>
      </c>
      <c r="Y138" s="301" t="s">
        <v>1861</v>
      </c>
      <c r="Z138" s="265" t="s">
        <v>1863</v>
      </c>
    </row>
    <row r="139" customFormat="false" ht="12.75" hidden="false" customHeight="true" outlineLevel="0" collapsed="false">
      <c r="A139" s="301" t="s">
        <v>1404</v>
      </c>
      <c r="B139" s="302" t="n">
        <v>136</v>
      </c>
      <c r="C139" s="302" t="s">
        <v>1603</v>
      </c>
      <c r="D139" s="302" t="s">
        <v>1868</v>
      </c>
      <c r="E139" s="302" t="s">
        <v>1406</v>
      </c>
      <c r="F139" s="301" t="s">
        <v>1404</v>
      </c>
      <c r="G139" s="303" t="s">
        <v>1869</v>
      </c>
      <c r="H139" s="303"/>
      <c r="I139" s="303"/>
      <c r="J139" s="303"/>
      <c r="K139" s="303"/>
      <c r="L139" s="303"/>
      <c r="M139" s="303"/>
      <c r="N139" s="304" t="n">
        <v>44884</v>
      </c>
      <c r="O139" s="304" t="s">
        <v>49</v>
      </c>
      <c r="P139" s="304"/>
      <c r="Q139" s="304"/>
      <c r="R139" s="304" t="n">
        <v>44688</v>
      </c>
      <c r="S139" s="304" t="s">
        <v>126</v>
      </c>
      <c r="T139" s="305"/>
      <c r="U139" s="306"/>
      <c r="V139" s="306" t="n">
        <v>45003</v>
      </c>
      <c r="W139" s="345"/>
      <c r="X139" s="303"/>
      <c r="Y139" s="301" t="s">
        <v>1404</v>
      </c>
      <c r="Z139" s="265" t="s">
        <v>1869</v>
      </c>
    </row>
    <row r="140" customFormat="false" ht="12.75" hidden="false" customHeight="true" outlineLevel="0" collapsed="false">
      <c r="A140" s="265" t="s">
        <v>683</v>
      </c>
      <c r="B140" s="262" t="n">
        <v>137</v>
      </c>
      <c r="C140" s="262" t="s">
        <v>1603</v>
      </c>
      <c r="D140" s="262" t="s">
        <v>684</v>
      </c>
      <c r="E140" s="262" t="s">
        <v>685</v>
      </c>
      <c r="F140" s="265" t="s">
        <v>683</v>
      </c>
      <c r="G140" s="270" t="s">
        <v>686</v>
      </c>
      <c r="H140" s="270"/>
      <c r="I140" s="270"/>
      <c r="J140" s="270"/>
      <c r="K140" s="270"/>
      <c r="L140" s="270"/>
      <c r="M140" s="270"/>
      <c r="N140" s="309" t="n">
        <v>44842</v>
      </c>
      <c r="O140" s="277" t="s">
        <v>335</v>
      </c>
      <c r="P140" s="309"/>
      <c r="Q140" s="309"/>
      <c r="R140" s="309"/>
      <c r="S140" s="309"/>
      <c r="T140" s="310"/>
      <c r="U140" s="278"/>
      <c r="V140" s="278"/>
      <c r="W140" s="279"/>
      <c r="X140" s="270"/>
      <c r="Y140" s="265" t="s">
        <v>683</v>
      </c>
      <c r="Z140" s="265" t="s">
        <v>686</v>
      </c>
    </row>
    <row r="141" customFormat="false" ht="12.75" hidden="false" customHeight="true" outlineLevel="0" collapsed="false">
      <c r="A141" s="301" t="s">
        <v>687</v>
      </c>
      <c r="B141" s="302" t="n">
        <v>138</v>
      </c>
      <c r="C141" s="302" t="s">
        <v>1603</v>
      </c>
      <c r="D141" s="302" t="s">
        <v>688</v>
      </c>
      <c r="E141" s="302" t="s">
        <v>689</v>
      </c>
      <c r="F141" s="301" t="s">
        <v>687</v>
      </c>
      <c r="G141" s="303" t="s">
        <v>690</v>
      </c>
      <c r="H141" s="302" t="s">
        <v>1590</v>
      </c>
      <c r="I141" s="302" t="s">
        <v>1870</v>
      </c>
      <c r="J141" s="302" t="s">
        <v>1817</v>
      </c>
      <c r="K141" s="302" t="s">
        <v>1871</v>
      </c>
      <c r="L141" s="302"/>
      <c r="M141" s="302"/>
      <c r="N141" s="304"/>
      <c r="O141" s="304"/>
      <c r="P141" s="304"/>
      <c r="Q141" s="304"/>
      <c r="R141" s="304"/>
      <c r="S141" s="304"/>
      <c r="T141" s="305"/>
      <c r="U141" s="344"/>
      <c r="V141" s="344" t="n">
        <v>45073</v>
      </c>
      <c r="W141" s="345" t="s">
        <v>152</v>
      </c>
      <c r="X141" s="302" t="s">
        <v>693</v>
      </c>
      <c r="Y141" s="301" t="s">
        <v>687</v>
      </c>
      <c r="Z141" s="301" t="s">
        <v>690</v>
      </c>
    </row>
    <row r="142" customFormat="false" ht="12.75" hidden="false" customHeight="true" outlineLevel="0" collapsed="false">
      <c r="A142" s="265" t="s">
        <v>694</v>
      </c>
      <c r="B142" s="262" t="n">
        <v>139</v>
      </c>
      <c r="C142" s="262" t="s">
        <v>1603</v>
      </c>
      <c r="D142" s="262" t="s">
        <v>695</v>
      </c>
      <c r="E142" s="262" t="s">
        <v>672</v>
      </c>
      <c r="F142" s="265" t="s">
        <v>694</v>
      </c>
      <c r="G142" s="270" t="s">
        <v>696</v>
      </c>
      <c r="H142" s="262" t="s">
        <v>1625</v>
      </c>
      <c r="I142" s="262" t="s">
        <v>1872</v>
      </c>
      <c r="J142" s="270"/>
      <c r="K142" s="270"/>
      <c r="L142" s="270"/>
      <c r="M142" s="270"/>
      <c r="N142" s="309"/>
      <c r="O142" s="309"/>
      <c r="P142" s="309" t="n">
        <v>44856</v>
      </c>
      <c r="Q142" s="277" t="s">
        <v>32</v>
      </c>
      <c r="R142" s="309"/>
      <c r="S142" s="309"/>
      <c r="T142" s="310"/>
      <c r="U142" s="278"/>
      <c r="V142" s="278"/>
      <c r="W142" s="279"/>
      <c r="X142" s="270"/>
      <c r="Y142" s="265" t="s">
        <v>694</v>
      </c>
      <c r="Z142" s="265" t="s">
        <v>696</v>
      </c>
    </row>
    <row r="143" customFormat="false" ht="12.75" hidden="false" customHeight="true" outlineLevel="0" collapsed="false">
      <c r="A143" s="301" t="s">
        <v>1396</v>
      </c>
      <c r="B143" s="302" t="n">
        <v>140</v>
      </c>
      <c r="C143" s="302" t="s">
        <v>1603</v>
      </c>
      <c r="D143" s="302" t="s">
        <v>1873</v>
      </c>
      <c r="E143" s="302" t="s">
        <v>1398</v>
      </c>
      <c r="F143" s="301" t="s">
        <v>1396</v>
      </c>
      <c r="G143" s="303" t="s">
        <v>1874</v>
      </c>
      <c r="H143" s="302" t="s">
        <v>1627</v>
      </c>
      <c r="I143" s="302" t="s">
        <v>1875</v>
      </c>
      <c r="J143" s="302"/>
      <c r="K143" s="302"/>
      <c r="L143" s="302"/>
      <c r="M143" s="302"/>
      <c r="N143" s="319" t="s">
        <v>1876</v>
      </c>
      <c r="O143" s="319" t="s">
        <v>1877</v>
      </c>
      <c r="P143" s="304"/>
      <c r="Q143" s="304"/>
      <c r="R143" s="304"/>
      <c r="S143" s="304"/>
      <c r="T143" s="305"/>
      <c r="U143" s="344"/>
      <c r="V143" s="344" t="n">
        <v>45003</v>
      </c>
      <c r="W143" s="345" t="s">
        <v>103</v>
      </c>
      <c r="X143" s="302" t="s">
        <v>1855</v>
      </c>
      <c r="Y143" s="301" t="s">
        <v>1396</v>
      </c>
      <c r="Z143" s="301" t="s">
        <v>1878</v>
      </c>
    </row>
    <row r="144" customFormat="false" ht="12.75" hidden="false" customHeight="true" outlineLevel="0" collapsed="false">
      <c r="A144" s="301" t="s">
        <v>1879</v>
      </c>
      <c r="B144" s="302" t="n">
        <v>141</v>
      </c>
      <c r="C144" s="302" t="s">
        <v>1603</v>
      </c>
      <c r="D144" s="302" t="s">
        <v>1880</v>
      </c>
      <c r="E144" s="302" t="s">
        <v>1881</v>
      </c>
      <c r="F144" s="301" t="s">
        <v>1879</v>
      </c>
      <c r="G144" s="303" t="s">
        <v>1882</v>
      </c>
      <c r="H144" s="302"/>
      <c r="I144" s="302"/>
      <c r="J144" s="302"/>
      <c r="K144" s="302"/>
      <c r="L144" s="302"/>
      <c r="M144" s="302"/>
      <c r="N144" s="304"/>
      <c r="O144" s="304"/>
      <c r="P144" s="304"/>
      <c r="Q144" s="304"/>
      <c r="R144" s="304"/>
      <c r="S144" s="304"/>
      <c r="T144" s="305"/>
      <c r="U144" s="344"/>
      <c r="V144" s="344" t="n">
        <v>45003</v>
      </c>
      <c r="W144" s="345" t="s">
        <v>60</v>
      </c>
      <c r="X144" s="302" t="s">
        <v>1855</v>
      </c>
      <c r="Y144" s="301" t="s">
        <v>1879</v>
      </c>
      <c r="Z144" s="301" t="s">
        <v>1882</v>
      </c>
    </row>
    <row r="145" customFormat="false" ht="12.75" hidden="false" customHeight="true" outlineLevel="0" collapsed="false">
      <c r="A145" s="265" t="s">
        <v>698</v>
      </c>
      <c r="B145" s="262" t="n">
        <v>142</v>
      </c>
      <c r="C145" s="262" t="s">
        <v>1603</v>
      </c>
      <c r="D145" s="262" t="s">
        <v>699</v>
      </c>
      <c r="E145" s="262" t="s">
        <v>599</v>
      </c>
      <c r="F145" s="265" t="s">
        <v>698</v>
      </c>
      <c r="G145" s="270" t="s">
        <v>700</v>
      </c>
      <c r="H145" s="262" t="s">
        <v>1702</v>
      </c>
      <c r="I145" s="262" t="s">
        <v>1883</v>
      </c>
      <c r="J145" s="262" t="s">
        <v>1634</v>
      </c>
      <c r="K145" s="360" t="s">
        <v>1884</v>
      </c>
      <c r="L145" s="360"/>
      <c r="M145" s="270"/>
      <c r="N145" s="277"/>
      <c r="O145" s="277"/>
      <c r="P145" s="309" t="n">
        <v>44856</v>
      </c>
      <c r="Q145" s="277" t="s">
        <v>67</v>
      </c>
      <c r="R145" s="277"/>
      <c r="S145" s="277"/>
      <c r="T145" s="133"/>
      <c r="U145" s="278" t="n">
        <v>44674</v>
      </c>
      <c r="V145" s="278"/>
      <c r="W145" s="279"/>
      <c r="X145" s="270"/>
      <c r="Y145" s="265" t="s">
        <v>698</v>
      </c>
      <c r="Z145" s="265" t="s">
        <v>700</v>
      </c>
    </row>
    <row r="146" customFormat="false" ht="12.75" hidden="false" customHeight="true" outlineLevel="0" collapsed="false">
      <c r="A146" s="265" t="s">
        <v>703</v>
      </c>
      <c r="B146" s="262" t="n">
        <v>143</v>
      </c>
      <c r="C146" s="262" t="s">
        <v>1603</v>
      </c>
      <c r="D146" s="262" t="s">
        <v>704</v>
      </c>
      <c r="E146" s="262" t="s">
        <v>705</v>
      </c>
      <c r="F146" s="265" t="s">
        <v>703</v>
      </c>
      <c r="G146" s="270" t="s">
        <v>706</v>
      </c>
      <c r="H146" s="262"/>
      <c r="I146" s="262"/>
      <c r="J146" s="262"/>
      <c r="K146" s="361"/>
      <c r="L146" s="361"/>
      <c r="M146" s="270"/>
      <c r="N146" s="277"/>
      <c r="O146" s="277"/>
      <c r="P146" s="309" t="n">
        <v>44631</v>
      </c>
      <c r="Q146" s="277" t="s">
        <v>67</v>
      </c>
      <c r="R146" s="309" t="n">
        <v>44884</v>
      </c>
      <c r="S146" s="309" t="s">
        <v>67</v>
      </c>
      <c r="T146" s="133"/>
      <c r="U146" s="278" t="n">
        <v>44779</v>
      </c>
      <c r="V146" s="278"/>
      <c r="W146" s="279"/>
      <c r="X146" s="270"/>
      <c r="Y146" s="265" t="s">
        <v>703</v>
      </c>
      <c r="Z146" s="262"/>
    </row>
    <row r="147" customFormat="false" ht="12.75" hidden="false" customHeight="true" outlineLevel="0" collapsed="false">
      <c r="A147" s="359" t="s">
        <v>707</v>
      </c>
      <c r="B147" s="262" t="n">
        <v>144</v>
      </c>
      <c r="C147" s="262" t="s">
        <v>1603</v>
      </c>
      <c r="D147" s="262" t="s">
        <v>708</v>
      </c>
      <c r="E147" s="262" t="s">
        <v>709</v>
      </c>
      <c r="F147" s="376" t="s">
        <v>707</v>
      </c>
      <c r="G147" s="270" t="s">
        <v>710</v>
      </c>
      <c r="H147" s="262" t="s">
        <v>1702</v>
      </c>
      <c r="I147" s="262" t="s">
        <v>1885</v>
      </c>
      <c r="J147" s="262"/>
      <c r="K147" s="361"/>
      <c r="L147" s="361"/>
      <c r="M147" s="270"/>
      <c r="N147" s="363"/>
      <c r="O147" s="363"/>
      <c r="P147" s="362"/>
      <c r="Q147" s="363"/>
      <c r="R147" s="309" t="n">
        <v>44912</v>
      </c>
      <c r="S147" s="309" t="s">
        <v>49</v>
      </c>
      <c r="T147" s="133"/>
      <c r="U147" s="385" t="n">
        <v>44793</v>
      </c>
      <c r="V147" s="278"/>
      <c r="W147" s="279"/>
      <c r="X147" s="270"/>
      <c r="Y147" s="359" t="s">
        <v>707</v>
      </c>
      <c r="Z147" s="262"/>
    </row>
    <row r="148" customFormat="false" ht="12.75" hidden="false" customHeight="true" outlineLevel="0" collapsed="false">
      <c r="A148" s="290" t="s">
        <v>717</v>
      </c>
      <c r="B148" s="291" t="n">
        <v>145</v>
      </c>
      <c r="C148" s="291" t="s">
        <v>1584</v>
      </c>
      <c r="D148" s="291" t="s">
        <v>718</v>
      </c>
      <c r="E148" s="290" t="s">
        <v>719</v>
      </c>
      <c r="F148" s="290" t="s">
        <v>717</v>
      </c>
      <c r="G148" s="292" t="s">
        <v>720</v>
      </c>
      <c r="H148" s="291" t="s">
        <v>1817</v>
      </c>
      <c r="I148" s="291" t="s">
        <v>721</v>
      </c>
      <c r="J148" s="292"/>
      <c r="K148" s="292"/>
      <c r="L148" s="292"/>
      <c r="M148" s="292"/>
      <c r="N148" s="293" t="s">
        <v>1886</v>
      </c>
      <c r="O148" s="293" t="s">
        <v>1887</v>
      </c>
      <c r="P148" s="294"/>
      <c r="Q148" s="294"/>
      <c r="R148" s="295" t="n">
        <v>44709</v>
      </c>
      <c r="S148" s="295" t="s">
        <v>67</v>
      </c>
      <c r="T148" s="296" t="s">
        <v>1588</v>
      </c>
      <c r="U148" s="297"/>
      <c r="V148" s="297"/>
      <c r="W148" s="298" t="s">
        <v>103</v>
      </c>
      <c r="X148" s="299" t="s">
        <v>722</v>
      </c>
      <c r="Y148" s="290" t="s">
        <v>717</v>
      </c>
      <c r="Z148" s="350" t="s">
        <v>720</v>
      </c>
    </row>
    <row r="149" customFormat="false" ht="12.75" hidden="false" customHeight="true" outlineLevel="0" collapsed="false">
      <c r="A149" s="301" t="s">
        <v>1888</v>
      </c>
      <c r="B149" s="302" t="n">
        <v>146</v>
      </c>
      <c r="C149" s="302" t="s">
        <v>1584</v>
      </c>
      <c r="D149" s="355" t="s">
        <v>1889</v>
      </c>
      <c r="E149" s="302" t="s">
        <v>1065</v>
      </c>
      <c r="F149" s="301" t="s">
        <v>1888</v>
      </c>
      <c r="G149" s="303" t="s">
        <v>1890</v>
      </c>
      <c r="H149" s="302" t="s">
        <v>1713</v>
      </c>
      <c r="I149" s="302" t="s">
        <v>1891</v>
      </c>
      <c r="J149" s="302"/>
      <c r="K149" s="302"/>
      <c r="L149" s="302"/>
      <c r="M149" s="302"/>
      <c r="N149" s="304"/>
      <c r="O149" s="304"/>
      <c r="P149" s="304"/>
      <c r="Q149" s="304"/>
      <c r="R149" s="304"/>
      <c r="S149" s="304"/>
      <c r="T149" s="305"/>
      <c r="U149" s="344"/>
      <c r="V149" s="344" t="n">
        <v>44702</v>
      </c>
      <c r="W149" s="345"/>
      <c r="X149" s="302"/>
      <c r="Y149" s="301" t="s">
        <v>1888</v>
      </c>
      <c r="Z149" s="348" t="s">
        <v>1890</v>
      </c>
    </row>
    <row r="150" customFormat="false" ht="12.75" hidden="false" customHeight="true" outlineLevel="0" collapsed="false">
      <c r="A150" s="320" t="s">
        <v>723</v>
      </c>
      <c r="B150" s="321" t="n">
        <v>147</v>
      </c>
      <c r="C150" s="321" t="s">
        <v>1584</v>
      </c>
      <c r="D150" s="321" t="s">
        <v>724</v>
      </c>
      <c r="E150" s="321" t="s">
        <v>725</v>
      </c>
      <c r="F150" s="320" t="s">
        <v>723</v>
      </c>
      <c r="G150" s="322" t="s">
        <v>726</v>
      </c>
      <c r="H150" s="321"/>
      <c r="I150" s="321"/>
      <c r="J150" s="321"/>
      <c r="K150" s="321"/>
      <c r="L150" s="321"/>
      <c r="M150" s="321"/>
      <c r="N150" s="323"/>
      <c r="O150" s="323"/>
      <c r="P150" s="323"/>
      <c r="Q150" s="323"/>
      <c r="R150" s="323"/>
      <c r="S150" s="323"/>
      <c r="T150" s="324"/>
      <c r="U150" s="325"/>
      <c r="V150" s="325"/>
      <c r="W150" s="326" t="s">
        <v>55</v>
      </c>
      <c r="X150" s="321"/>
      <c r="Y150" s="320" t="s">
        <v>723</v>
      </c>
      <c r="Z150" s="348" t="s">
        <v>726</v>
      </c>
    </row>
    <row r="151" customFormat="false" ht="12.75" hidden="false" customHeight="true" outlineLevel="0" collapsed="false">
      <c r="A151" s="265" t="s">
        <v>727</v>
      </c>
      <c r="B151" s="262" t="n">
        <v>148</v>
      </c>
      <c r="C151" s="262" t="s">
        <v>1584</v>
      </c>
      <c r="D151" s="262" t="s">
        <v>728</v>
      </c>
      <c r="E151" s="262" t="s">
        <v>729</v>
      </c>
      <c r="F151" s="265" t="s">
        <v>727</v>
      </c>
      <c r="G151" s="365" t="s">
        <v>730</v>
      </c>
      <c r="H151" s="270"/>
      <c r="I151" s="270"/>
      <c r="J151" s="270"/>
      <c r="K151" s="270"/>
      <c r="L151" s="270"/>
      <c r="M151" s="270"/>
      <c r="N151" s="309" t="n">
        <v>44730</v>
      </c>
      <c r="O151" s="309" t="s">
        <v>49</v>
      </c>
      <c r="P151" s="309"/>
      <c r="Q151" s="309"/>
      <c r="R151" s="309" t="n">
        <v>44638</v>
      </c>
      <c r="S151" s="277" t="s">
        <v>49</v>
      </c>
      <c r="T151" s="310"/>
      <c r="U151" s="278"/>
      <c r="V151" s="278"/>
      <c r="W151" s="279"/>
      <c r="X151" s="270"/>
      <c r="Y151" s="265" t="s">
        <v>727</v>
      </c>
      <c r="Z151" s="348" t="s">
        <v>731</v>
      </c>
    </row>
    <row r="152" customFormat="false" ht="12.75" hidden="false" customHeight="true" outlineLevel="0" collapsed="false">
      <c r="A152" s="336" t="s">
        <v>732</v>
      </c>
      <c r="B152" s="337" t="n">
        <v>149</v>
      </c>
      <c r="C152" s="337" t="s">
        <v>1584</v>
      </c>
      <c r="D152" s="337" t="s">
        <v>733</v>
      </c>
      <c r="E152" s="337" t="s">
        <v>734</v>
      </c>
      <c r="F152" s="336" t="s">
        <v>732</v>
      </c>
      <c r="G152" s="338" t="s">
        <v>735</v>
      </c>
      <c r="H152" s="337" t="s">
        <v>1634</v>
      </c>
      <c r="I152" s="337" t="s">
        <v>1892</v>
      </c>
      <c r="J152" s="337"/>
      <c r="K152" s="337"/>
      <c r="L152" s="337"/>
      <c r="M152" s="337"/>
      <c r="N152" s="314"/>
      <c r="O152" s="314"/>
      <c r="P152" s="314"/>
      <c r="Q152" s="314"/>
      <c r="R152" s="339" t="s">
        <v>1893</v>
      </c>
      <c r="S152" s="340" t="s">
        <v>32</v>
      </c>
      <c r="T152" s="341" t="s">
        <v>1617</v>
      </c>
      <c r="U152" s="342"/>
      <c r="V152" s="342"/>
      <c r="W152" s="343" t="s">
        <v>240</v>
      </c>
      <c r="X152" s="337" t="s">
        <v>346</v>
      </c>
      <c r="Y152" s="336" t="s">
        <v>732</v>
      </c>
      <c r="Z152" s="348" t="s">
        <v>735</v>
      </c>
    </row>
    <row r="153" customFormat="false" ht="12.75" hidden="false" customHeight="true" outlineLevel="0" collapsed="false">
      <c r="A153" s="265" t="s">
        <v>737</v>
      </c>
      <c r="B153" s="262" t="n">
        <v>150</v>
      </c>
      <c r="C153" s="262" t="s">
        <v>1584</v>
      </c>
      <c r="D153" s="262" t="s">
        <v>738</v>
      </c>
      <c r="E153" s="262" t="s">
        <v>739</v>
      </c>
      <c r="F153" s="265" t="s">
        <v>737</v>
      </c>
      <c r="G153" s="365" t="s">
        <v>740</v>
      </c>
      <c r="H153" s="270"/>
      <c r="I153" s="270"/>
      <c r="J153" s="270"/>
      <c r="K153" s="270"/>
      <c r="L153" s="270"/>
      <c r="M153" s="270"/>
      <c r="N153" s="309" t="n">
        <v>44568</v>
      </c>
      <c r="O153" s="277" t="s">
        <v>49</v>
      </c>
      <c r="P153" s="309"/>
      <c r="Q153" s="309"/>
      <c r="R153" s="309" t="n">
        <v>44786</v>
      </c>
      <c r="S153" s="309" t="s">
        <v>67</v>
      </c>
      <c r="T153" s="310"/>
      <c r="U153" s="278"/>
      <c r="V153" s="278"/>
      <c r="W153" s="279"/>
      <c r="X153" s="270"/>
      <c r="Y153" s="265" t="s">
        <v>737</v>
      </c>
      <c r="Z153" s="348" t="s">
        <v>741</v>
      </c>
    </row>
    <row r="154" customFormat="false" ht="12.75" hidden="false" customHeight="true" outlineLevel="0" collapsed="false">
      <c r="A154" s="265" t="s">
        <v>742</v>
      </c>
      <c r="B154" s="262" t="n">
        <v>151</v>
      </c>
      <c r="C154" s="262" t="s">
        <v>1584</v>
      </c>
      <c r="D154" s="262" t="s">
        <v>1894</v>
      </c>
      <c r="E154" s="262" t="s">
        <v>744</v>
      </c>
      <c r="F154" s="265" t="s">
        <v>742</v>
      </c>
      <c r="G154" s="270" t="s">
        <v>745</v>
      </c>
      <c r="H154" s="270"/>
      <c r="I154" s="270"/>
      <c r="J154" s="270"/>
      <c r="K154" s="270"/>
      <c r="L154" s="270"/>
      <c r="M154" s="270"/>
      <c r="N154" s="309"/>
      <c r="O154" s="309"/>
      <c r="P154" s="309" t="n">
        <v>44575</v>
      </c>
      <c r="Q154" s="277" t="s">
        <v>32</v>
      </c>
      <c r="R154" s="309" t="n">
        <v>44793</v>
      </c>
      <c r="S154" s="309" t="s">
        <v>49</v>
      </c>
      <c r="T154" s="310"/>
      <c r="U154" s="278"/>
      <c r="V154" s="278"/>
      <c r="W154" s="279"/>
      <c r="X154" s="270"/>
      <c r="Y154" s="265" t="s">
        <v>742</v>
      </c>
      <c r="Z154" s="348" t="s">
        <v>745</v>
      </c>
    </row>
    <row r="155" customFormat="false" ht="12.75" hidden="false" customHeight="true" outlineLevel="0" collapsed="false">
      <c r="A155" s="265" t="s">
        <v>746</v>
      </c>
      <c r="B155" s="262" t="n">
        <v>152</v>
      </c>
      <c r="C155" s="262" t="s">
        <v>1584</v>
      </c>
      <c r="D155" s="262" t="s">
        <v>747</v>
      </c>
      <c r="E155" s="262" t="s">
        <v>748</v>
      </c>
      <c r="F155" s="265" t="s">
        <v>746</v>
      </c>
      <c r="G155" s="270" t="s">
        <v>749</v>
      </c>
      <c r="H155" s="262" t="s">
        <v>1817</v>
      </c>
      <c r="I155" s="262" t="s">
        <v>1895</v>
      </c>
      <c r="J155" s="270"/>
      <c r="K155" s="270"/>
      <c r="L155" s="270"/>
      <c r="M155" s="270"/>
      <c r="N155" s="309" t="n">
        <v>44835</v>
      </c>
      <c r="O155" s="277" t="s">
        <v>49</v>
      </c>
      <c r="P155" s="309"/>
      <c r="Q155" s="309"/>
      <c r="R155" s="309"/>
      <c r="S155" s="309"/>
      <c r="T155" s="310"/>
      <c r="U155" s="278"/>
      <c r="V155" s="278"/>
      <c r="W155" s="279"/>
      <c r="X155" s="270"/>
      <c r="Y155" s="265" t="s">
        <v>746</v>
      </c>
      <c r="Z155" s="348" t="s">
        <v>749</v>
      </c>
    </row>
    <row r="156" customFormat="false" ht="12.75" hidden="false" customHeight="true" outlineLevel="0" collapsed="false">
      <c r="A156" s="265" t="s">
        <v>751</v>
      </c>
      <c r="B156" s="262" t="n">
        <v>153</v>
      </c>
      <c r="C156" s="262" t="s">
        <v>1584</v>
      </c>
      <c r="D156" s="262" t="s">
        <v>752</v>
      </c>
      <c r="E156" s="262" t="s">
        <v>753</v>
      </c>
      <c r="F156" s="265" t="s">
        <v>751</v>
      </c>
      <c r="G156" s="270" t="s">
        <v>754</v>
      </c>
      <c r="H156" s="262" t="s">
        <v>1817</v>
      </c>
      <c r="I156" s="262" t="s">
        <v>1896</v>
      </c>
      <c r="J156" s="270"/>
      <c r="K156" s="270"/>
      <c r="L156" s="270"/>
      <c r="M156" s="270"/>
      <c r="N156" s="309" t="n">
        <v>44835</v>
      </c>
      <c r="O156" s="277" t="s">
        <v>335</v>
      </c>
      <c r="P156" s="309"/>
      <c r="Q156" s="309"/>
      <c r="R156" s="309"/>
      <c r="S156" s="309"/>
      <c r="T156" s="310"/>
      <c r="U156" s="278"/>
      <c r="V156" s="278"/>
      <c r="W156" s="279"/>
      <c r="X156" s="270"/>
      <c r="Y156" s="265" t="s">
        <v>751</v>
      </c>
      <c r="Z156" s="348" t="s">
        <v>754</v>
      </c>
    </row>
    <row r="157" customFormat="false" ht="12.75" hidden="false" customHeight="true" outlineLevel="0" collapsed="false">
      <c r="A157" s="265" t="s">
        <v>756</v>
      </c>
      <c r="B157" s="262" t="n">
        <v>154</v>
      </c>
      <c r="C157" s="262" t="s">
        <v>1584</v>
      </c>
      <c r="D157" s="262" t="s">
        <v>757</v>
      </c>
      <c r="E157" s="262" t="s">
        <v>758</v>
      </c>
      <c r="F157" s="265" t="s">
        <v>756</v>
      </c>
      <c r="G157" s="270" t="s">
        <v>759</v>
      </c>
      <c r="H157" s="270"/>
      <c r="I157" s="270"/>
      <c r="J157" s="270"/>
      <c r="K157" s="270"/>
      <c r="L157" s="270"/>
      <c r="M157" s="270"/>
      <c r="N157" s="309" t="n">
        <v>44884</v>
      </c>
      <c r="O157" s="309" t="s">
        <v>335</v>
      </c>
      <c r="P157" s="309"/>
      <c r="Q157" s="309"/>
      <c r="R157" s="309" t="n">
        <v>44695</v>
      </c>
      <c r="S157" s="309" t="s">
        <v>49</v>
      </c>
      <c r="T157" s="310"/>
      <c r="U157" s="278"/>
      <c r="V157" s="278"/>
      <c r="W157" s="279"/>
      <c r="X157" s="270"/>
      <c r="Y157" s="265" t="s">
        <v>756</v>
      </c>
      <c r="Z157" s="348" t="s">
        <v>759</v>
      </c>
    </row>
    <row r="158" customFormat="false" ht="12.75" hidden="false" customHeight="true" outlineLevel="0" collapsed="false">
      <c r="A158" s="311" t="s">
        <v>760</v>
      </c>
      <c r="B158" s="312" t="n">
        <v>155</v>
      </c>
      <c r="C158" s="312" t="s">
        <v>1584</v>
      </c>
      <c r="D158" s="312" t="s">
        <v>761</v>
      </c>
      <c r="E158" s="312" t="s">
        <v>762</v>
      </c>
      <c r="F158" s="311" t="s">
        <v>760</v>
      </c>
      <c r="G158" s="313" t="s">
        <v>763</v>
      </c>
      <c r="H158" s="312"/>
      <c r="I158" s="312"/>
      <c r="J158" s="312"/>
      <c r="K158" s="312"/>
      <c r="L158" s="312"/>
      <c r="M158" s="312"/>
      <c r="N158" s="314"/>
      <c r="O158" s="314"/>
      <c r="P158" s="314"/>
      <c r="Q158" s="314"/>
      <c r="R158" s="315"/>
      <c r="S158" s="315"/>
      <c r="T158" s="316"/>
      <c r="U158" s="317"/>
      <c r="V158" s="317"/>
      <c r="W158" s="318" t="s">
        <v>60</v>
      </c>
      <c r="X158" s="312" t="s">
        <v>346</v>
      </c>
      <c r="Y158" s="311" t="s">
        <v>760</v>
      </c>
      <c r="Z158" s="348" t="s">
        <v>763</v>
      </c>
    </row>
    <row r="159" customFormat="false" ht="12.75" hidden="false" customHeight="true" outlineLevel="0" collapsed="false">
      <c r="A159" s="265" t="s">
        <v>764</v>
      </c>
      <c r="B159" s="262" t="n">
        <v>156</v>
      </c>
      <c r="C159" s="262" t="s">
        <v>1584</v>
      </c>
      <c r="D159" s="262" t="s">
        <v>765</v>
      </c>
      <c r="E159" s="262" t="s">
        <v>766</v>
      </c>
      <c r="F159" s="265" t="s">
        <v>764</v>
      </c>
      <c r="G159" s="270" t="s">
        <v>767</v>
      </c>
      <c r="H159" s="270"/>
      <c r="I159" s="270"/>
      <c r="J159" s="270"/>
      <c r="K159" s="270"/>
      <c r="L159" s="270"/>
      <c r="M159" s="270"/>
      <c r="N159" s="309"/>
      <c r="O159" s="309"/>
      <c r="P159" s="309" t="n">
        <v>44870</v>
      </c>
      <c r="Q159" s="309" t="s">
        <v>32</v>
      </c>
      <c r="R159" s="309" t="n">
        <v>44667</v>
      </c>
      <c r="S159" s="309" t="s">
        <v>49</v>
      </c>
      <c r="T159" s="310"/>
      <c r="U159" s="278"/>
      <c r="V159" s="278"/>
      <c r="W159" s="279"/>
      <c r="X159" s="270"/>
      <c r="Y159" s="265" t="s">
        <v>764</v>
      </c>
      <c r="Z159" s="348" t="s">
        <v>767</v>
      </c>
    </row>
    <row r="160" customFormat="false" ht="12.75" hidden="false" customHeight="true" outlineLevel="0" collapsed="false">
      <c r="A160" s="301" t="s">
        <v>1536</v>
      </c>
      <c r="B160" s="302" t="n">
        <v>157</v>
      </c>
      <c r="C160" s="302" t="s">
        <v>1584</v>
      </c>
      <c r="D160" s="302" t="s">
        <v>1897</v>
      </c>
      <c r="E160" s="302" t="s">
        <v>1538</v>
      </c>
      <c r="F160" s="301" t="s">
        <v>1536</v>
      </c>
      <c r="G160" s="303" t="s">
        <v>1898</v>
      </c>
      <c r="H160" s="302" t="s">
        <v>1764</v>
      </c>
      <c r="I160" s="302" t="s">
        <v>1899</v>
      </c>
      <c r="J160" s="303"/>
      <c r="K160" s="303"/>
      <c r="L160" s="303"/>
      <c r="M160" s="303"/>
      <c r="N160" s="304" t="n">
        <v>44688</v>
      </c>
      <c r="O160" s="304" t="s">
        <v>49</v>
      </c>
      <c r="P160" s="304"/>
      <c r="Q160" s="304"/>
      <c r="R160" s="304" t="n">
        <v>44582</v>
      </c>
      <c r="S160" s="319" t="s">
        <v>49</v>
      </c>
      <c r="T160" s="305"/>
      <c r="U160" s="386"/>
      <c r="V160" s="344" t="n">
        <v>45003</v>
      </c>
      <c r="W160" s="345"/>
      <c r="X160" s="303"/>
      <c r="Y160" s="301" t="s">
        <v>1536</v>
      </c>
      <c r="Z160" s="348" t="s">
        <v>1898</v>
      </c>
    </row>
    <row r="161" customFormat="false" ht="12.75" hidden="false" customHeight="true" outlineLevel="0" collapsed="false">
      <c r="A161" s="301" t="s">
        <v>1421</v>
      </c>
      <c r="B161" s="302" t="n">
        <v>158</v>
      </c>
      <c r="C161" s="302" t="s">
        <v>1584</v>
      </c>
      <c r="D161" s="302" t="s">
        <v>1900</v>
      </c>
      <c r="E161" s="302" t="s">
        <v>429</v>
      </c>
      <c r="F161" s="301" t="s">
        <v>1421</v>
      </c>
      <c r="G161" s="303" t="s">
        <v>1901</v>
      </c>
      <c r="H161" s="303"/>
      <c r="I161" s="303"/>
      <c r="J161" s="303"/>
      <c r="K161" s="303"/>
      <c r="L161" s="303"/>
      <c r="M161" s="303"/>
      <c r="N161" s="304" t="n">
        <v>44624</v>
      </c>
      <c r="O161" s="319" t="s">
        <v>49</v>
      </c>
      <c r="P161" s="304"/>
      <c r="Q161" s="319"/>
      <c r="R161" s="304" t="n">
        <v>44863</v>
      </c>
      <c r="S161" s="319" t="s">
        <v>126</v>
      </c>
      <c r="T161" s="305"/>
      <c r="U161" s="306"/>
      <c r="V161" s="306" t="n">
        <v>45003</v>
      </c>
      <c r="W161" s="345"/>
      <c r="X161" s="303"/>
      <c r="Y161" s="301" t="s">
        <v>1421</v>
      </c>
      <c r="Z161" s="351" t="s">
        <v>1901</v>
      </c>
    </row>
    <row r="162" customFormat="false" ht="12.75" hidden="false" customHeight="true" outlineLevel="0" collapsed="false">
      <c r="A162" s="290" t="s">
        <v>768</v>
      </c>
      <c r="B162" s="291" t="n">
        <v>159</v>
      </c>
      <c r="C162" s="291" t="s">
        <v>1584</v>
      </c>
      <c r="D162" s="291" t="s">
        <v>769</v>
      </c>
      <c r="E162" s="291" t="s">
        <v>770</v>
      </c>
      <c r="F162" s="290" t="s">
        <v>768</v>
      </c>
      <c r="G162" s="292" t="s">
        <v>771</v>
      </c>
      <c r="H162" s="291" t="s">
        <v>1627</v>
      </c>
      <c r="I162" s="291" t="s">
        <v>772</v>
      </c>
      <c r="J162" s="291" t="s">
        <v>1764</v>
      </c>
      <c r="K162" s="291" t="s">
        <v>773</v>
      </c>
      <c r="L162" s="291"/>
      <c r="M162" s="291"/>
      <c r="N162" s="293" t="s">
        <v>1902</v>
      </c>
      <c r="O162" s="293" t="s">
        <v>1903</v>
      </c>
      <c r="P162" s="314"/>
      <c r="Q162" s="314"/>
      <c r="R162" s="295"/>
      <c r="S162" s="295"/>
      <c r="T162" s="296" t="s">
        <v>1904</v>
      </c>
      <c r="U162" s="349"/>
      <c r="V162" s="349"/>
      <c r="W162" s="298" t="s">
        <v>103</v>
      </c>
      <c r="X162" s="291" t="s">
        <v>774</v>
      </c>
      <c r="Y162" s="290" t="s">
        <v>768</v>
      </c>
      <c r="Z162" s="348" t="s">
        <v>771</v>
      </c>
    </row>
    <row r="163" customFormat="false" ht="12.75" hidden="false" customHeight="true" outlineLevel="0" collapsed="false">
      <c r="A163" s="301" t="s">
        <v>1905</v>
      </c>
      <c r="B163" s="302" t="n">
        <v>160</v>
      </c>
      <c r="C163" s="302" t="s">
        <v>1584</v>
      </c>
      <c r="D163" s="355" t="s">
        <v>1906</v>
      </c>
      <c r="E163" s="302" t="s">
        <v>1907</v>
      </c>
      <c r="F163" s="301" t="s">
        <v>1908</v>
      </c>
      <c r="G163" s="303" t="s">
        <v>1909</v>
      </c>
      <c r="H163" s="303"/>
      <c r="I163" s="303"/>
      <c r="J163" s="303"/>
      <c r="K163" s="303"/>
      <c r="L163" s="303"/>
      <c r="M163" s="303"/>
      <c r="N163" s="304"/>
      <c r="O163" s="304"/>
      <c r="P163" s="304"/>
      <c r="Q163" s="319"/>
      <c r="R163" s="304" t="n">
        <v>44863</v>
      </c>
      <c r="S163" s="319" t="s">
        <v>49</v>
      </c>
      <c r="T163" s="305" t="s">
        <v>1910</v>
      </c>
      <c r="U163" s="306" t="n">
        <v>44660</v>
      </c>
      <c r="V163" s="306" t="n">
        <v>44821</v>
      </c>
      <c r="W163" s="345"/>
      <c r="X163" s="303"/>
      <c r="Y163" s="301" t="s">
        <v>1905</v>
      </c>
      <c r="Z163" s="348" t="s">
        <v>1911</v>
      </c>
    </row>
    <row r="164" customFormat="false" ht="12.75" hidden="false" customHeight="true" outlineLevel="0" collapsed="false">
      <c r="A164" s="265" t="s">
        <v>775</v>
      </c>
      <c r="B164" s="262" t="n">
        <v>161</v>
      </c>
      <c r="C164" s="379" t="s">
        <v>1584</v>
      </c>
      <c r="D164" s="262" t="s">
        <v>776</v>
      </c>
      <c r="E164" s="262" t="s">
        <v>777</v>
      </c>
      <c r="F164" s="265" t="s">
        <v>775</v>
      </c>
      <c r="G164" s="270" t="s">
        <v>778</v>
      </c>
      <c r="H164" s="270"/>
      <c r="I164" s="270"/>
      <c r="J164" s="270"/>
      <c r="K164" s="270"/>
      <c r="L164" s="270"/>
      <c r="M164" s="270"/>
      <c r="N164" s="309"/>
      <c r="O164" s="309"/>
      <c r="P164" s="309" t="n">
        <v>44631</v>
      </c>
      <c r="Q164" s="277" t="s">
        <v>32</v>
      </c>
      <c r="R164" s="309" t="n">
        <v>44884</v>
      </c>
      <c r="S164" s="309" t="s">
        <v>49</v>
      </c>
      <c r="T164" s="310"/>
      <c r="U164" s="278" t="n">
        <v>44779</v>
      </c>
      <c r="V164" s="278"/>
      <c r="W164" s="279"/>
      <c r="X164" s="270"/>
      <c r="Y164" s="265" t="s">
        <v>775</v>
      </c>
      <c r="Z164" s="387"/>
    </row>
    <row r="165" customFormat="false" ht="12.75" hidden="false" customHeight="true" outlineLevel="0" collapsed="false">
      <c r="A165" s="265" t="s">
        <v>779</v>
      </c>
      <c r="B165" s="262" t="n">
        <v>162</v>
      </c>
      <c r="C165" s="379" t="s">
        <v>1584</v>
      </c>
      <c r="D165" s="262" t="s">
        <v>780</v>
      </c>
      <c r="E165" s="262" t="s">
        <v>781</v>
      </c>
      <c r="F165" s="265" t="s">
        <v>779</v>
      </c>
      <c r="G165" s="270" t="s">
        <v>782</v>
      </c>
      <c r="H165" s="270"/>
      <c r="I165" s="270"/>
      <c r="J165" s="270"/>
      <c r="K165" s="270"/>
      <c r="L165" s="270"/>
      <c r="M165" s="270"/>
      <c r="N165" s="309"/>
      <c r="O165" s="309"/>
      <c r="P165" s="309" t="n">
        <v>44624</v>
      </c>
      <c r="Q165" s="277" t="s">
        <v>67</v>
      </c>
      <c r="R165" s="309" t="n">
        <v>44877</v>
      </c>
      <c r="S165" s="309" t="s">
        <v>126</v>
      </c>
      <c r="T165" s="310" t="s">
        <v>1912</v>
      </c>
      <c r="U165" s="278" t="n">
        <v>44779</v>
      </c>
      <c r="V165" s="278"/>
      <c r="W165" s="279"/>
      <c r="X165" s="270"/>
      <c r="Y165" s="265" t="s">
        <v>779</v>
      </c>
      <c r="Z165" s="387"/>
    </row>
    <row r="166" customFormat="false" ht="12.75" hidden="false" customHeight="true" outlineLevel="0" collapsed="false">
      <c r="A166" s="301" t="s">
        <v>1913</v>
      </c>
      <c r="B166" s="302" t="n">
        <v>163</v>
      </c>
      <c r="C166" s="302" t="s">
        <v>1625</v>
      </c>
      <c r="D166" s="302" t="s">
        <v>1914</v>
      </c>
      <c r="E166" s="302" t="s">
        <v>1915</v>
      </c>
      <c r="F166" s="301" t="s">
        <v>1913</v>
      </c>
      <c r="G166" s="303" t="s">
        <v>1916</v>
      </c>
      <c r="H166" s="302"/>
      <c r="I166" s="302"/>
      <c r="J166" s="302"/>
      <c r="K166" s="302"/>
      <c r="L166" s="302"/>
      <c r="M166" s="302"/>
      <c r="N166" s="319" t="s">
        <v>1917</v>
      </c>
      <c r="O166" s="319" t="s">
        <v>1918</v>
      </c>
      <c r="P166" s="304"/>
      <c r="Q166" s="304"/>
      <c r="R166" s="304"/>
      <c r="S166" s="304"/>
      <c r="T166" s="305" t="s">
        <v>1919</v>
      </c>
      <c r="U166" s="344"/>
      <c r="V166" s="344" t="n">
        <v>44912</v>
      </c>
      <c r="W166" s="345" t="s">
        <v>103</v>
      </c>
      <c r="X166" s="302" t="s">
        <v>810</v>
      </c>
      <c r="Y166" s="301" t="s">
        <v>1913</v>
      </c>
      <c r="Z166" s="388" t="s">
        <v>1920</v>
      </c>
    </row>
    <row r="167" customFormat="false" ht="12.75" hidden="false" customHeight="true" outlineLevel="0" collapsed="false">
      <c r="A167" s="301" t="s">
        <v>1921</v>
      </c>
      <c r="B167" s="302" t="n">
        <v>164</v>
      </c>
      <c r="C167" s="302" t="s">
        <v>1625</v>
      </c>
      <c r="D167" s="302" t="s">
        <v>1922</v>
      </c>
      <c r="E167" s="302" t="s">
        <v>1923</v>
      </c>
      <c r="F167" s="301" t="s">
        <v>1921</v>
      </c>
      <c r="G167" s="303" t="s">
        <v>1924</v>
      </c>
      <c r="H167" s="303"/>
      <c r="I167" s="303"/>
      <c r="J167" s="303"/>
      <c r="K167" s="303"/>
      <c r="L167" s="303"/>
      <c r="M167" s="303"/>
      <c r="N167" s="304"/>
      <c r="O167" s="304"/>
      <c r="P167" s="304" t="n">
        <v>44688</v>
      </c>
      <c r="Q167" s="304" t="s">
        <v>67</v>
      </c>
      <c r="R167" s="304" t="n">
        <v>44589</v>
      </c>
      <c r="S167" s="319" t="s">
        <v>126</v>
      </c>
      <c r="T167" s="305"/>
      <c r="U167" s="306"/>
      <c r="V167" s="306" t="n">
        <v>44912</v>
      </c>
      <c r="W167" s="345"/>
      <c r="X167" s="303"/>
      <c r="Y167" s="301" t="s">
        <v>1921</v>
      </c>
      <c r="Z167" s="389" t="s">
        <v>1924</v>
      </c>
    </row>
    <row r="168" customFormat="false" ht="12.75" hidden="false" customHeight="true" outlineLevel="0" collapsed="false">
      <c r="A168" s="265" t="s">
        <v>788</v>
      </c>
      <c r="B168" s="262" t="n">
        <v>165</v>
      </c>
      <c r="C168" s="262" t="s">
        <v>1625</v>
      </c>
      <c r="D168" s="262" t="s">
        <v>789</v>
      </c>
      <c r="E168" s="262" t="s">
        <v>790</v>
      </c>
      <c r="F168" s="265" t="s">
        <v>788</v>
      </c>
      <c r="G168" s="270" t="s">
        <v>791</v>
      </c>
      <c r="H168" s="270"/>
      <c r="I168" s="270"/>
      <c r="J168" s="270"/>
      <c r="K168" s="270"/>
      <c r="L168" s="270"/>
      <c r="M168" s="270"/>
      <c r="N168" s="309" t="n">
        <v>44730</v>
      </c>
      <c r="O168" s="309" t="s">
        <v>335</v>
      </c>
      <c r="P168" s="309"/>
      <c r="Q168" s="309"/>
      <c r="R168" s="309"/>
      <c r="S168" s="309"/>
      <c r="T168" s="310"/>
      <c r="U168" s="278"/>
      <c r="V168" s="278"/>
      <c r="W168" s="279"/>
      <c r="X168" s="270"/>
      <c r="Y168" s="265" t="s">
        <v>788</v>
      </c>
      <c r="Z168" s="389" t="s">
        <v>791</v>
      </c>
    </row>
    <row r="169" customFormat="false" ht="12.75" hidden="false" customHeight="true" outlineLevel="0" collapsed="false">
      <c r="A169" s="265" t="s">
        <v>792</v>
      </c>
      <c r="B169" s="262" t="n">
        <v>166</v>
      </c>
      <c r="C169" s="262" t="s">
        <v>1625</v>
      </c>
      <c r="D169" s="262" t="s">
        <v>793</v>
      </c>
      <c r="E169" s="262" t="s">
        <v>794</v>
      </c>
      <c r="F169" s="265" t="s">
        <v>792</v>
      </c>
      <c r="G169" s="270" t="s">
        <v>795</v>
      </c>
      <c r="H169" s="270"/>
      <c r="I169" s="270"/>
      <c r="J169" s="270"/>
      <c r="K169" s="270"/>
      <c r="L169" s="270"/>
      <c r="M169" s="270"/>
      <c r="N169" s="309" t="n">
        <v>44660</v>
      </c>
      <c r="O169" s="309" t="s">
        <v>335</v>
      </c>
      <c r="P169" s="309"/>
      <c r="Q169" s="309"/>
      <c r="R169" s="309" t="n">
        <v>44863</v>
      </c>
      <c r="S169" s="277" t="s">
        <v>67</v>
      </c>
      <c r="T169" s="310"/>
      <c r="U169" s="278"/>
      <c r="V169" s="278"/>
      <c r="W169" s="279"/>
      <c r="X169" s="270"/>
      <c r="Y169" s="265" t="s">
        <v>792</v>
      </c>
      <c r="Z169" s="389" t="s">
        <v>795</v>
      </c>
    </row>
    <row r="170" customFormat="false" ht="12.75" hidden="false" customHeight="true" outlineLevel="0" collapsed="false">
      <c r="A170" s="265" t="s">
        <v>796</v>
      </c>
      <c r="B170" s="262" t="n">
        <v>167</v>
      </c>
      <c r="C170" s="262" t="s">
        <v>1625</v>
      </c>
      <c r="D170" s="262" t="s">
        <v>797</v>
      </c>
      <c r="E170" s="262" t="s">
        <v>798</v>
      </c>
      <c r="F170" s="265" t="s">
        <v>796</v>
      </c>
      <c r="G170" s="270" t="s">
        <v>799</v>
      </c>
      <c r="H170" s="270"/>
      <c r="I170" s="270"/>
      <c r="J170" s="270"/>
      <c r="K170" s="270"/>
      <c r="L170" s="270"/>
      <c r="M170" s="270"/>
      <c r="N170" s="309"/>
      <c r="O170" s="309"/>
      <c r="P170" s="309" t="n">
        <v>44709</v>
      </c>
      <c r="Q170" s="309" t="s">
        <v>67</v>
      </c>
      <c r="R170" s="309" t="n">
        <v>44624</v>
      </c>
      <c r="S170" s="277" t="s">
        <v>49</v>
      </c>
      <c r="T170" s="310"/>
      <c r="U170" s="278"/>
      <c r="V170" s="278"/>
      <c r="W170" s="279"/>
      <c r="X170" s="270"/>
      <c r="Y170" s="265" t="s">
        <v>796</v>
      </c>
      <c r="Z170" s="389" t="s">
        <v>799</v>
      </c>
    </row>
    <row r="171" customFormat="false" ht="12.75" hidden="false" customHeight="true" outlineLevel="0" collapsed="false">
      <c r="A171" s="301" t="s">
        <v>1925</v>
      </c>
      <c r="B171" s="302" t="n">
        <v>168</v>
      </c>
      <c r="C171" s="302" t="s">
        <v>1625</v>
      </c>
      <c r="D171" s="355" t="s">
        <v>1926</v>
      </c>
      <c r="E171" s="302" t="s">
        <v>1927</v>
      </c>
      <c r="F171" s="301" t="s">
        <v>1925</v>
      </c>
      <c r="G171" s="303" t="s">
        <v>1928</v>
      </c>
      <c r="H171" s="303"/>
      <c r="I171" s="303"/>
      <c r="J171" s="303"/>
      <c r="K171" s="303"/>
      <c r="L171" s="303"/>
      <c r="M171" s="303"/>
      <c r="N171" s="304" t="n">
        <v>44667</v>
      </c>
      <c r="O171" s="304" t="s">
        <v>335</v>
      </c>
      <c r="P171" s="304"/>
      <c r="Q171" s="304"/>
      <c r="R171" s="304"/>
      <c r="S171" s="304"/>
      <c r="T171" s="305"/>
      <c r="U171" s="306"/>
      <c r="V171" s="306" t="n">
        <v>44730</v>
      </c>
      <c r="W171" s="345"/>
      <c r="X171" s="303"/>
      <c r="Y171" s="301" t="s">
        <v>1925</v>
      </c>
      <c r="Z171" s="376" t="s">
        <v>1928</v>
      </c>
    </row>
    <row r="172" customFormat="false" ht="12.75" hidden="false" customHeight="true" outlineLevel="0" collapsed="false">
      <c r="A172" s="320" t="s">
        <v>1929</v>
      </c>
      <c r="B172" s="321" t="n">
        <v>169</v>
      </c>
      <c r="C172" s="321" t="s">
        <v>1625</v>
      </c>
      <c r="D172" s="321" t="s">
        <v>1930</v>
      </c>
      <c r="E172" s="321" t="s">
        <v>1931</v>
      </c>
      <c r="F172" s="320" t="s">
        <v>1929</v>
      </c>
      <c r="G172" s="322" t="s">
        <v>1932</v>
      </c>
      <c r="H172" s="302"/>
      <c r="I172" s="302"/>
      <c r="J172" s="302"/>
      <c r="K172" s="302"/>
      <c r="L172" s="302"/>
      <c r="M172" s="302"/>
      <c r="N172" s="304"/>
      <c r="O172" s="304"/>
      <c r="P172" s="304" t="n">
        <v>44667</v>
      </c>
      <c r="Q172" s="304" t="s">
        <v>67</v>
      </c>
      <c r="R172" s="304"/>
      <c r="S172" s="390"/>
      <c r="T172" s="391" t="s">
        <v>1933</v>
      </c>
      <c r="U172" s="344"/>
      <c r="V172" s="344" t="n">
        <v>44884</v>
      </c>
      <c r="W172" s="345" t="s">
        <v>152</v>
      </c>
      <c r="X172" s="302" t="s">
        <v>810</v>
      </c>
      <c r="Y172" s="301" t="s">
        <v>1929</v>
      </c>
      <c r="Z172" s="389" t="s">
        <v>1932</v>
      </c>
    </row>
    <row r="173" customFormat="false" ht="12.75" hidden="false" customHeight="true" outlineLevel="0" collapsed="false">
      <c r="A173" s="320" t="s">
        <v>800</v>
      </c>
      <c r="B173" s="321" t="n">
        <v>170</v>
      </c>
      <c r="C173" s="321" t="s">
        <v>1625</v>
      </c>
      <c r="D173" s="321" t="s">
        <v>801</v>
      </c>
      <c r="E173" s="321" t="s">
        <v>802</v>
      </c>
      <c r="F173" s="320" t="s">
        <v>800</v>
      </c>
      <c r="G173" s="322" t="s">
        <v>803</v>
      </c>
      <c r="H173" s="321" t="s">
        <v>1627</v>
      </c>
      <c r="I173" s="321" t="s">
        <v>1934</v>
      </c>
      <c r="J173" s="321"/>
      <c r="K173" s="321"/>
      <c r="L173" s="321"/>
      <c r="M173" s="321"/>
      <c r="N173" s="323"/>
      <c r="O173" s="323"/>
      <c r="P173" s="323"/>
      <c r="Q173" s="323"/>
      <c r="R173" s="323"/>
      <c r="S173" s="323"/>
      <c r="T173" s="324"/>
      <c r="U173" s="325"/>
      <c r="V173" s="325"/>
      <c r="W173" s="326" t="s">
        <v>55</v>
      </c>
      <c r="X173" s="321" t="s">
        <v>1935</v>
      </c>
      <c r="Y173" s="320" t="s">
        <v>800</v>
      </c>
      <c r="Z173" s="389" t="s">
        <v>803</v>
      </c>
    </row>
    <row r="174" customFormat="false" ht="12.75" hidden="false" customHeight="true" outlineLevel="0" collapsed="false">
      <c r="A174" s="301" t="s">
        <v>1936</v>
      </c>
      <c r="B174" s="302" t="n">
        <v>171</v>
      </c>
      <c r="C174" s="302" t="s">
        <v>1625</v>
      </c>
      <c r="D174" s="355" t="s">
        <v>1937</v>
      </c>
      <c r="E174" s="302" t="s">
        <v>1938</v>
      </c>
      <c r="F174" s="301" t="s">
        <v>1936</v>
      </c>
      <c r="G174" s="303" t="s">
        <v>1939</v>
      </c>
      <c r="H174" s="302" t="s">
        <v>1713</v>
      </c>
      <c r="I174" s="302" t="s">
        <v>1940</v>
      </c>
      <c r="J174" s="303"/>
      <c r="K174" s="303"/>
      <c r="L174" s="303"/>
      <c r="M174" s="303"/>
      <c r="N174" s="304"/>
      <c r="O174" s="304"/>
      <c r="P174" s="304"/>
      <c r="Q174" s="304"/>
      <c r="R174" s="304" t="n">
        <v>44786</v>
      </c>
      <c r="S174" s="304" t="s">
        <v>126</v>
      </c>
      <c r="T174" s="305"/>
      <c r="U174" s="306"/>
      <c r="V174" s="306" t="n">
        <v>44835</v>
      </c>
      <c r="W174" s="345"/>
      <c r="X174" s="303"/>
      <c r="Y174" s="301" t="s">
        <v>1936</v>
      </c>
      <c r="Z174" s="389" t="s">
        <v>1939</v>
      </c>
    </row>
    <row r="175" customFormat="false" ht="12.75" hidden="false" customHeight="true" outlineLevel="0" collapsed="false">
      <c r="A175" s="311" t="s">
        <v>806</v>
      </c>
      <c r="B175" s="312" t="n">
        <v>172</v>
      </c>
      <c r="C175" s="312" t="s">
        <v>1625</v>
      </c>
      <c r="D175" s="312" t="s">
        <v>807</v>
      </c>
      <c r="E175" s="312" t="s">
        <v>808</v>
      </c>
      <c r="F175" s="311" t="s">
        <v>806</v>
      </c>
      <c r="G175" s="313" t="s">
        <v>809</v>
      </c>
      <c r="H175" s="312"/>
      <c r="I175" s="312"/>
      <c r="J175" s="312"/>
      <c r="K175" s="312"/>
      <c r="L175" s="312"/>
      <c r="M175" s="312"/>
      <c r="N175" s="392" t="n">
        <v>44688</v>
      </c>
      <c r="O175" s="314" t="s">
        <v>49</v>
      </c>
      <c r="P175" s="314"/>
      <c r="Q175" s="314"/>
      <c r="R175" s="315"/>
      <c r="S175" s="315"/>
      <c r="T175" s="316"/>
      <c r="U175" s="393"/>
      <c r="V175" s="393"/>
      <c r="W175" s="318" t="s">
        <v>60</v>
      </c>
      <c r="X175" s="312" t="s">
        <v>810</v>
      </c>
      <c r="Y175" s="311" t="s">
        <v>806</v>
      </c>
      <c r="Z175" s="389" t="s">
        <v>809</v>
      </c>
    </row>
    <row r="176" customFormat="false" ht="12.75" hidden="false" customHeight="true" outlineLevel="0" collapsed="false">
      <c r="A176" s="301" t="s">
        <v>1941</v>
      </c>
      <c r="B176" s="302" t="n">
        <v>173</v>
      </c>
      <c r="C176" s="302" t="s">
        <v>1625</v>
      </c>
      <c r="D176" s="302" t="s">
        <v>1942</v>
      </c>
      <c r="E176" s="302" t="s">
        <v>1943</v>
      </c>
      <c r="F176" s="301" t="s">
        <v>1941</v>
      </c>
      <c r="G176" s="303" t="s">
        <v>1944</v>
      </c>
      <c r="H176" s="302" t="s">
        <v>1627</v>
      </c>
      <c r="I176" s="302" t="s">
        <v>1945</v>
      </c>
      <c r="J176" s="303"/>
      <c r="K176" s="303"/>
      <c r="L176" s="303"/>
      <c r="M176" s="303"/>
      <c r="N176" s="304"/>
      <c r="O176" s="304"/>
      <c r="P176" s="304" t="n">
        <v>44870</v>
      </c>
      <c r="Q176" s="304" t="s">
        <v>67</v>
      </c>
      <c r="R176" s="304" t="n">
        <v>44674</v>
      </c>
      <c r="S176" s="304" t="s">
        <v>49</v>
      </c>
      <c r="T176" s="305"/>
      <c r="U176" s="306"/>
      <c r="V176" s="306" t="n">
        <v>44961</v>
      </c>
      <c r="W176" s="345"/>
      <c r="X176" s="303"/>
      <c r="Y176" s="301" t="s">
        <v>1941</v>
      </c>
      <c r="Z176" s="389" t="s">
        <v>1944</v>
      </c>
    </row>
    <row r="177" customFormat="false" ht="12.75" hidden="false" customHeight="true" outlineLevel="0" collapsed="false">
      <c r="A177" s="320" t="s">
        <v>811</v>
      </c>
      <c r="B177" s="321" t="n">
        <v>174</v>
      </c>
      <c r="C177" s="321" t="s">
        <v>1625</v>
      </c>
      <c r="D177" s="321" t="s">
        <v>812</v>
      </c>
      <c r="E177" s="321" t="s">
        <v>283</v>
      </c>
      <c r="F177" s="320" t="s">
        <v>811</v>
      </c>
      <c r="G177" s="322" t="s">
        <v>813</v>
      </c>
      <c r="H177" s="321"/>
      <c r="I177" s="321"/>
      <c r="J177" s="321"/>
      <c r="K177" s="321"/>
      <c r="L177" s="321"/>
      <c r="M177" s="321"/>
      <c r="N177" s="323"/>
      <c r="O177" s="323"/>
      <c r="P177" s="323"/>
      <c r="Q177" s="323"/>
      <c r="R177" s="323"/>
      <c r="S177" s="323"/>
      <c r="T177" s="324"/>
      <c r="U177" s="325"/>
      <c r="V177" s="325"/>
      <c r="W177" s="326" t="s">
        <v>55</v>
      </c>
      <c r="X177" s="321" t="s">
        <v>1946</v>
      </c>
      <c r="Y177" s="320" t="s">
        <v>811</v>
      </c>
      <c r="Z177" s="389" t="s">
        <v>813</v>
      </c>
    </row>
    <row r="178" customFormat="false" ht="12.75" hidden="false" customHeight="true" outlineLevel="0" collapsed="false">
      <c r="A178" s="265" t="s">
        <v>815</v>
      </c>
      <c r="B178" s="262" t="n">
        <v>175</v>
      </c>
      <c r="C178" s="262" t="s">
        <v>1625</v>
      </c>
      <c r="D178" s="262" t="s">
        <v>816</v>
      </c>
      <c r="E178" s="262" t="s">
        <v>817</v>
      </c>
      <c r="F178" s="265" t="s">
        <v>815</v>
      </c>
      <c r="G178" s="270" t="s">
        <v>818</v>
      </c>
      <c r="H178" s="262" t="s">
        <v>1634</v>
      </c>
      <c r="I178" s="262" t="s">
        <v>1947</v>
      </c>
      <c r="J178" s="270"/>
      <c r="K178" s="270"/>
      <c r="L178" s="270"/>
      <c r="M178" s="270"/>
      <c r="N178" s="309"/>
      <c r="O178" s="309"/>
      <c r="P178" s="309" t="n">
        <v>44793</v>
      </c>
      <c r="Q178" s="309" t="s">
        <v>32</v>
      </c>
      <c r="R178" s="309"/>
      <c r="S178" s="309"/>
      <c r="T178" s="310"/>
      <c r="U178" s="278"/>
      <c r="V178" s="278"/>
      <c r="W178" s="279"/>
      <c r="X178" s="270"/>
      <c r="Y178" s="265" t="s">
        <v>815</v>
      </c>
      <c r="Z178" s="389" t="s">
        <v>818</v>
      </c>
    </row>
    <row r="179" customFormat="false" ht="12.75" hidden="false" customHeight="true" outlineLevel="0" collapsed="false">
      <c r="A179" s="265" t="s">
        <v>820</v>
      </c>
      <c r="B179" s="262" t="n">
        <v>176</v>
      </c>
      <c r="C179" s="262" t="s">
        <v>1625</v>
      </c>
      <c r="D179" s="262" t="s">
        <v>821</v>
      </c>
      <c r="E179" s="262" t="s">
        <v>822</v>
      </c>
      <c r="F179" s="265" t="s">
        <v>820</v>
      </c>
      <c r="G179" s="270" t="s">
        <v>823</v>
      </c>
      <c r="H179" s="270"/>
      <c r="I179" s="270"/>
      <c r="J179" s="270"/>
      <c r="K179" s="270"/>
      <c r="L179" s="270"/>
      <c r="M179" s="270"/>
      <c r="N179" s="309" t="n">
        <v>44674</v>
      </c>
      <c r="O179" s="309" t="s">
        <v>49</v>
      </c>
      <c r="P179" s="309"/>
      <c r="Q179" s="309"/>
      <c r="R179" s="309" t="n">
        <v>44575</v>
      </c>
      <c r="S179" s="277" t="s">
        <v>67</v>
      </c>
      <c r="T179" s="310"/>
      <c r="U179" s="278"/>
      <c r="V179" s="278"/>
      <c r="W179" s="279"/>
      <c r="X179" s="270"/>
      <c r="Y179" s="265" t="s">
        <v>820</v>
      </c>
      <c r="Z179" s="389" t="s">
        <v>823</v>
      </c>
    </row>
    <row r="180" customFormat="false" ht="12.75" hidden="false" customHeight="true" outlineLevel="0" collapsed="false">
      <c r="A180" s="301" t="s">
        <v>1948</v>
      </c>
      <c r="B180" s="302" t="n">
        <v>177</v>
      </c>
      <c r="C180" s="302" t="s">
        <v>1625</v>
      </c>
      <c r="D180" s="355" t="s">
        <v>1949</v>
      </c>
      <c r="E180" s="302" t="s">
        <v>1950</v>
      </c>
      <c r="F180" s="301" t="s">
        <v>1948</v>
      </c>
      <c r="G180" s="303" t="s">
        <v>1951</v>
      </c>
      <c r="H180" s="302" t="s">
        <v>1764</v>
      </c>
      <c r="I180" s="302" t="s">
        <v>1952</v>
      </c>
      <c r="J180" s="302"/>
      <c r="K180" s="302"/>
      <c r="L180" s="302"/>
      <c r="M180" s="302"/>
      <c r="N180" s="304"/>
      <c r="O180" s="304"/>
      <c r="P180" s="304"/>
      <c r="Q180" s="304"/>
      <c r="R180" s="304"/>
      <c r="S180" s="304"/>
      <c r="T180" s="394" t="s">
        <v>1953</v>
      </c>
      <c r="U180" s="344"/>
      <c r="V180" s="344" t="n">
        <v>44730</v>
      </c>
      <c r="W180" s="345" t="s">
        <v>152</v>
      </c>
      <c r="X180" s="302" t="s">
        <v>918</v>
      </c>
      <c r="Y180" s="301" t="s">
        <v>1948</v>
      </c>
      <c r="Z180" s="389" t="s">
        <v>1951</v>
      </c>
    </row>
    <row r="181" customFormat="false" ht="12.75" hidden="false" customHeight="true" outlineLevel="0" collapsed="false">
      <c r="A181" s="265" t="s">
        <v>824</v>
      </c>
      <c r="B181" s="262" t="n">
        <v>178</v>
      </c>
      <c r="C181" s="262" t="s">
        <v>1625</v>
      </c>
      <c r="D181" s="262" t="s">
        <v>825</v>
      </c>
      <c r="E181" s="262" t="s">
        <v>826</v>
      </c>
      <c r="F181" s="265" t="s">
        <v>824</v>
      </c>
      <c r="G181" s="270" t="s">
        <v>827</v>
      </c>
      <c r="H181" s="262" t="s">
        <v>1713</v>
      </c>
      <c r="I181" s="262" t="s">
        <v>1954</v>
      </c>
      <c r="J181" s="270"/>
      <c r="K181" s="270"/>
      <c r="L181" s="270"/>
      <c r="M181" s="270"/>
      <c r="N181" s="309"/>
      <c r="O181" s="309"/>
      <c r="P181" s="309" t="n">
        <v>44695</v>
      </c>
      <c r="Q181" s="309" t="s">
        <v>32</v>
      </c>
      <c r="R181" s="309" t="n">
        <v>44596</v>
      </c>
      <c r="S181" s="277" t="s">
        <v>67</v>
      </c>
      <c r="T181" s="310"/>
      <c r="U181" s="278"/>
      <c r="V181" s="278"/>
      <c r="W181" s="279"/>
      <c r="X181" s="270"/>
      <c r="Y181" s="265" t="s">
        <v>824</v>
      </c>
      <c r="Z181" s="389" t="s">
        <v>827</v>
      </c>
    </row>
    <row r="182" customFormat="false" ht="12.75" hidden="false" customHeight="true" outlineLevel="0" collapsed="false">
      <c r="A182" s="265" t="s">
        <v>829</v>
      </c>
      <c r="B182" s="262" t="n">
        <v>179</v>
      </c>
      <c r="C182" s="262" t="s">
        <v>1625</v>
      </c>
      <c r="D182" s="262" t="s">
        <v>830</v>
      </c>
      <c r="E182" s="262" t="s">
        <v>137</v>
      </c>
      <c r="F182" s="265" t="s">
        <v>829</v>
      </c>
      <c r="G182" s="270" t="s">
        <v>831</v>
      </c>
      <c r="H182" s="270"/>
      <c r="I182" s="270"/>
      <c r="J182" s="270"/>
      <c r="K182" s="270"/>
      <c r="L182" s="270"/>
      <c r="M182" s="270"/>
      <c r="N182" s="309"/>
      <c r="O182" s="309"/>
      <c r="P182" s="309" t="n">
        <v>44688</v>
      </c>
      <c r="Q182" s="309" t="s">
        <v>32</v>
      </c>
      <c r="R182" s="309" t="n">
        <v>44589</v>
      </c>
      <c r="S182" s="277" t="s">
        <v>49</v>
      </c>
      <c r="T182" s="310"/>
      <c r="U182" s="278"/>
      <c r="V182" s="278"/>
      <c r="W182" s="279"/>
      <c r="X182" s="270"/>
      <c r="Y182" s="265" t="s">
        <v>829</v>
      </c>
      <c r="Z182" s="389" t="s">
        <v>831</v>
      </c>
    </row>
    <row r="183" customFormat="false" ht="15.75" hidden="false" customHeight="true" outlineLevel="0" collapsed="false">
      <c r="A183" s="265" t="s">
        <v>832</v>
      </c>
      <c r="B183" s="262" t="n">
        <v>180</v>
      </c>
      <c r="C183" s="262" t="s">
        <v>1625</v>
      </c>
      <c r="D183" s="262" t="s">
        <v>833</v>
      </c>
      <c r="E183" s="262" t="s">
        <v>834</v>
      </c>
      <c r="F183" s="265" t="s">
        <v>832</v>
      </c>
      <c r="G183" s="270" t="s">
        <v>835</v>
      </c>
      <c r="H183" s="262" t="s">
        <v>1955</v>
      </c>
      <c r="I183" s="374" t="s">
        <v>1956</v>
      </c>
      <c r="J183" s="270"/>
      <c r="K183" s="270"/>
      <c r="L183" s="270"/>
      <c r="M183" s="270"/>
      <c r="N183" s="363"/>
      <c r="O183" s="363"/>
      <c r="P183" s="363"/>
      <c r="Q183" s="363"/>
      <c r="R183" s="309" t="n">
        <v>44905</v>
      </c>
      <c r="S183" s="309" t="s">
        <v>67</v>
      </c>
      <c r="T183" s="270"/>
      <c r="U183" s="395" t="n">
        <v>44779</v>
      </c>
      <c r="V183" s="278"/>
      <c r="W183" s="270"/>
      <c r="X183" s="270"/>
      <c r="Y183" s="265" t="s">
        <v>832</v>
      </c>
      <c r="Z183" s="270"/>
    </row>
    <row r="184" customFormat="false" ht="15.75" hidden="false" customHeight="true" outlineLevel="0" collapsed="false">
      <c r="A184" s="265" t="s">
        <v>837</v>
      </c>
      <c r="B184" s="262" t="n">
        <v>181</v>
      </c>
      <c r="C184" s="262" t="s">
        <v>1625</v>
      </c>
      <c r="D184" s="262" t="s">
        <v>838</v>
      </c>
      <c r="E184" s="262" t="s">
        <v>729</v>
      </c>
      <c r="F184" s="265" t="s">
        <v>837</v>
      </c>
      <c r="G184" s="270" t="s">
        <v>839</v>
      </c>
      <c r="H184" s="262" t="s">
        <v>1764</v>
      </c>
      <c r="I184" s="374" t="s">
        <v>1957</v>
      </c>
      <c r="J184" s="270"/>
      <c r="K184" s="270"/>
      <c r="L184" s="270"/>
      <c r="M184" s="270"/>
      <c r="N184" s="277"/>
      <c r="O184" s="277"/>
      <c r="P184" s="309" t="n">
        <v>44638</v>
      </c>
      <c r="Q184" s="277" t="s">
        <v>67</v>
      </c>
      <c r="R184" s="309" t="n">
        <v>44898</v>
      </c>
      <c r="S184" s="309" t="s">
        <v>126</v>
      </c>
      <c r="T184" s="270"/>
      <c r="U184" s="395" t="n">
        <v>44779</v>
      </c>
      <c r="V184" s="278"/>
      <c r="W184" s="270"/>
      <c r="X184" s="270"/>
      <c r="Y184" s="265" t="s">
        <v>837</v>
      </c>
      <c r="Z184" s="270"/>
    </row>
    <row r="185" customFormat="false" ht="12.75" hidden="false" customHeight="true" outlineLevel="0" collapsed="false">
      <c r="A185" s="328" t="s">
        <v>849</v>
      </c>
      <c r="B185" s="329" t="n">
        <v>182</v>
      </c>
      <c r="C185" s="329" t="s">
        <v>1592</v>
      </c>
      <c r="D185" s="329" t="s">
        <v>850</v>
      </c>
      <c r="E185" s="329" t="s">
        <v>851</v>
      </c>
      <c r="F185" s="328" t="s">
        <v>849</v>
      </c>
      <c r="G185" s="330" t="s">
        <v>852</v>
      </c>
      <c r="H185" s="329" t="s">
        <v>1634</v>
      </c>
      <c r="I185" s="329" t="s">
        <v>1958</v>
      </c>
      <c r="J185" s="329"/>
      <c r="K185" s="329"/>
      <c r="L185" s="329"/>
      <c r="M185" s="329"/>
      <c r="N185" s="314"/>
      <c r="O185" s="314"/>
      <c r="P185" s="314"/>
      <c r="Q185" s="314"/>
      <c r="R185" s="331"/>
      <c r="S185" s="331"/>
      <c r="T185" s="352"/>
      <c r="U185" s="333"/>
      <c r="V185" s="333"/>
      <c r="W185" s="334" t="s">
        <v>152</v>
      </c>
      <c r="X185" s="329" t="s">
        <v>217</v>
      </c>
      <c r="Y185" s="328" t="s">
        <v>849</v>
      </c>
      <c r="Z185" s="389" t="s">
        <v>852</v>
      </c>
    </row>
    <row r="186" customFormat="false" ht="12.75" hidden="false" customHeight="true" outlineLevel="0" collapsed="false">
      <c r="A186" s="320" t="s">
        <v>854</v>
      </c>
      <c r="B186" s="321" t="n">
        <v>183</v>
      </c>
      <c r="C186" s="321" t="s">
        <v>1592</v>
      </c>
      <c r="D186" s="321" t="s">
        <v>855</v>
      </c>
      <c r="E186" s="321" t="s">
        <v>856</v>
      </c>
      <c r="F186" s="320" t="s">
        <v>854</v>
      </c>
      <c r="G186" s="322" t="s">
        <v>857</v>
      </c>
      <c r="H186" s="321" t="s">
        <v>1713</v>
      </c>
      <c r="I186" s="302" t="s">
        <v>1959</v>
      </c>
      <c r="J186" s="302"/>
      <c r="K186" s="302"/>
      <c r="L186" s="302"/>
      <c r="M186" s="302"/>
      <c r="N186" s="304"/>
      <c r="O186" s="304"/>
      <c r="P186" s="304"/>
      <c r="Q186" s="304"/>
      <c r="R186" s="304"/>
      <c r="S186" s="304"/>
      <c r="T186" s="305"/>
      <c r="U186" s="344"/>
      <c r="V186" s="344"/>
      <c r="W186" s="345" t="s">
        <v>510</v>
      </c>
      <c r="X186" s="302" t="s">
        <v>299</v>
      </c>
      <c r="Y186" s="301" t="s">
        <v>854</v>
      </c>
      <c r="Z186" s="388" t="s">
        <v>857</v>
      </c>
    </row>
    <row r="187" customFormat="false" ht="12.75" hidden="false" customHeight="true" outlineLevel="0" collapsed="false">
      <c r="A187" s="265" t="s">
        <v>860</v>
      </c>
      <c r="B187" s="262" t="n">
        <v>184</v>
      </c>
      <c r="C187" s="262" t="s">
        <v>1592</v>
      </c>
      <c r="D187" s="262" t="s">
        <v>861</v>
      </c>
      <c r="E187" s="262" t="s">
        <v>862</v>
      </c>
      <c r="F187" s="265" t="s">
        <v>860</v>
      </c>
      <c r="G187" s="376" t="s">
        <v>863</v>
      </c>
      <c r="H187" s="262" t="s">
        <v>1764</v>
      </c>
      <c r="I187" s="262" t="s">
        <v>1960</v>
      </c>
      <c r="J187" s="270"/>
      <c r="K187" s="270"/>
      <c r="L187" s="270"/>
      <c r="M187" s="270"/>
      <c r="N187" s="309"/>
      <c r="O187" s="309"/>
      <c r="P187" s="309" t="n">
        <v>44730</v>
      </c>
      <c r="Q187" s="309" t="s">
        <v>67</v>
      </c>
      <c r="R187" s="309"/>
      <c r="S187" s="309"/>
      <c r="T187" s="310"/>
      <c r="U187" s="278"/>
      <c r="V187" s="278"/>
      <c r="W187" s="279"/>
      <c r="X187" s="270"/>
      <c r="Y187" s="265" t="s">
        <v>860</v>
      </c>
      <c r="Z187" s="389" t="s">
        <v>865</v>
      </c>
    </row>
    <row r="188" customFormat="false" ht="12.75" hidden="false" customHeight="true" outlineLevel="0" collapsed="false">
      <c r="A188" s="301" t="s">
        <v>1440</v>
      </c>
      <c r="B188" s="302" t="n">
        <v>185</v>
      </c>
      <c r="C188" s="302" t="s">
        <v>1592</v>
      </c>
      <c r="D188" s="302" t="s">
        <v>1961</v>
      </c>
      <c r="E188" s="302" t="s">
        <v>1442</v>
      </c>
      <c r="F188" s="301" t="s">
        <v>1440</v>
      </c>
      <c r="G188" s="303" t="s">
        <v>1962</v>
      </c>
      <c r="H188" s="302" t="s">
        <v>1702</v>
      </c>
      <c r="I188" s="302" t="s">
        <v>1963</v>
      </c>
      <c r="J188" s="303"/>
      <c r="K188" s="303"/>
      <c r="L188" s="303"/>
      <c r="M188" s="303"/>
      <c r="N188" s="304" t="n">
        <v>44575</v>
      </c>
      <c r="O188" s="319" t="s">
        <v>335</v>
      </c>
      <c r="P188" s="304"/>
      <c r="Q188" s="304"/>
      <c r="R188" s="304" t="n">
        <v>44786</v>
      </c>
      <c r="S188" s="319" t="s">
        <v>49</v>
      </c>
      <c r="T188" s="305"/>
      <c r="U188" s="306"/>
      <c r="V188" s="306" t="n">
        <v>45003</v>
      </c>
      <c r="W188" s="345"/>
      <c r="X188" s="303"/>
      <c r="Y188" s="301" t="s">
        <v>1440</v>
      </c>
      <c r="Z188" s="396" t="s">
        <v>610</v>
      </c>
    </row>
    <row r="189" customFormat="false" ht="12.75" hidden="false" customHeight="true" outlineLevel="0" collapsed="false">
      <c r="A189" s="301" t="s">
        <v>1964</v>
      </c>
      <c r="B189" s="302" t="n">
        <v>186</v>
      </c>
      <c r="C189" s="302" t="s">
        <v>1592</v>
      </c>
      <c r="D189" s="355" t="s">
        <v>1965</v>
      </c>
      <c r="E189" s="302" t="s">
        <v>1966</v>
      </c>
      <c r="F189" s="301" t="s">
        <v>1964</v>
      </c>
      <c r="G189" s="303" t="s">
        <v>1967</v>
      </c>
      <c r="H189" s="303"/>
      <c r="I189" s="303"/>
      <c r="J189" s="303"/>
      <c r="K189" s="303"/>
      <c r="L189" s="303"/>
      <c r="M189" s="303"/>
      <c r="N189" s="304"/>
      <c r="O189" s="304"/>
      <c r="P189" s="304" t="n">
        <v>44674</v>
      </c>
      <c r="Q189" s="304" t="s">
        <v>32</v>
      </c>
      <c r="R189" s="304"/>
      <c r="S189" s="304"/>
      <c r="T189" s="305"/>
      <c r="U189" s="306"/>
      <c r="V189" s="306" t="n">
        <v>44730</v>
      </c>
      <c r="W189" s="345"/>
      <c r="X189" s="303"/>
      <c r="Y189" s="301" t="s">
        <v>1964</v>
      </c>
      <c r="Z189" s="389" t="s">
        <v>1967</v>
      </c>
    </row>
    <row r="190" customFormat="false" ht="12.75" hidden="false" customHeight="true" outlineLevel="0" collapsed="false">
      <c r="A190" s="301" t="s">
        <v>866</v>
      </c>
      <c r="B190" s="302" t="n">
        <v>187</v>
      </c>
      <c r="C190" s="302" t="s">
        <v>1592</v>
      </c>
      <c r="D190" s="302" t="s">
        <v>867</v>
      </c>
      <c r="E190" s="302" t="s">
        <v>868</v>
      </c>
      <c r="F190" s="301" t="s">
        <v>866</v>
      </c>
      <c r="G190" s="303" t="s">
        <v>869</v>
      </c>
      <c r="H190" s="302" t="s">
        <v>1760</v>
      </c>
      <c r="I190" s="302" t="s">
        <v>1968</v>
      </c>
      <c r="J190" s="303"/>
      <c r="K190" s="303"/>
      <c r="L190" s="303"/>
      <c r="M190" s="303"/>
      <c r="N190" s="304"/>
      <c r="O190" s="304"/>
      <c r="P190" s="304" t="n">
        <v>44793</v>
      </c>
      <c r="Q190" s="304" t="s">
        <v>67</v>
      </c>
      <c r="R190" s="304"/>
      <c r="S190" s="304"/>
      <c r="T190" s="380" t="s">
        <v>1969</v>
      </c>
      <c r="U190" s="306"/>
      <c r="V190" s="306" t="n">
        <v>45073</v>
      </c>
      <c r="W190" s="345"/>
      <c r="X190" s="303"/>
      <c r="Y190" s="301" t="s">
        <v>866</v>
      </c>
      <c r="Z190" s="396" t="s">
        <v>871</v>
      </c>
    </row>
    <row r="191" customFormat="false" ht="12.75" hidden="false" customHeight="true" outlineLevel="0" collapsed="false">
      <c r="A191" s="290" t="s">
        <v>872</v>
      </c>
      <c r="B191" s="291" t="n">
        <v>188</v>
      </c>
      <c r="C191" s="291" t="s">
        <v>1592</v>
      </c>
      <c r="D191" s="291" t="s">
        <v>873</v>
      </c>
      <c r="E191" s="291" t="s">
        <v>874</v>
      </c>
      <c r="F191" s="290" t="s">
        <v>872</v>
      </c>
      <c r="G191" s="292" t="s">
        <v>875</v>
      </c>
      <c r="H191" s="291" t="s">
        <v>1702</v>
      </c>
      <c r="I191" s="291" t="s">
        <v>1970</v>
      </c>
      <c r="J191" s="292"/>
      <c r="K191" s="292"/>
      <c r="L191" s="292"/>
      <c r="M191" s="292"/>
      <c r="N191" s="293" t="s">
        <v>1971</v>
      </c>
      <c r="O191" s="293" t="s">
        <v>1972</v>
      </c>
      <c r="P191" s="314"/>
      <c r="Q191" s="314"/>
      <c r="R191" s="295" t="n">
        <v>44814</v>
      </c>
      <c r="S191" s="293" t="s">
        <v>67</v>
      </c>
      <c r="T191" s="397" t="s">
        <v>1973</v>
      </c>
      <c r="U191" s="297"/>
      <c r="V191" s="297"/>
      <c r="W191" s="298" t="s">
        <v>103</v>
      </c>
      <c r="X191" s="299" t="s">
        <v>299</v>
      </c>
      <c r="Y191" s="290" t="s">
        <v>872</v>
      </c>
      <c r="Z191" s="389" t="s">
        <v>875</v>
      </c>
    </row>
    <row r="192" customFormat="false" ht="12.75" hidden="false" customHeight="true" outlineLevel="0" collapsed="false">
      <c r="A192" s="301" t="s">
        <v>1974</v>
      </c>
      <c r="B192" s="302" t="n">
        <v>189</v>
      </c>
      <c r="C192" s="302" t="s">
        <v>1592</v>
      </c>
      <c r="D192" s="355" t="s">
        <v>1975</v>
      </c>
      <c r="E192" s="302" t="s">
        <v>1976</v>
      </c>
      <c r="F192" s="301" t="s">
        <v>1974</v>
      </c>
      <c r="G192" s="303" t="s">
        <v>1977</v>
      </c>
      <c r="H192" s="302"/>
      <c r="I192" s="302"/>
      <c r="J192" s="302"/>
      <c r="K192" s="302"/>
      <c r="L192" s="302"/>
      <c r="M192" s="302"/>
      <c r="N192" s="319" t="s">
        <v>1978</v>
      </c>
      <c r="O192" s="319" t="s">
        <v>1979</v>
      </c>
      <c r="P192" s="304"/>
      <c r="Q192" s="304"/>
      <c r="R192" s="304"/>
      <c r="S192" s="304"/>
      <c r="T192" s="305" t="s">
        <v>1980</v>
      </c>
      <c r="U192" s="344"/>
      <c r="V192" s="398" t="n">
        <v>44800</v>
      </c>
      <c r="W192" s="345" t="s">
        <v>103</v>
      </c>
      <c r="X192" s="302" t="s">
        <v>299</v>
      </c>
      <c r="Y192" s="301" t="s">
        <v>1974</v>
      </c>
      <c r="Z192" s="389" t="s">
        <v>1977</v>
      </c>
    </row>
    <row r="193" customFormat="false" ht="12.75" hidden="false" customHeight="true" outlineLevel="0" collapsed="false">
      <c r="A193" s="311" t="s">
        <v>877</v>
      </c>
      <c r="B193" s="312" t="n">
        <v>190</v>
      </c>
      <c r="C193" s="312" t="s">
        <v>1592</v>
      </c>
      <c r="D193" s="312" t="s">
        <v>878</v>
      </c>
      <c r="E193" s="312" t="s">
        <v>879</v>
      </c>
      <c r="F193" s="311" t="s">
        <v>877</v>
      </c>
      <c r="G193" s="313" t="s">
        <v>880</v>
      </c>
      <c r="H193" s="312" t="s">
        <v>1634</v>
      </c>
      <c r="I193" s="312" t="s">
        <v>1981</v>
      </c>
      <c r="J193" s="312"/>
      <c r="K193" s="312"/>
      <c r="L193" s="312"/>
      <c r="M193" s="312"/>
      <c r="N193" s="314"/>
      <c r="O193" s="314"/>
      <c r="P193" s="314"/>
      <c r="Q193" s="314"/>
      <c r="R193" s="315"/>
      <c r="S193" s="315"/>
      <c r="T193" s="316"/>
      <c r="U193" s="317"/>
      <c r="V193" s="317"/>
      <c r="W193" s="318" t="s">
        <v>60</v>
      </c>
      <c r="X193" s="312" t="s">
        <v>217</v>
      </c>
      <c r="Y193" s="311" t="s">
        <v>877</v>
      </c>
      <c r="Z193" s="389" t="s">
        <v>880</v>
      </c>
    </row>
    <row r="194" customFormat="false" ht="12.75" hidden="false" customHeight="true" outlineLevel="0" collapsed="false">
      <c r="A194" s="336" t="s">
        <v>882</v>
      </c>
      <c r="B194" s="337" t="n">
        <v>191</v>
      </c>
      <c r="C194" s="337" t="s">
        <v>1592</v>
      </c>
      <c r="D194" s="337" t="s">
        <v>883</v>
      </c>
      <c r="E194" s="337" t="s">
        <v>884</v>
      </c>
      <c r="F194" s="336" t="s">
        <v>882</v>
      </c>
      <c r="G194" s="338" t="s">
        <v>885</v>
      </c>
      <c r="H194" s="337" t="s">
        <v>1713</v>
      </c>
      <c r="I194" s="337" t="s">
        <v>1982</v>
      </c>
      <c r="J194" s="337"/>
      <c r="K194" s="337"/>
      <c r="L194" s="337"/>
      <c r="M194" s="337"/>
      <c r="N194" s="399"/>
      <c r="O194" s="399"/>
      <c r="P194" s="399"/>
      <c r="Q194" s="399"/>
      <c r="R194" s="339" t="s">
        <v>1983</v>
      </c>
      <c r="S194" s="339" t="s">
        <v>32</v>
      </c>
      <c r="T194" s="400" t="s">
        <v>1984</v>
      </c>
      <c r="U194" s="342"/>
      <c r="V194" s="342"/>
      <c r="W194" s="343" t="s">
        <v>240</v>
      </c>
      <c r="X194" s="337" t="s">
        <v>1729</v>
      </c>
      <c r="Y194" s="336" t="s">
        <v>882</v>
      </c>
      <c r="Z194" s="389" t="s">
        <v>885</v>
      </c>
    </row>
    <row r="195" customFormat="false" ht="12.75" hidden="false" customHeight="true" outlineLevel="0" collapsed="false">
      <c r="A195" s="265" t="s">
        <v>888</v>
      </c>
      <c r="B195" s="262" t="n">
        <v>192</v>
      </c>
      <c r="C195" s="262" t="s">
        <v>1592</v>
      </c>
      <c r="D195" s="262" t="s">
        <v>889</v>
      </c>
      <c r="E195" s="262" t="s">
        <v>890</v>
      </c>
      <c r="F195" s="265" t="s">
        <v>888</v>
      </c>
      <c r="G195" s="270" t="s">
        <v>891</v>
      </c>
      <c r="H195" s="262" t="s">
        <v>1713</v>
      </c>
      <c r="I195" s="262" t="s">
        <v>1985</v>
      </c>
      <c r="J195" s="262" t="s">
        <v>1760</v>
      </c>
      <c r="K195" s="262" t="s">
        <v>1986</v>
      </c>
      <c r="L195" s="270"/>
      <c r="M195" s="270"/>
      <c r="N195" s="309"/>
      <c r="O195" s="309"/>
      <c r="P195" s="309" t="n">
        <v>44589</v>
      </c>
      <c r="Q195" s="277" t="s">
        <v>32</v>
      </c>
      <c r="R195" s="309" t="n">
        <v>44814</v>
      </c>
      <c r="S195" s="277" t="s">
        <v>126</v>
      </c>
      <c r="T195" s="310"/>
      <c r="U195" s="278"/>
      <c r="V195" s="278"/>
      <c r="W195" s="279"/>
      <c r="X195" s="270"/>
      <c r="Y195" s="265" t="s">
        <v>888</v>
      </c>
      <c r="Z195" s="389" t="s">
        <v>891</v>
      </c>
    </row>
    <row r="196" customFormat="false" ht="12.75" hidden="false" customHeight="true" outlineLevel="0" collapsed="false">
      <c r="A196" s="359" t="s">
        <v>894</v>
      </c>
      <c r="B196" s="262" t="n">
        <v>193</v>
      </c>
      <c r="C196" s="262" t="s">
        <v>1592</v>
      </c>
      <c r="D196" s="262" t="s">
        <v>895</v>
      </c>
      <c r="E196" s="262" t="s">
        <v>615</v>
      </c>
      <c r="F196" s="265" t="s">
        <v>896</v>
      </c>
      <c r="G196" s="270" t="s">
        <v>897</v>
      </c>
      <c r="H196" s="262"/>
      <c r="I196" s="262"/>
      <c r="J196" s="262"/>
      <c r="K196" s="262"/>
      <c r="L196" s="270"/>
      <c r="M196" s="270"/>
      <c r="N196" s="362"/>
      <c r="O196" s="362"/>
      <c r="P196" s="362"/>
      <c r="Q196" s="362"/>
      <c r="R196" s="309" t="n">
        <v>44898</v>
      </c>
      <c r="S196" s="309" t="s">
        <v>49</v>
      </c>
      <c r="T196" s="310"/>
      <c r="U196" s="278" t="n">
        <v>44793</v>
      </c>
      <c r="V196" s="278"/>
      <c r="W196" s="279"/>
      <c r="X196" s="270"/>
      <c r="Y196" s="359" t="s">
        <v>894</v>
      </c>
      <c r="Z196" s="389"/>
    </row>
    <row r="197" customFormat="false" ht="12.75" hidden="false" customHeight="true" outlineLevel="0" collapsed="false">
      <c r="A197" s="301" t="s">
        <v>1452</v>
      </c>
      <c r="B197" s="302" t="n">
        <v>194</v>
      </c>
      <c r="C197" s="302" t="s">
        <v>1672</v>
      </c>
      <c r="D197" s="302" t="s">
        <v>1987</v>
      </c>
      <c r="E197" s="302" t="s">
        <v>1454</v>
      </c>
      <c r="F197" s="301" t="s">
        <v>1452</v>
      </c>
      <c r="G197" s="303" t="s">
        <v>1988</v>
      </c>
      <c r="H197" s="303"/>
      <c r="I197" s="303"/>
      <c r="J197" s="303"/>
      <c r="K197" s="303"/>
      <c r="L197" s="303"/>
      <c r="M197" s="303"/>
      <c r="N197" s="304" t="n">
        <v>44779</v>
      </c>
      <c r="O197" s="304" t="s">
        <v>335</v>
      </c>
      <c r="P197" s="304"/>
      <c r="Q197" s="304"/>
      <c r="R197" s="304"/>
      <c r="S197" s="304"/>
      <c r="T197" s="305"/>
      <c r="U197" s="306"/>
      <c r="V197" s="306" t="n">
        <v>45003</v>
      </c>
      <c r="W197" s="345"/>
      <c r="X197" s="303"/>
      <c r="Y197" s="301" t="s">
        <v>1452</v>
      </c>
      <c r="Z197" s="396" t="s">
        <v>1988</v>
      </c>
    </row>
    <row r="198" customFormat="false" ht="12.75" hidden="false" customHeight="true" outlineLevel="0" collapsed="false">
      <c r="A198" s="265" t="s">
        <v>1164</v>
      </c>
      <c r="B198" s="262" t="n">
        <v>195</v>
      </c>
      <c r="C198" s="262" t="s">
        <v>1760</v>
      </c>
      <c r="D198" s="262" t="s">
        <v>1165</v>
      </c>
      <c r="E198" s="265" t="s">
        <v>1166</v>
      </c>
      <c r="F198" s="265" t="s">
        <v>1164</v>
      </c>
      <c r="G198" s="270" t="s">
        <v>1167</v>
      </c>
      <c r="H198" s="262"/>
      <c r="I198" s="262"/>
      <c r="J198" s="270"/>
      <c r="K198" s="262"/>
      <c r="L198" s="270"/>
      <c r="M198" s="270"/>
      <c r="N198" s="309"/>
      <c r="O198" s="309"/>
      <c r="P198" s="309" t="n">
        <v>44589</v>
      </c>
      <c r="Q198" s="277" t="s">
        <v>67</v>
      </c>
      <c r="R198" s="309" t="n">
        <v>44814</v>
      </c>
      <c r="S198" s="277" t="s">
        <v>49</v>
      </c>
      <c r="T198" s="310"/>
      <c r="U198" s="278"/>
      <c r="V198" s="278"/>
      <c r="W198" s="279"/>
      <c r="X198" s="270"/>
      <c r="Y198" s="265" t="s">
        <v>1164</v>
      </c>
      <c r="Z198" s="388" t="s">
        <v>1167</v>
      </c>
    </row>
    <row r="199" customFormat="false" ht="12.75" hidden="false" customHeight="true" outlineLevel="0" collapsed="false">
      <c r="A199" s="320" t="s">
        <v>1989</v>
      </c>
      <c r="B199" s="321" t="n">
        <v>196</v>
      </c>
      <c r="C199" s="321" t="s">
        <v>1672</v>
      </c>
      <c r="D199" s="321" t="s">
        <v>1990</v>
      </c>
      <c r="E199" s="321" t="s">
        <v>1991</v>
      </c>
      <c r="F199" s="320" t="s">
        <v>1989</v>
      </c>
      <c r="G199" s="322" t="s">
        <v>1992</v>
      </c>
      <c r="H199" s="321"/>
      <c r="I199" s="321"/>
      <c r="J199" s="321"/>
      <c r="K199" s="321"/>
      <c r="L199" s="321"/>
      <c r="M199" s="321"/>
      <c r="N199" s="323"/>
      <c r="O199" s="323"/>
      <c r="P199" s="323"/>
      <c r="Q199" s="323"/>
      <c r="R199" s="323"/>
      <c r="S199" s="323"/>
      <c r="T199" s="324"/>
      <c r="U199" s="325"/>
      <c r="V199" s="325" t="n">
        <v>44940</v>
      </c>
      <c r="W199" s="326" t="s">
        <v>55</v>
      </c>
      <c r="X199" s="321" t="s">
        <v>1675</v>
      </c>
      <c r="Y199" s="320" t="s">
        <v>1989</v>
      </c>
      <c r="Z199" s="389" t="s">
        <v>1992</v>
      </c>
    </row>
    <row r="200" customFormat="false" ht="12.75" hidden="false" customHeight="true" outlineLevel="0" collapsed="false">
      <c r="A200" s="301" t="s">
        <v>1993</v>
      </c>
      <c r="B200" s="302" t="n">
        <v>197</v>
      </c>
      <c r="C200" s="302" t="s">
        <v>1672</v>
      </c>
      <c r="D200" s="355" t="s">
        <v>1994</v>
      </c>
      <c r="E200" s="302" t="s">
        <v>423</v>
      </c>
      <c r="F200" s="301" t="s">
        <v>1993</v>
      </c>
      <c r="G200" s="303" t="s">
        <v>1995</v>
      </c>
      <c r="H200" s="303"/>
      <c r="I200" s="303"/>
      <c r="J200" s="303"/>
      <c r="K200" s="303"/>
      <c r="L200" s="303"/>
      <c r="M200" s="303"/>
      <c r="N200" s="304"/>
      <c r="O200" s="304"/>
      <c r="P200" s="304" t="n">
        <v>44842</v>
      </c>
      <c r="Q200" s="319" t="s">
        <v>32</v>
      </c>
      <c r="R200" s="304"/>
      <c r="S200" s="304"/>
      <c r="T200" s="305"/>
      <c r="U200" s="306"/>
      <c r="V200" s="306" t="n">
        <v>44779</v>
      </c>
      <c r="W200" s="345"/>
      <c r="X200" s="303"/>
      <c r="Y200" s="301" t="s">
        <v>1993</v>
      </c>
      <c r="Z200" s="389" t="s">
        <v>1995</v>
      </c>
    </row>
    <row r="201" customFormat="false" ht="12.75" hidden="false" customHeight="true" outlineLevel="0" collapsed="false">
      <c r="A201" s="301" t="s">
        <v>1456</v>
      </c>
      <c r="B201" s="302" t="n">
        <v>198</v>
      </c>
      <c r="C201" s="302" t="s">
        <v>1672</v>
      </c>
      <c r="D201" s="302" t="s">
        <v>1996</v>
      </c>
      <c r="E201" s="302" t="s">
        <v>1458</v>
      </c>
      <c r="F201" s="301" t="s">
        <v>1456</v>
      </c>
      <c r="G201" s="303" t="s">
        <v>1997</v>
      </c>
      <c r="H201" s="302"/>
      <c r="I201" s="302"/>
      <c r="J201" s="302"/>
      <c r="K201" s="302"/>
      <c r="L201" s="302"/>
      <c r="M201" s="302"/>
      <c r="N201" s="304"/>
      <c r="O201" s="304"/>
      <c r="P201" s="304"/>
      <c r="Q201" s="304"/>
      <c r="R201" s="304"/>
      <c r="S201" s="304"/>
      <c r="T201" s="305"/>
      <c r="U201" s="344"/>
      <c r="V201" s="344" t="n">
        <v>45003</v>
      </c>
      <c r="W201" s="345" t="s">
        <v>152</v>
      </c>
      <c r="X201" s="302" t="s">
        <v>903</v>
      </c>
      <c r="Y201" s="301" t="s">
        <v>1456</v>
      </c>
      <c r="Z201" s="389" t="s">
        <v>1997</v>
      </c>
    </row>
    <row r="202" customFormat="false" ht="12.75" hidden="false" customHeight="true" outlineLevel="0" collapsed="false">
      <c r="A202" s="311" t="s">
        <v>898</v>
      </c>
      <c r="B202" s="312" t="n">
        <v>199</v>
      </c>
      <c r="C202" s="312" t="s">
        <v>1672</v>
      </c>
      <c r="D202" s="312" t="s">
        <v>899</v>
      </c>
      <c r="E202" s="312" t="s">
        <v>900</v>
      </c>
      <c r="F202" s="311" t="s">
        <v>898</v>
      </c>
      <c r="G202" s="313" t="s">
        <v>902</v>
      </c>
      <c r="H202" s="313"/>
      <c r="I202" s="313"/>
      <c r="J202" s="313"/>
      <c r="K202" s="313"/>
      <c r="L202" s="313"/>
      <c r="M202" s="313"/>
      <c r="N202" s="314"/>
      <c r="O202" s="314"/>
      <c r="P202" s="314"/>
      <c r="Q202" s="274"/>
      <c r="R202" s="315"/>
      <c r="S202" s="315"/>
      <c r="T202" s="316" t="s">
        <v>1998</v>
      </c>
      <c r="U202" s="401"/>
      <c r="V202" s="401"/>
      <c r="W202" s="318" t="s">
        <v>60</v>
      </c>
      <c r="X202" s="402" t="s">
        <v>903</v>
      </c>
      <c r="Y202" s="311" t="s">
        <v>898</v>
      </c>
      <c r="Z202" s="389" t="s">
        <v>902</v>
      </c>
    </row>
    <row r="203" customFormat="false" ht="12.75" hidden="false" customHeight="true" outlineLevel="0" collapsed="false">
      <c r="A203" s="265" t="s">
        <v>904</v>
      </c>
      <c r="B203" s="262" t="n">
        <v>200</v>
      </c>
      <c r="C203" s="262" t="s">
        <v>1672</v>
      </c>
      <c r="D203" s="262" t="s">
        <v>905</v>
      </c>
      <c r="E203" s="262" t="s">
        <v>906</v>
      </c>
      <c r="F203" s="265" t="s">
        <v>904</v>
      </c>
      <c r="G203" s="270" t="s">
        <v>907</v>
      </c>
      <c r="H203" s="262"/>
      <c r="I203" s="262"/>
      <c r="J203" s="270"/>
      <c r="K203" s="270"/>
      <c r="L203" s="270"/>
      <c r="M203" s="270"/>
      <c r="N203" s="309"/>
      <c r="O203" s="309"/>
      <c r="P203" s="309" t="n">
        <v>44842</v>
      </c>
      <c r="Q203" s="309" t="s">
        <v>67</v>
      </c>
      <c r="R203" s="309" t="n">
        <v>44681</v>
      </c>
      <c r="S203" s="309" t="s">
        <v>126</v>
      </c>
      <c r="T203" s="310"/>
      <c r="U203" s="278"/>
      <c r="V203" s="278"/>
      <c r="W203" s="279"/>
      <c r="X203" s="270"/>
      <c r="Y203" s="265" t="s">
        <v>904</v>
      </c>
      <c r="Z203" s="389" t="s">
        <v>907</v>
      </c>
    </row>
    <row r="204" customFormat="false" ht="12.75" hidden="false" customHeight="true" outlineLevel="0" collapsed="false">
      <c r="A204" s="301" t="s">
        <v>1999</v>
      </c>
      <c r="B204" s="302" t="n">
        <v>201</v>
      </c>
      <c r="C204" s="302" t="s">
        <v>1672</v>
      </c>
      <c r="D204" s="355" t="s">
        <v>2000</v>
      </c>
      <c r="E204" s="302" t="s">
        <v>2001</v>
      </c>
      <c r="F204" s="301" t="s">
        <v>1999</v>
      </c>
      <c r="G204" s="303" t="s">
        <v>2002</v>
      </c>
      <c r="H204" s="302"/>
      <c r="I204" s="302"/>
      <c r="J204" s="302"/>
      <c r="K204" s="302"/>
      <c r="L204" s="302"/>
      <c r="M204" s="302"/>
      <c r="N204" s="304"/>
      <c r="O204" s="319"/>
      <c r="P204" s="304"/>
      <c r="Q204" s="319"/>
      <c r="R204" s="304"/>
      <c r="S204" s="319"/>
      <c r="T204" s="305"/>
      <c r="U204" s="344"/>
      <c r="V204" s="344" t="n">
        <v>44730</v>
      </c>
      <c r="W204" s="345"/>
      <c r="X204" s="302" t="s">
        <v>2003</v>
      </c>
      <c r="Y204" s="301" t="s">
        <v>1999</v>
      </c>
      <c r="Z204" s="389" t="s">
        <v>2002</v>
      </c>
    </row>
    <row r="205" customFormat="false" ht="12.75" hidden="false" customHeight="true" outlineLevel="0" collapsed="false">
      <c r="A205" s="290" t="s">
        <v>908</v>
      </c>
      <c r="B205" s="291" t="n">
        <v>202</v>
      </c>
      <c r="C205" s="291" t="s">
        <v>1672</v>
      </c>
      <c r="D205" s="291" t="s">
        <v>909</v>
      </c>
      <c r="E205" s="291" t="s">
        <v>910</v>
      </c>
      <c r="F205" s="290" t="s">
        <v>908</v>
      </c>
      <c r="G205" s="292" t="s">
        <v>911</v>
      </c>
      <c r="H205" s="291" t="s">
        <v>1634</v>
      </c>
      <c r="I205" s="291" t="s">
        <v>2004</v>
      </c>
      <c r="J205" s="291"/>
      <c r="K205" s="291"/>
      <c r="L205" s="291"/>
      <c r="M205" s="291"/>
      <c r="N205" s="293" t="s">
        <v>2005</v>
      </c>
      <c r="O205" s="293" t="s">
        <v>2006</v>
      </c>
      <c r="P205" s="314"/>
      <c r="Q205" s="314"/>
      <c r="R205" s="295"/>
      <c r="S205" s="295"/>
      <c r="T205" s="296" t="s">
        <v>2007</v>
      </c>
      <c r="U205" s="349"/>
      <c r="V205" s="349"/>
      <c r="W205" s="298" t="s">
        <v>103</v>
      </c>
      <c r="X205" s="291" t="s">
        <v>903</v>
      </c>
      <c r="Y205" s="290" t="s">
        <v>908</v>
      </c>
      <c r="Z205" s="389" t="s">
        <v>911</v>
      </c>
    </row>
    <row r="206" customFormat="false" ht="15.75" hidden="false" customHeight="true" outlineLevel="0" collapsed="false">
      <c r="A206" s="311" t="s">
        <v>913</v>
      </c>
      <c r="B206" s="312" t="n">
        <v>203</v>
      </c>
      <c r="C206" s="312" t="s">
        <v>1672</v>
      </c>
      <c r="D206" s="312" t="s">
        <v>914</v>
      </c>
      <c r="E206" s="312" t="s">
        <v>915</v>
      </c>
      <c r="F206" s="311" t="s">
        <v>913</v>
      </c>
      <c r="G206" s="313" t="s">
        <v>916</v>
      </c>
      <c r="H206" s="312" t="s">
        <v>1764</v>
      </c>
      <c r="I206" s="312" t="s">
        <v>2008</v>
      </c>
      <c r="J206" s="312"/>
      <c r="K206" s="312"/>
      <c r="L206" s="312"/>
      <c r="M206" s="312"/>
      <c r="N206" s="314"/>
      <c r="O206" s="314"/>
      <c r="P206" s="314"/>
      <c r="Q206" s="314"/>
      <c r="R206" s="315" t="n">
        <v>44667</v>
      </c>
      <c r="S206" s="315" t="s">
        <v>32</v>
      </c>
      <c r="T206" s="403" t="s">
        <v>2009</v>
      </c>
      <c r="U206" s="317"/>
      <c r="V206" s="317"/>
      <c r="W206" s="318" t="s">
        <v>60</v>
      </c>
      <c r="X206" s="312" t="s">
        <v>918</v>
      </c>
      <c r="Y206" s="311" t="s">
        <v>913</v>
      </c>
      <c r="Z206" s="389" t="s">
        <v>916</v>
      </c>
    </row>
    <row r="207" customFormat="false" ht="12.75" hidden="false" customHeight="true" outlineLevel="0" collapsed="false">
      <c r="A207" s="301" t="s">
        <v>919</v>
      </c>
      <c r="B207" s="302" t="n">
        <v>204</v>
      </c>
      <c r="C207" s="302" t="s">
        <v>1672</v>
      </c>
      <c r="D207" s="302" t="s">
        <v>920</v>
      </c>
      <c r="E207" s="302" t="s">
        <v>921</v>
      </c>
      <c r="F207" s="301" t="s">
        <v>922</v>
      </c>
      <c r="G207" s="303" t="s">
        <v>923</v>
      </c>
      <c r="H207" s="302" t="s">
        <v>1764</v>
      </c>
      <c r="I207" s="302" t="s">
        <v>2010</v>
      </c>
      <c r="J207" s="355" t="s">
        <v>2011</v>
      </c>
      <c r="K207" s="355" t="s">
        <v>2012</v>
      </c>
      <c r="L207" s="303"/>
      <c r="M207" s="303"/>
      <c r="N207" s="304"/>
      <c r="O207" s="304"/>
      <c r="P207" s="304" t="n">
        <v>44877</v>
      </c>
      <c r="Q207" s="304" t="s">
        <v>32</v>
      </c>
      <c r="R207" s="304" t="n">
        <v>44681</v>
      </c>
      <c r="S207" s="304" t="s">
        <v>49</v>
      </c>
      <c r="T207" s="380" t="s">
        <v>2013</v>
      </c>
      <c r="U207" s="306"/>
      <c r="V207" s="306" t="n">
        <v>45073</v>
      </c>
      <c r="W207" s="345"/>
      <c r="X207" s="303"/>
      <c r="Y207" s="301" t="s">
        <v>919</v>
      </c>
      <c r="Z207" s="396" t="s">
        <v>923</v>
      </c>
    </row>
    <row r="208" customFormat="false" ht="12.75" hidden="false" customHeight="true" outlineLevel="0" collapsed="false">
      <c r="A208" s="265" t="s">
        <v>924</v>
      </c>
      <c r="B208" s="262" t="n">
        <v>205</v>
      </c>
      <c r="C208" s="262" t="s">
        <v>1672</v>
      </c>
      <c r="D208" s="262" t="s">
        <v>925</v>
      </c>
      <c r="E208" s="262" t="s">
        <v>926</v>
      </c>
      <c r="F208" s="265" t="s">
        <v>924</v>
      </c>
      <c r="G208" s="270" t="s">
        <v>927</v>
      </c>
      <c r="H208" s="262"/>
      <c r="I208" s="262"/>
      <c r="J208" s="404"/>
      <c r="K208" s="404"/>
      <c r="L208" s="270"/>
      <c r="M208" s="270"/>
      <c r="N208" s="309" t="n">
        <v>44631</v>
      </c>
      <c r="O208" s="277" t="s">
        <v>49</v>
      </c>
      <c r="P208" s="309"/>
      <c r="Q208" s="309"/>
      <c r="R208" s="309" t="n">
        <v>44877</v>
      </c>
      <c r="S208" s="405" t="s">
        <v>67</v>
      </c>
      <c r="T208" s="310"/>
      <c r="U208" s="278" t="n">
        <v>44779</v>
      </c>
      <c r="V208" s="278"/>
      <c r="W208" s="279"/>
      <c r="X208" s="270"/>
      <c r="Y208" s="265" t="s">
        <v>924</v>
      </c>
      <c r="Z208" s="389"/>
    </row>
    <row r="209" customFormat="false" ht="12.75" hidden="false" customHeight="true" outlineLevel="0" collapsed="false">
      <c r="A209" s="265" t="s">
        <v>928</v>
      </c>
      <c r="B209" s="262" t="n">
        <v>206</v>
      </c>
      <c r="C209" s="262" t="s">
        <v>1672</v>
      </c>
      <c r="D209" s="262" t="s">
        <v>929</v>
      </c>
      <c r="E209" s="262" t="s">
        <v>930</v>
      </c>
      <c r="F209" s="265" t="s">
        <v>928</v>
      </c>
      <c r="G209" s="270" t="s">
        <v>931</v>
      </c>
      <c r="H209" s="262"/>
      <c r="I209" s="262"/>
      <c r="J209" s="404"/>
      <c r="K209" s="404"/>
      <c r="L209" s="270"/>
      <c r="M209" s="270"/>
      <c r="N209" s="309"/>
      <c r="O209" s="309"/>
      <c r="P209" s="309" t="n">
        <v>44638</v>
      </c>
      <c r="Q209" s="277" t="s">
        <v>32</v>
      </c>
      <c r="R209" s="309" t="n">
        <v>44884</v>
      </c>
      <c r="S209" s="309" t="s">
        <v>126</v>
      </c>
      <c r="T209" s="310"/>
      <c r="U209" s="278" t="n">
        <v>44779</v>
      </c>
      <c r="V209" s="278"/>
      <c r="W209" s="279"/>
      <c r="X209" s="270"/>
      <c r="Y209" s="265" t="s">
        <v>928</v>
      </c>
      <c r="Z209" s="389"/>
    </row>
    <row r="210" customFormat="false" ht="12.75" hidden="false" customHeight="true" outlineLevel="0" collapsed="false">
      <c r="A210" s="406" t="s">
        <v>932</v>
      </c>
      <c r="B210" s="337" t="n">
        <v>207</v>
      </c>
      <c r="C210" s="337" t="s">
        <v>2014</v>
      </c>
      <c r="D210" s="337" t="s">
        <v>934</v>
      </c>
      <c r="E210" s="337" t="s">
        <v>935</v>
      </c>
      <c r="F210" s="336" t="s">
        <v>932</v>
      </c>
      <c r="G210" s="338" t="s">
        <v>936</v>
      </c>
      <c r="H210" s="337" t="s">
        <v>2015</v>
      </c>
      <c r="I210" s="337" t="s">
        <v>2016</v>
      </c>
      <c r="J210" s="407"/>
      <c r="K210" s="407"/>
      <c r="L210" s="338"/>
      <c r="M210" s="338"/>
      <c r="N210" s="314"/>
      <c r="O210" s="314"/>
      <c r="P210" s="314"/>
      <c r="Q210" s="314"/>
      <c r="R210" s="339" t="s">
        <v>2017</v>
      </c>
      <c r="S210" s="340" t="s">
        <v>32</v>
      </c>
      <c r="T210" s="341" t="s">
        <v>2018</v>
      </c>
      <c r="U210" s="342"/>
      <c r="V210" s="342"/>
      <c r="W210" s="343" t="s">
        <v>240</v>
      </c>
      <c r="X210" s="337" t="s">
        <v>918</v>
      </c>
      <c r="Y210" s="406" t="s">
        <v>932</v>
      </c>
      <c r="Z210" s="389"/>
    </row>
    <row r="211" customFormat="false" ht="12.75" hidden="false" customHeight="true" outlineLevel="0" collapsed="false">
      <c r="A211" s="301" t="s">
        <v>1470</v>
      </c>
      <c r="B211" s="302" t="n">
        <v>208</v>
      </c>
      <c r="C211" s="302" t="s">
        <v>1627</v>
      </c>
      <c r="D211" s="302" t="s">
        <v>2019</v>
      </c>
      <c r="E211" s="302" t="s">
        <v>1472</v>
      </c>
      <c r="F211" s="301" t="s">
        <v>1470</v>
      </c>
      <c r="G211" s="303" t="s">
        <v>2020</v>
      </c>
      <c r="H211" s="303"/>
      <c r="I211" s="303"/>
      <c r="J211" s="303"/>
      <c r="K211" s="303"/>
      <c r="L211" s="303"/>
      <c r="M211" s="303"/>
      <c r="N211" s="304"/>
      <c r="O211" s="304"/>
      <c r="P211" s="304" t="n">
        <v>44681</v>
      </c>
      <c r="Q211" s="304" t="s">
        <v>32</v>
      </c>
      <c r="R211" s="304" t="n">
        <v>44575</v>
      </c>
      <c r="S211" s="319" t="s">
        <v>126</v>
      </c>
      <c r="T211" s="380" t="s">
        <v>2021</v>
      </c>
      <c r="U211" s="306"/>
      <c r="V211" s="306" t="n">
        <v>45003</v>
      </c>
      <c r="W211" s="345"/>
      <c r="X211" s="303"/>
      <c r="Y211" s="301" t="s">
        <v>1470</v>
      </c>
      <c r="Z211" s="408" t="s">
        <v>2020</v>
      </c>
    </row>
    <row r="212" customFormat="false" ht="12.75" hidden="false" customHeight="true" outlineLevel="0" collapsed="false">
      <c r="A212" s="320" t="s">
        <v>951</v>
      </c>
      <c r="B212" s="321" t="n">
        <v>209</v>
      </c>
      <c r="C212" s="321" t="s">
        <v>1627</v>
      </c>
      <c r="D212" s="321" t="s">
        <v>952</v>
      </c>
      <c r="E212" s="321" t="s">
        <v>953</v>
      </c>
      <c r="F212" s="320" t="s">
        <v>951</v>
      </c>
      <c r="G212" s="322" t="s">
        <v>954</v>
      </c>
      <c r="H212" s="321" t="s">
        <v>1627</v>
      </c>
      <c r="I212" s="321" t="s">
        <v>2022</v>
      </c>
      <c r="J212" s="321"/>
      <c r="K212" s="321"/>
      <c r="L212" s="321"/>
      <c r="M212" s="321"/>
      <c r="N212" s="323"/>
      <c r="O212" s="323"/>
      <c r="P212" s="323"/>
      <c r="Q212" s="323"/>
      <c r="R212" s="323"/>
      <c r="S212" s="323"/>
      <c r="T212" s="324"/>
      <c r="U212" s="325"/>
      <c r="V212" s="325"/>
      <c r="W212" s="326" t="s">
        <v>55</v>
      </c>
      <c r="X212" s="321" t="s">
        <v>957</v>
      </c>
      <c r="Y212" s="320" t="s">
        <v>951</v>
      </c>
      <c r="Z212" s="389" t="s">
        <v>954</v>
      </c>
    </row>
    <row r="213" customFormat="false" ht="12.75" hidden="false" customHeight="true" outlineLevel="0" collapsed="false">
      <c r="A213" s="311" t="s">
        <v>958</v>
      </c>
      <c r="B213" s="312" t="n">
        <v>210</v>
      </c>
      <c r="C213" s="312" t="s">
        <v>1627</v>
      </c>
      <c r="D213" s="312" t="s">
        <v>959</v>
      </c>
      <c r="E213" s="312" t="s">
        <v>960</v>
      </c>
      <c r="F213" s="311" t="s">
        <v>958</v>
      </c>
      <c r="G213" s="313" t="s">
        <v>961</v>
      </c>
      <c r="H213" s="312"/>
      <c r="I213" s="312"/>
      <c r="J213" s="312"/>
      <c r="K213" s="312"/>
      <c r="L213" s="312"/>
      <c r="M213" s="312"/>
      <c r="N213" s="314"/>
      <c r="O213" s="314"/>
      <c r="P213" s="314"/>
      <c r="Q213" s="314"/>
      <c r="R213" s="315"/>
      <c r="S213" s="315"/>
      <c r="T213" s="316"/>
      <c r="U213" s="317"/>
      <c r="V213" s="317"/>
      <c r="W213" s="318" t="s">
        <v>60</v>
      </c>
      <c r="X213" s="312" t="s">
        <v>774</v>
      </c>
      <c r="Y213" s="311" t="s">
        <v>958</v>
      </c>
      <c r="Z213" s="389" t="s">
        <v>961</v>
      </c>
    </row>
    <row r="214" customFormat="false" ht="12.75" hidden="false" customHeight="true" outlineLevel="0" collapsed="false">
      <c r="A214" s="328" t="s">
        <v>962</v>
      </c>
      <c r="B214" s="329" t="n">
        <v>211</v>
      </c>
      <c r="C214" s="329" t="s">
        <v>1627</v>
      </c>
      <c r="D214" s="329" t="s">
        <v>963</v>
      </c>
      <c r="E214" s="329" t="s">
        <v>964</v>
      </c>
      <c r="F214" s="328" t="s">
        <v>962</v>
      </c>
      <c r="G214" s="330" t="s">
        <v>965</v>
      </c>
      <c r="H214" s="329" t="s">
        <v>1634</v>
      </c>
      <c r="I214" s="329" t="s">
        <v>2023</v>
      </c>
      <c r="J214" s="329"/>
      <c r="K214" s="329"/>
      <c r="L214" s="329"/>
      <c r="M214" s="329"/>
      <c r="N214" s="314"/>
      <c r="O214" s="314"/>
      <c r="P214" s="314"/>
      <c r="Q214" s="314"/>
      <c r="R214" s="331"/>
      <c r="S214" s="331"/>
      <c r="T214" s="352"/>
      <c r="U214" s="333"/>
      <c r="V214" s="333"/>
      <c r="W214" s="334" t="s">
        <v>152</v>
      </c>
      <c r="X214" s="329" t="s">
        <v>774</v>
      </c>
      <c r="Y214" s="328" t="s">
        <v>962</v>
      </c>
      <c r="Z214" s="389" t="s">
        <v>965</v>
      </c>
    </row>
    <row r="215" customFormat="false" ht="12.75" hidden="false" customHeight="true" outlineLevel="0" collapsed="false">
      <c r="A215" s="265" t="s">
        <v>967</v>
      </c>
      <c r="B215" s="262" t="n">
        <v>212</v>
      </c>
      <c r="C215" s="262" t="s">
        <v>1627</v>
      </c>
      <c r="D215" s="262" t="s">
        <v>968</v>
      </c>
      <c r="E215" s="262" t="s">
        <v>969</v>
      </c>
      <c r="F215" s="265" t="s">
        <v>967</v>
      </c>
      <c r="G215" s="270" t="s">
        <v>970</v>
      </c>
      <c r="H215" s="262" t="s">
        <v>1760</v>
      </c>
      <c r="I215" s="262" t="s">
        <v>2024</v>
      </c>
      <c r="J215" s="270"/>
      <c r="K215" s="270"/>
      <c r="L215" s="270"/>
      <c r="M215" s="270"/>
      <c r="N215" s="309"/>
      <c r="O215" s="309"/>
      <c r="P215" s="309" t="n">
        <v>44779</v>
      </c>
      <c r="Q215" s="309" t="s">
        <v>32</v>
      </c>
      <c r="R215" s="309"/>
      <c r="S215" s="309"/>
      <c r="T215" s="310"/>
      <c r="U215" s="278"/>
      <c r="V215" s="278"/>
      <c r="W215" s="279"/>
      <c r="X215" s="270"/>
      <c r="Y215" s="265" t="s">
        <v>967</v>
      </c>
      <c r="Z215" s="389" t="s">
        <v>972</v>
      </c>
    </row>
    <row r="216" customFormat="false" ht="12.75" hidden="false" customHeight="true" outlineLevel="0" collapsed="false">
      <c r="A216" s="406" t="s">
        <v>973</v>
      </c>
      <c r="B216" s="337" t="n">
        <v>213</v>
      </c>
      <c r="C216" s="337" t="s">
        <v>1627</v>
      </c>
      <c r="D216" s="337" t="s">
        <v>974</v>
      </c>
      <c r="E216" s="337" t="s">
        <v>975</v>
      </c>
      <c r="F216" s="336" t="s">
        <v>976</v>
      </c>
      <c r="G216" s="338" t="s">
        <v>977</v>
      </c>
      <c r="H216" s="337" t="s">
        <v>1634</v>
      </c>
      <c r="I216" s="337" t="s">
        <v>2025</v>
      </c>
      <c r="J216" s="337"/>
      <c r="K216" s="337"/>
      <c r="L216" s="337"/>
      <c r="M216" s="337"/>
      <c r="N216" s="314"/>
      <c r="O216" s="314"/>
      <c r="P216" s="314"/>
      <c r="Q216" s="314"/>
      <c r="R216" s="339" t="s">
        <v>2026</v>
      </c>
      <c r="S216" s="340" t="s">
        <v>32</v>
      </c>
      <c r="T216" s="341"/>
      <c r="U216" s="342"/>
      <c r="V216" s="342"/>
      <c r="W216" s="343" t="s">
        <v>240</v>
      </c>
      <c r="X216" s="337" t="s">
        <v>217</v>
      </c>
      <c r="Y216" s="406" t="s">
        <v>973</v>
      </c>
      <c r="Z216" s="389" t="s">
        <v>977</v>
      </c>
    </row>
    <row r="217" customFormat="false" ht="12.75" hidden="false" customHeight="true" outlineLevel="0" collapsed="false">
      <c r="A217" s="301" t="s">
        <v>979</v>
      </c>
      <c r="B217" s="302" t="n">
        <v>214</v>
      </c>
      <c r="C217" s="302" t="s">
        <v>1817</v>
      </c>
      <c r="D217" s="302" t="s">
        <v>980</v>
      </c>
      <c r="E217" s="302" t="s">
        <v>981</v>
      </c>
      <c r="F217" s="301" t="s">
        <v>979</v>
      </c>
      <c r="G217" s="303" t="s">
        <v>982</v>
      </c>
      <c r="H217" s="302" t="s">
        <v>1764</v>
      </c>
      <c r="I217" s="302" t="s">
        <v>2027</v>
      </c>
      <c r="J217" s="302"/>
      <c r="K217" s="302"/>
      <c r="L217" s="302"/>
      <c r="M217" s="302"/>
      <c r="N217" s="304"/>
      <c r="O217" s="304"/>
      <c r="P217" s="304"/>
      <c r="Q217" s="304"/>
      <c r="R217" s="319" t="s">
        <v>2028</v>
      </c>
      <c r="S217" s="304" t="s">
        <v>32</v>
      </c>
      <c r="T217" s="305"/>
      <c r="U217" s="344"/>
      <c r="V217" s="344" t="n">
        <v>45094</v>
      </c>
      <c r="W217" s="345" t="s">
        <v>240</v>
      </c>
      <c r="X217" s="302" t="s">
        <v>774</v>
      </c>
      <c r="Y217" s="301" t="s">
        <v>979</v>
      </c>
      <c r="Z217" s="396" t="s">
        <v>982</v>
      </c>
    </row>
    <row r="218" customFormat="false" ht="12.75" hidden="false" customHeight="true" outlineLevel="0" collapsed="false">
      <c r="A218" s="290" t="s">
        <v>984</v>
      </c>
      <c r="B218" s="291" t="n">
        <v>215</v>
      </c>
      <c r="C218" s="291" t="s">
        <v>1817</v>
      </c>
      <c r="D218" s="291" t="s">
        <v>985</v>
      </c>
      <c r="E218" s="291" t="s">
        <v>986</v>
      </c>
      <c r="F218" s="290" t="s">
        <v>984</v>
      </c>
      <c r="G218" s="292" t="s">
        <v>987</v>
      </c>
      <c r="H218" s="291" t="s">
        <v>1760</v>
      </c>
      <c r="I218" s="291" t="s">
        <v>2029</v>
      </c>
      <c r="J218" s="291"/>
      <c r="K218" s="291"/>
      <c r="L218" s="291"/>
      <c r="M218" s="291"/>
      <c r="N218" s="293" t="s">
        <v>2030</v>
      </c>
      <c r="O218" s="293" t="s">
        <v>2031</v>
      </c>
      <c r="P218" s="314"/>
      <c r="Q218" s="314"/>
      <c r="R218" s="409" t="s">
        <v>2032</v>
      </c>
      <c r="S218" s="295"/>
      <c r="T218" s="296" t="s">
        <v>2033</v>
      </c>
      <c r="U218" s="349"/>
      <c r="V218" s="349"/>
      <c r="W218" s="298" t="s">
        <v>103</v>
      </c>
      <c r="X218" s="291" t="s">
        <v>989</v>
      </c>
      <c r="Y218" s="290" t="s">
        <v>984</v>
      </c>
      <c r="Z218" s="389" t="s">
        <v>987</v>
      </c>
    </row>
    <row r="219" customFormat="false" ht="12.75" hidden="false" customHeight="true" outlineLevel="0" collapsed="false">
      <c r="A219" s="301" t="s">
        <v>1569</v>
      </c>
      <c r="B219" s="302" t="n">
        <v>216</v>
      </c>
      <c r="C219" s="302" t="s">
        <v>1817</v>
      </c>
      <c r="D219" s="355" t="s">
        <v>2034</v>
      </c>
      <c r="E219" s="302" t="s">
        <v>1571</v>
      </c>
      <c r="F219" s="301" t="s">
        <v>1569</v>
      </c>
      <c r="G219" s="303" t="s">
        <v>2035</v>
      </c>
      <c r="H219" s="302" t="s">
        <v>1760</v>
      </c>
      <c r="I219" s="302" t="s">
        <v>2036</v>
      </c>
      <c r="J219" s="303"/>
      <c r="K219" s="303"/>
      <c r="L219" s="303"/>
      <c r="M219" s="303"/>
      <c r="N219" s="304"/>
      <c r="O219" s="304"/>
      <c r="P219" s="304" t="n">
        <v>44681</v>
      </c>
      <c r="Q219" s="304" t="s">
        <v>67</v>
      </c>
      <c r="R219" s="304"/>
      <c r="S219" s="304"/>
      <c r="T219" s="380" t="s">
        <v>2037</v>
      </c>
      <c r="U219" s="306"/>
      <c r="V219" s="306" t="n">
        <v>44793</v>
      </c>
      <c r="W219" s="345"/>
      <c r="X219" s="303"/>
      <c r="Y219" s="301" t="s">
        <v>1569</v>
      </c>
      <c r="Z219" s="389" t="s">
        <v>2035</v>
      </c>
    </row>
    <row r="220" customFormat="false" ht="12.75" hidden="false" customHeight="true" outlineLevel="0" collapsed="false">
      <c r="A220" s="301" t="s">
        <v>1015</v>
      </c>
      <c r="B220" s="302" t="n">
        <v>217</v>
      </c>
      <c r="C220" s="302" t="s">
        <v>1817</v>
      </c>
      <c r="D220" s="302" t="s">
        <v>2038</v>
      </c>
      <c r="E220" s="302" t="s">
        <v>1482</v>
      </c>
      <c r="F220" s="301" t="s">
        <v>1015</v>
      </c>
      <c r="G220" s="303" t="s">
        <v>2039</v>
      </c>
      <c r="H220" s="302" t="s">
        <v>1760</v>
      </c>
      <c r="I220" s="302" t="s">
        <v>2040</v>
      </c>
      <c r="J220" s="303"/>
      <c r="K220" s="303"/>
      <c r="L220" s="303"/>
      <c r="M220" s="303"/>
      <c r="N220" s="304" t="n">
        <v>44779</v>
      </c>
      <c r="O220" s="304" t="s">
        <v>49</v>
      </c>
      <c r="P220" s="304"/>
      <c r="Q220" s="304"/>
      <c r="R220" s="304"/>
      <c r="S220" s="304"/>
      <c r="T220" s="305"/>
      <c r="U220" s="306"/>
      <c r="V220" s="306" t="n">
        <v>45003</v>
      </c>
      <c r="W220" s="345"/>
      <c r="X220" s="303"/>
      <c r="Y220" s="301" t="s">
        <v>1015</v>
      </c>
      <c r="Z220" s="389" t="s">
        <v>2041</v>
      </c>
    </row>
    <row r="221" customFormat="false" ht="12.75" hidden="false" customHeight="true" outlineLevel="0" collapsed="false">
      <c r="A221" s="265" t="s">
        <v>990</v>
      </c>
      <c r="B221" s="262" t="n">
        <v>218</v>
      </c>
      <c r="C221" s="262" t="s">
        <v>1817</v>
      </c>
      <c r="D221" s="262" t="s">
        <v>991</v>
      </c>
      <c r="E221" s="262" t="s">
        <v>992</v>
      </c>
      <c r="F221" s="265" t="s">
        <v>990</v>
      </c>
      <c r="G221" s="365" t="s">
        <v>993</v>
      </c>
      <c r="H221" s="270"/>
      <c r="I221" s="270"/>
      <c r="J221" s="270"/>
      <c r="K221" s="270"/>
      <c r="L221" s="270"/>
      <c r="M221" s="270"/>
      <c r="N221" s="309" t="n">
        <v>44568</v>
      </c>
      <c r="O221" s="277" t="s">
        <v>335</v>
      </c>
      <c r="P221" s="309"/>
      <c r="Q221" s="309"/>
      <c r="R221" s="309" t="n">
        <v>44779</v>
      </c>
      <c r="S221" s="309" t="s">
        <v>67</v>
      </c>
      <c r="T221" s="310"/>
      <c r="U221" s="278"/>
      <c r="V221" s="278"/>
      <c r="W221" s="279"/>
      <c r="X221" s="270"/>
      <c r="Y221" s="265" t="s">
        <v>990</v>
      </c>
      <c r="Z221" s="389" t="s">
        <v>994</v>
      </c>
    </row>
    <row r="222" customFormat="false" ht="12.75" hidden="false" customHeight="true" outlineLevel="0" collapsed="false">
      <c r="A222" s="265" t="s">
        <v>995</v>
      </c>
      <c r="B222" s="262" t="n">
        <v>219</v>
      </c>
      <c r="C222" s="262" t="s">
        <v>1817</v>
      </c>
      <c r="D222" s="262" t="s">
        <v>996</v>
      </c>
      <c r="E222" s="262" t="s">
        <v>997</v>
      </c>
      <c r="F222" s="265" t="s">
        <v>995</v>
      </c>
      <c r="G222" s="270" t="s">
        <v>998</v>
      </c>
      <c r="H222" s="262" t="s">
        <v>1634</v>
      </c>
      <c r="I222" s="262" t="s">
        <v>2042</v>
      </c>
      <c r="J222" s="270"/>
      <c r="K222" s="270"/>
      <c r="L222" s="270"/>
      <c r="M222" s="270"/>
      <c r="N222" s="309" t="n">
        <v>44863</v>
      </c>
      <c r="O222" s="277" t="s">
        <v>335</v>
      </c>
      <c r="P222" s="309"/>
      <c r="Q222" s="309"/>
      <c r="R222" s="309" t="n">
        <v>44660</v>
      </c>
      <c r="S222" s="309" t="s">
        <v>126</v>
      </c>
      <c r="T222" s="356" t="s">
        <v>2043</v>
      </c>
      <c r="U222" s="278"/>
      <c r="V222" s="278"/>
      <c r="W222" s="410" t="s">
        <v>2044</v>
      </c>
      <c r="X222" s="270"/>
      <c r="Y222" s="265" t="s">
        <v>995</v>
      </c>
      <c r="Z222" s="389" t="s">
        <v>998</v>
      </c>
    </row>
    <row r="223" customFormat="false" ht="12.75" hidden="false" customHeight="true" outlineLevel="0" collapsed="false">
      <c r="A223" s="320" t="s">
        <v>1486</v>
      </c>
      <c r="B223" s="321" t="n">
        <v>220</v>
      </c>
      <c r="C223" s="321" t="s">
        <v>1817</v>
      </c>
      <c r="D223" s="321" t="s">
        <v>2045</v>
      </c>
      <c r="E223" s="321" t="s">
        <v>1488</v>
      </c>
      <c r="F223" s="320" t="s">
        <v>1486</v>
      </c>
      <c r="G223" s="322" t="s">
        <v>2046</v>
      </c>
      <c r="H223" s="321" t="s">
        <v>2047</v>
      </c>
      <c r="I223" s="321" t="s">
        <v>2048</v>
      </c>
      <c r="J223" s="321"/>
      <c r="K223" s="321"/>
      <c r="L223" s="321"/>
      <c r="M223" s="321"/>
      <c r="N223" s="323"/>
      <c r="O223" s="323"/>
      <c r="P223" s="323"/>
      <c r="Q223" s="323"/>
      <c r="R223" s="323"/>
      <c r="S223" s="323"/>
      <c r="T223" s="324"/>
      <c r="U223" s="325"/>
      <c r="V223" s="325" t="n">
        <v>45003</v>
      </c>
      <c r="W223" s="326" t="s">
        <v>55</v>
      </c>
      <c r="X223" s="321" t="s">
        <v>2049</v>
      </c>
      <c r="Y223" s="320" t="s">
        <v>1486</v>
      </c>
      <c r="Z223" s="389" t="s">
        <v>2046</v>
      </c>
    </row>
    <row r="224" customFormat="false" ht="12.75" hidden="false" customHeight="true" outlineLevel="0" collapsed="false">
      <c r="A224" s="301" t="s">
        <v>2050</v>
      </c>
      <c r="B224" s="302" t="n">
        <v>221</v>
      </c>
      <c r="C224" s="302" t="s">
        <v>1817</v>
      </c>
      <c r="D224" s="302" t="s">
        <v>2051</v>
      </c>
      <c r="E224" s="302" t="s">
        <v>2052</v>
      </c>
      <c r="F224" s="301" t="s">
        <v>2050</v>
      </c>
      <c r="G224" s="303" t="s">
        <v>2053</v>
      </c>
      <c r="H224" s="302"/>
      <c r="I224" s="302"/>
      <c r="J224" s="302"/>
      <c r="K224" s="302"/>
      <c r="L224" s="302"/>
      <c r="M224" s="302"/>
      <c r="N224" s="304"/>
      <c r="O224" s="304"/>
      <c r="P224" s="304"/>
      <c r="Q224" s="304"/>
      <c r="R224" s="304"/>
      <c r="S224" s="304"/>
      <c r="T224" s="411" t="s">
        <v>2054</v>
      </c>
      <c r="U224" s="344"/>
      <c r="V224" s="344" t="n">
        <v>44884</v>
      </c>
      <c r="W224" s="345" t="s">
        <v>60</v>
      </c>
      <c r="X224" s="302" t="s">
        <v>693</v>
      </c>
      <c r="Y224" s="301" t="s">
        <v>2050</v>
      </c>
      <c r="Z224" s="389" t="s">
        <v>2053</v>
      </c>
    </row>
    <row r="225" customFormat="false" ht="12.75" hidden="false" customHeight="true" outlineLevel="0" collapsed="false">
      <c r="A225" s="290" t="s">
        <v>1000</v>
      </c>
      <c r="B225" s="291" t="n">
        <v>222</v>
      </c>
      <c r="C225" s="291" t="s">
        <v>1817</v>
      </c>
      <c r="D225" s="291" t="s">
        <v>1001</v>
      </c>
      <c r="E225" s="291" t="s">
        <v>1002</v>
      </c>
      <c r="F225" s="290" t="s">
        <v>1000</v>
      </c>
      <c r="G225" s="292" t="s">
        <v>1003</v>
      </c>
      <c r="H225" s="291" t="s">
        <v>1847</v>
      </c>
      <c r="I225" s="291" t="s">
        <v>2055</v>
      </c>
      <c r="J225" s="291"/>
      <c r="K225" s="291"/>
      <c r="L225" s="291"/>
      <c r="M225" s="291"/>
      <c r="N225" s="293" t="s">
        <v>2056</v>
      </c>
      <c r="O225" s="293" t="s">
        <v>2057</v>
      </c>
      <c r="P225" s="314"/>
      <c r="Q225" s="314"/>
      <c r="R225" s="295"/>
      <c r="S225" s="295"/>
      <c r="T225" s="346" t="s">
        <v>2058</v>
      </c>
      <c r="U225" s="349"/>
      <c r="V225" s="349"/>
      <c r="W225" s="298" t="s">
        <v>103</v>
      </c>
      <c r="X225" s="291" t="s">
        <v>693</v>
      </c>
      <c r="Y225" s="290" t="s">
        <v>1000</v>
      </c>
      <c r="Z225" s="389" t="s">
        <v>1003</v>
      </c>
    </row>
    <row r="226" customFormat="false" ht="12.75" hidden="false" customHeight="true" outlineLevel="0" collapsed="false">
      <c r="A226" s="265" t="s">
        <v>1005</v>
      </c>
      <c r="B226" s="262" t="n">
        <v>223</v>
      </c>
      <c r="C226" s="262" t="s">
        <v>1817</v>
      </c>
      <c r="D226" s="262" t="s">
        <v>1006</v>
      </c>
      <c r="E226" s="262" t="s">
        <v>1007</v>
      </c>
      <c r="F226" s="265" t="s">
        <v>1005</v>
      </c>
      <c r="G226" s="270" t="s">
        <v>1008</v>
      </c>
      <c r="H226" s="270"/>
      <c r="I226" s="270"/>
      <c r="J226" s="270"/>
      <c r="K226" s="270"/>
      <c r="L226" s="270"/>
      <c r="M226" s="270"/>
      <c r="N226" s="309"/>
      <c r="O226" s="309"/>
      <c r="P226" s="309" t="n">
        <v>44828</v>
      </c>
      <c r="Q226" s="277" t="s">
        <v>67</v>
      </c>
      <c r="R226" s="309" t="n">
        <v>44667</v>
      </c>
      <c r="S226" s="309" t="s">
        <v>67</v>
      </c>
      <c r="T226" s="310"/>
      <c r="U226" s="278"/>
      <c r="V226" s="278"/>
      <c r="W226" s="410"/>
      <c r="X226" s="270"/>
      <c r="Y226" s="265" t="s">
        <v>1005</v>
      </c>
      <c r="Z226" s="389" t="s">
        <v>1008</v>
      </c>
    </row>
    <row r="227" customFormat="false" ht="12.75" hidden="false" customHeight="true" outlineLevel="0" collapsed="false">
      <c r="A227" s="301" t="s">
        <v>1495</v>
      </c>
      <c r="B227" s="302" t="n">
        <v>224</v>
      </c>
      <c r="C227" s="302" t="s">
        <v>1713</v>
      </c>
      <c r="D227" s="302" t="s">
        <v>2059</v>
      </c>
      <c r="E227" s="302" t="s">
        <v>1497</v>
      </c>
      <c r="F227" s="301" t="s">
        <v>1495</v>
      </c>
      <c r="G227" s="303" t="s">
        <v>2060</v>
      </c>
      <c r="H227" s="302"/>
      <c r="I227" s="302"/>
      <c r="J227" s="302"/>
      <c r="K227" s="302"/>
      <c r="L227" s="302"/>
      <c r="M227" s="302"/>
      <c r="N227" s="304"/>
      <c r="O227" s="304"/>
      <c r="P227" s="304"/>
      <c r="Q227" s="304"/>
      <c r="R227" s="304"/>
      <c r="S227" s="304"/>
      <c r="T227" s="305"/>
      <c r="U227" s="344"/>
      <c r="V227" s="344" t="n">
        <v>45003</v>
      </c>
      <c r="W227" s="345" t="s">
        <v>152</v>
      </c>
      <c r="X227" s="302" t="s">
        <v>1029</v>
      </c>
      <c r="Y227" s="301" t="s">
        <v>1495</v>
      </c>
      <c r="Z227" s="396" t="s">
        <v>2060</v>
      </c>
    </row>
    <row r="228" customFormat="false" ht="12.75" hidden="false" customHeight="true" outlineLevel="0" collapsed="false">
      <c r="A228" s="265" t="s">
        <v>1020</v>
      </c>
      <c r="B228" s="262" t="n">
        <v>225</v>
      </c>
      <c r="C228" s="262" t="s">
        <v>1713</v>
      </c>
      <c r="D228" s="262" t="s">
        <v>1021</v>
      </c>
      <c r="E228" s="262" t="s">
        <v>1022</v>
      </c>
      <c r="F228" s="265" t="s">
        <v>1020</v>
      </c>
      <c r="G228" s="270" t="s">
        <v>1023</v>
      </c>
      <c r="H228" s="262" t="s">
        <v>1634</v>
      </c>
      <c r="I228" s="262" t="s">
        <v>2061</v>
      </c>
      <c r="J228" s="270"/>
      <c r="K228" s="270"/>
      <c r="L228" s="270"/>
      <c r="M228" s="270"/>
      <c r="N228" s="309"/>
      <c r="O228" s="309"/>
      <c r="P228" s="309" t="n">
        <v>44779</v>
      </c>
      <c r="Q228" s="309" t="s">
        <v>67</v>
      </c>
      <c r="R228" s="309"/>
      <c r="S228" s="309"/>
      <c r="T228" s="310"/>
      <c r="U228" s="278"/>
      <c r="V228" s="278"/>
      <c r="W228" s="410"/>
      <c r="X228" s="270"/>
      <c r="Y228" s="265" t="s">
        <v>1020</v>
      </c>
      <c r="Z228" s="389" t="s">
        <v>1023</v>
      </c>
    </row>
    <row r="229" customFormat="false" ht="12.75" hidden="false" customHeight="true" outlineLevel="0" collapsed="false">
      <c r="A229" s="290" t="s">
        <v>1025</v>
      </c>
      <c r="B229" s="291" t="n">
        <v>226</v>
      </c>
      <c r="C229" s="291" t="s">
        <v>1713</v>
      </c>
      <c r="D229" s="291" t="s">
        <v>1026</v>
      </c>
      <c r="E229" s="291" t="s">
        <v>1027</v>
      </c>
      <c r="F229" s="290" t="s">
        <v>1025</v>
      </c>
      <c r="G229" s="292" t="s">
        <v>1028</v>
      </c>
      <c r="H229" s="291"/>
      <c r="I229" s="291"/>
      <c r="J229" s="291"/>
      <c r="K229" s="291"/>
      <c r="L229" s="291"/>
      <c r="M229" s="291"/>
      <c r="N229" s="293" t="s">
        <v>2062</v>
      </c>
      <c r="O229" s="293" t="s">
        <v>2063</v>
      </c>
      <c r="P229" s="314"/>
      <c r="Q229" s="314"/>
      <c r="R229" s="295"/>
      <c r="S229" s="295"/>
      <c r="T229" s="346" t="s">
        <v>2064</v>
      </c>
      <c r="U229" s="349"/>
      <c r="V229" s="349"/>
      <c r="W229" s="298" t="s">
        <v>103</v>
      </c>
      <c r="X229" s="291" t="s">
        <v>1029</v>
      </c>
      <c r="Y229" s="290" t="s">
        <v>1025</v>
      </c>
      <c r="Z229" s="389" t="s">
        <v>1030</v>
      </c>
    </row>
    <row r="230" customFormat="false" ht="12.75" hidden="false" customHeight="true" outlineLevel="0" collapsed="false">
      <c r="A230" s="265" t="s">
        <v>1031</v>
      </c>
      <c r="B230" s="262" t="n">
        <v>227</v>
      </c>
      <c r="C230" s="262" t="s">
        <v>1713</v>
      </c>
      <c r="D230" s="262" t="s">
        <v>1032</v>
      </c>
      <c r="E230" s="262" t="s">
        <v>1033</v>
      </c>
      <c r="F230" s="265" t="s">
        <v>1031</v>
      </c>
      <c r="G230" s="270" t="s">
        <v>1034</v>
      </c>
      <c r="H230" s="262" t="s">
        <v>1634</v>
      </c>
      <c r="I230" s="262" t="s">
        <v>2065</v>
      </c>
      <c r="J230" s="270"/>
      <c r="K230" s="270"/>
      <c r="L230" s="270"/>
      <c r="M230" s="270"/>
      <c r="N230" s="309" t="n">
        <v>44793</v>
      </c>
      <c r="O230" s="309" t="s">
        <v>49</v>
      </c>
      <c r="P230" s="309"/>
      <c r="Q230" s="309"/>
      <c r="R230" s="309"/>
      <c r="S230" s="309"/>
      <c r="T230" s="310"/>
      <c r="U230" s="278"/>
      <c r="V230" s="278"/>
      <c r="W230" s="410"/>
      <c r="X230" s="270"/>
      <c r="Y230" s="265" t="s">
        <v>1031</v>
      </c>
      <c r="Z230" s="389" t="s">
        <v>1034</v>
      </c>
    </row>
    <row r="231" customFormat="false" ht="12.75" hidden="false" customHeight="true" outlineLevel="0" collapsed="false">
      <c r="A231" s="301" t="s">
        <v>1036</v>
      </c>
      <c r="B231" s="302" t="n">
        <v>228</v>
      </c>
      <c r="C231" s="302" t="s">
        <v>1713</v>
      </c>
      <c r="D231" s="302" t="s">
        <v>1037</v>
      </c>
      <c r="E231" s="302" t="s">
        <v>1038</v>
      </c>
      <c r="F231" s="301" t="s">
        <v>1036</v>
      </c>
      <c r="G231" s="303" t="s">
        <v>1039</v>
      </c>
      <c r="H231" s="355" t="s">
        <v>2011</v>
      </c>
      <c r="I231" s="355" t="s">
        <v>2066</v>
      </c>
      <c r="J231" s="303"/>
      <c r="K231" s="303"/>
      <c r="L231" s="303"/>
      <c r="M231" s="303"/>
      <c r="N231" s="304"/>
      <c r="O231" s="304"/>
      <c r="P231" s="304" t="n">
        <v>44814</v>
      </c>
      <c r="Q231" s="319" t="s">
        <v>32</v>
      </c>
      <c r="R231" s="304"/>
      <c r="S231" s="304"/>
      <c r="T231" s="380" t="s">
        <v>2067</v>
      </c>
      <c r="U231" s="306"/>
      <c r="V231" s="306" t="n">
        <v>45094</v>
      </c>
      <c r="W231" s="345"/>
      <c r="X231" s="303"/>
      <c r="Y231" s="301" t="s">
        <v>1036</v>
      </c>
      <c r="Z231" s="396" t="s">
        <v>1039</v>
      </c>
    </row>
    <row r="232" customFormat="false" ht="12.75" hidden="false" customHeight="true" outlineLevel="0" collapsed="false">
      <c r="A232" s="265" t="s">
        <v>1040</v>
      </c>
      <c r="B232" s="262" t="n">
        <v>229</v>
      </c>
      <c r="C232" s="262" t="s">
        <v>1713</v>
      </c>
      <c r="D232" s="262" t="s">
        <v>1041</v>
      </c>
      <c r="E232" s="262" t="s">
        <v>1042</v>
      </c>
      <c r="F232" s="265" t="s">
        <v>1040</v>
      </c>
      <c r="G232" s="270" t="s">
        <v>1043</v>
      </c>
      <c r="H232" s="270"/>
      <c r="I232" s="270"/>
      <c r="J232" s="270"/>
      <c r="K232" s="270"/>
      <c r="L232" s="270"/>
      <c r="M232" s="270"/>
      <c r="N232" s="309"/>
      <c r="O232" s="309"/>
      <c r="P232" s="309" t="n">
        <v>44814</v>
      </c>
      <c r="Q232" s="277" t="s">
        <v>67</v>
      </c>
      <c r="R232" s="309"/>
      <c r="S232" s="309"/>
      <c r="T232" s="310"/>
      <c r="U232" s="278"/>
      <c r="V232" s="278"/>
      <c r="W232" s="410"/>
      <c r="X232" s="270"/>
      <c r="Y232" s="265" t="s">
        <v>1040</v>
      </c>
      <c r="Z232" s="389" t="s">
        <v>1043</v>
      </c>
    </row>
    <row r="233" customFormat="false" ht="12.75" hidden="false" customHeight="true" outlineLevel="0" collapsed="false">
      <c r="A233" s="311" t="s">
        <v>1044</v>
      </c>
      <c r="B233" s="312" t="n">
        <v>230</v>
      </c>
      <c r="C233" s="312" t="s">
        <v>1713</v>
      </c>
      <c r="D233" s="312" t="s">
        <v>1045</v>
      </c>
      <c r="E233" s="312" t="s">
        <v>1046</v>
      </c>
      <c r="F233" s="311" t="s">
        <v>1044</v>
      </c>
      <c r="G233" s="313" t="s">
        <v>1047</v>
      </c>
      <c r="H233" s="312" t="s">
        <v>1764</v>
      </c>
      <c r="I233" s="312" t="s">
        <v>2068</v>
      </c>
      <c r="J233" s="312"/>
      <c r="K233" s="312"/>
      <c r="L233" s="312"/>
      <c r="M233" s="312"/>
      <c r="N233" s="314"/>
      <c r="O233" s="314"/>
      <c r="P233" s="314"/>
      <c r="Q233" s="314"/>
      <c r="R233" s="315"/>
      <c r="S233" s="315"/>
      <c r="T233" s="316"/>
      <c r="U233" s="317"/>
      <c r="V233" s="317"/>
      <c r="W233" s="318" t="s">
        <v>60</v>
      </c>
      <c r="X233" s="312" t="s">
        <v>1029</v>
      </c>
      <c r="Y233" s="311" t="s">
        <v>1044</v>
      </c>
      <c r="Z233" s="389" t="s">
        <v>1047</v>
      </c>
    </row>
    <row r="234" customFormat="false" ht="12.75" hidden="false" customHeight="true" outlineLevel="0" collapsed="false">
      <c r="A234" s="265" t="s">
        <v>1049</v>
      </c>
      <c r="B234" s="262" t="n">
        <v>231</v>
      </c>
      <c r="C234" s="262" t="s">
        <v>1713</v>
      </c>
      <c r="D234" s="262" t="s">
        <v>1050</v>
      </c>
      <c r="E234" s="262" t="s">
        <v>1051</v>
      </c>
      <c r="F234" s="265" t="s">
        <v>1049</v>
      </c>
      <c r="G234" s="270" t="s">
        <v>1052</v>
      </c>
      <c r="H234" s="270"/>
      <c r="I234" s="270"/>
      <c r="J234" s="270"/>
      <c r="K234" s="270"/>
      <c r="L234" s="270"/>
      <c r="M234" s="270"/>
      <c r="N234" s="309" t="n">
        <v>44807</v>
      </c>
      <c r="O234" s="277" t="s">
        <v>49</v>
      </c>
      <c r="P234" s="309"/>
      <c r="Q234" s="309"/>
      <c r="R234" s="309"/>
      <c r="S234" s="309"/>
      <c r="T234" s="310"/>
      <c r="U234" s="278"/>
      <c r="V234" s="278"/>
      <c r="W234" s="410"/>
      <c r="X234" s="270"/>
      <c r="Y234" s="265" t="s">
        <v>1049</v>
      </c>
      <c r="Z234" s="389" t="s">
        <v>1052</v>
      </c>
    </row>
    <row r="235" customFormat="false" ht="12.75" hidden="false" customHeight="true" outlineLevel="0" collapsed="false">
      <c r="A235" s="336" t="s">
        <v>1053</v>
      </c>
      <c r="B235" s="337" t="n">
        <v>232</v>
      </c>
      <c r="C235" s="337" t="s">
        <v>1713</v>
      </c>
      <c r="D235" s="337" t="s">
        <v>1054</v>
      </c>
      <c r="E235" s="337" t="s">
        <v>1055</v>
      </c>
      <c r="F235" s="336" t="s">
        <v>1053</v>
      </c>
      <c r="G235" s="338" t="s">
        <v>1056</v>
      </c>
      <c r="H235" s="337"/>
      <c r="I235" s="337"/>
      <c r="J235" s="337"/>
      <c r="K235" s="337"/>
      <c r="L235" s="337"/>
      <c r="M235" s="337"/>
      <c r="N235" s="314"/>
      <c r="O235" s="314"/>
      <c r="P235" s="314"/>
      <c r="Q235" s="314"/>
      <c r="R235" s="339" t="s">
        <v>2069</v>
      </c>
      <c r="S235" s="340" t="s">
        <v>32</v>
      </c>
      <c r="T235" s="341"/>
      <c r="U235" s="342"/>
      <c r="V235" s="342"/>
      <c r="W235" s="343" t="s">
        <v>240</v>
      </c>
      <c r="X235" s="337" t="s">
        <v>1057</v>
      </c>
      <c r="Y235" s="336" t="s">
        <v>1053</v>
      </c>
      <c r="Z235" s="389" t="s">
        <v>1056</v>
      </c>
    </row>
    <row r="236" customFormat="false" ht="12.75" hidden="false" customHeight="true" outlineLevel="0" collapsed="false">
      <c r="A236" s="265" t="s">
        <v>1500</v>
      </c>
      <c r="B236" s="262" t="n">
        <v>233</v>
      </c>
      <c r="C236" s="262" t="s">
        <v>1713</v>
      </c>
      <c r="D236" s="262" t="s">
        <v>2070</v>
      </c>
      <c r="E236" s="262" t="s">
        <v>1502</v>
      </c>
      <c r="F236" s="265" t="s">
        <v>1500</v>
      </c>
      <c r="G236" s="270" t="s">
        <v>2071</v>
      </c>
      <c r="H236" s="270"/>
      <c r="I236" s="270"/>
      <c r="J236" s="270"/>
      <c r="K236" s="270"/>
      <c r="L236" s="270"/>
      <c r="M236" s="270"/>
      <c r="N236" s="309" t="n">
        <v>44807</v>
      </c>
      <c r="O236" s="277" t="s">
        <v>335</v>
      </c>
      <c r="P236" s="309"/>
      <c r="Q236" s="309"/>
      <c r="R236" s="309"/>
      <c r="S236" s="309"/>
      <c r="T236" s="310"/>
      <c r="U236" s="278"/>
      <c r="V236" s="278"/>
      <c r="W236" s="410"/>
      <c r="X236" s="270"/>
      <c r="Y236" s="265" t="s">
        <v>1500</v>
      </c>
      <c r="Z236" s="389" t="s">
        <v>2071</v>
      </c>
    </row>
    <row r="237" customFormat="false" ht="12.75" hidden="false" customHeight="true" outlineLevel="0" collapsed="false">
      <c r="A237" s="301" t="s">
        <v>2072</v>
      </c>
      <c r="B237" s="302" t="n">
        <v>234</v>
      </c>
      <c r="C237" s="302" t="s">
        <v>1713</v>
      </c>
      <c r="D237" s="355" t="s">
        <v>2073</v>
      </c>
      <c r="E237" s="302" t="s">
        <v>2074</v>
      </c>
      <c r="F237" s="301" t="s">
        <v>2072</v>
      </c>
      <c r="G237" s="303" t="s">
        <v>2075</v>
      </c>
      <c r="H237" s="303"/>
      <c r="I237" s="303"/>
      <c r="J237" s="303"/>
      <c r="K237" s="303"/>
      <c r="L237" s="303"/>
      <c r="M237" s="303"/>
      <c r="N237" s="304"/>
      <c r="O237" s="319"/>
      <c r="P237" s="304"/>
      <c r="Q237" s="304"/>
      <c r="R237" s="382" t="n">
        <v>44870</v>
      </c>
      <c r="S237" s="304" t="s">
        <v>67</v>
      </c>
      <c r="T237" s="305" t="s">
        <v>2076</v>
      </c>
      <c r="U237" s="306" t="n">
        <v>44779</v>
      </c>
      <c r="V237" s="306" t="n">
        <v>44856</v>
      </c>
      <c r="W237" s="345"/>
      <c r="X237" s="303"/>
      <c r="Y237" s="301" t="s">
        <v>2072</v>
      </c>
      <c r="Z237" s="389"/>
    </row>
    <row r="238" customFormat="false" ht="12.75" hidden="false" customHeight="true" outlineLevel="0" collapsed="false">
      <c r="A238" s="265" t="s">
        <v>1058</v>
      </c>
      <c r="B238" s="262" t="n">
        <v>235</v>
      </c>
      <c r="C238" s="262" t="s">
        <v>1702</v>
      </c>
      <c r="D238" s="262" t="s">
        <v>1059</v>
      </c>
      <c r="E238" s="262" t="s">
        <v>1060</v>
      </c>
      <c r="F238" s="265" t="s">
        <v>1058</v>
      </c>
      <c r="G238" s="270" t="s">
        <v>1061</v>
      </c>
      <c r="H238" s="262" t="s">
        <v>1760</v>
      </c>
      <c r="I238" s="262" t="s">
        <v>1062</v>
      </c>
      <c r="J238" s="270"/>
      <c r="K238" s="270"/>
      <c r="L238" s="270"/>
      <c r="M238" s="270"/>
      <c r="N238" s="309"/>
      <c r="O238" s="309"/>
      <c r="P238" s="309" t="n">
        <v>44568</v>
      </c>
      <c r="Q238" s="277" t="s">
        <v>32</v>
      </c>
      <c r="R238" s="309" t="n">
        <v>44779</v>
      </c>
      <c r="S238" s="309" t="s">
        <v>126</v>
      </c>
      <c r="T238" s="310"/>
      <c r="U238" s="278"/>
      <c r="V238" s="278"/>
      <c r="W238" s="410"/>
      <c r="X238" s="270"/>
      <c r="Y238" s="265" t="s">
        <v>1058</v>
      </c>
      <c r="Z238" s="350" t="s">
        <v>1061</v>
      </c>
    </row>
    <row r="239" customFormat="false" ht="12.75" hidden="false" customHeight="true" outlineLevel="0" collapsed="false">
      <c r="A239" s="265" t="s">
        <v>1063</v>
      </c>
      <c r="B239" s="262" t="n">
        <v>236</v>
      </c>
      <c r="C239" s="262" t="s">
        <v>1702</v>
      </c>
      <c r="D239" s="262" t="s">
        <v>1064</v>
      </c>
      <c r="E239" s="262" t="s">
        <v>1065</v>
      </c>
      <c r="F239" s="265" t="s">
        <v>1063</v>
      </c>
      <c r="G239" s="270" t="s">
        <v>1066</v>
      </c>
      <c r="H239" s="270"/>
      <c r="I239" s="270"/>
      <c r="J239" s="270"/>
      <c r="K239" s="270"/>
      <c r="L239" s="270"/>
      <c r="M239" s="270"/>
      <c r="N239" s="309"/>
      <c r="O239" s="309"/>
      <c r="P239" s="309" t="n">
        <v>44695</v>
      </c>
      <c r="Q239" s="309" t="s">
        <v>67</v>
      </c>
      <c r="R239" s="309" t="n">
        <v>44603</v>
      </c>
      <c r="S239" s="277" t="s">
        <v>67</v>
      </c>
      <c r="T239" s="310"/>
      <c r="U239" s="278"/>
      <c r="V239" s="278"/>
      <c r="W239" s="410"/>
      <c r="X239" s="270"/>
      <c r="Y239" s="265" t="s">
        <v>1063</v>
      </c>
      <c r="Z239" s="350" t="s">
        <v>1066</v>
      </c>
    </row>
    <row r="240" customFormat="false" ht="12.75" hidden="false" customHeight="true" outlineLevel="0" collapsed="false">
      <c r="A240" s="320" t="s">
        <v>1067</v>
      </c>
      <c r="B240" s="321" t="n">
        <v>237</v>
      </c>
      <c r="C240" s="321" t="s">
        <v>1702</v>
      </c>
      <c r="D240" s="321" t="s">
        <v>1068</v>
      </c>
      <c r="E240" s="321" t="s">
        <v>1069</v>
      </c>
      <c r="F240" s="320" t="s">
        <v>1067</v>
      </c>
      <c r="G240" s="322" t="s">
        <v>1070</v>
      </c>
      <c r="H240" s="321"/>
      <c r="I240" s="321"/>
      <c r="J240" s="321"/>
      <c r="K240" s="321"/>
      <c r="L240" s="321"/>
      <c r="M240" s="321"/>
      <c r="N240" s="323"/>
      <c r="O240" s="323"/>
      <c r="P240" s="323"/>
      <c r="Q240" s="323"/>
      <c r="R240" s="323"/>
      <c r="S240" s="323"/>
      <c r="T240" s="324"/>
      <c r="U240" s="325"/>
      <c r="V240" s="325"/>
      <c r="W240" s="326" t="s">
        <v>55</v>
      </c>
      <c r="X240" s="321" t="s">
        <v>1071</v>
      </c>
      <c r="Y240" s="320" t="s">
        <v>1067</v>
      </c>
      <c r="Z240" s="348" t="s">
        <v>1070</v>
      </c>
    </row>
    <row r="241" customFormat="false" ht="12.75" hidden="false" customHeight="true" outlineLevel="0" collapsed="false">
      <c r="A241" s="301" t="s">
        <v>1511</v>
      </c>
      <c r="B241" s="302" t="n">
        <v>238</v>
      </c>
      <c r="C241" s="302" t="s">
        <v>1702</v>
      </c>
      <c r="D241" s="302" t="s">
        <v>2077</v>
      </c>
      <c r="E241" s="302" t="s">
        <v>1513</v>
      </c>
      <c r="F241" s="301" t="s">
        <v>2078</v>
      </c>
      <c r="G241" s="303" t="s">
        <v>2079</v>
      </c>
      <c r="H241" s="303"/>
      <c r="I241" s="303"/>
      <c r="J241" s="303"/>
      <c r="K241" s="303"/>
      <c r="L241" s="303"/>
      <c r="M241" s="303"/>
      <c r="N241" s="304" t="n">
        <v>44674</v>
      </c>
      <c r="O241" s="304" t="s">
        <v>335</v>
      </c>
      <c r="P241" s="304"/>
      <c r="Q241" s="304"/>
      <c r="R241" s="304" t="n">
        <v>44575</v>
      </c>
      <c r="S241" s="319" t="s">
        <v>49</v>
      </c>
      <c r="T241" s="305"/>
      <c r="U241" s="306"/>
      <c r="V241" s="306" t="n">
        <v>45003</v>
      </c>
      <c r="W241" s="345"/>
      <c r="X241" s="303"/>
      <c r="Y241" s="301" t="s">
        <v>1511</v>
      </c>
      <c r="Z241" s="351" t="s">
        <v>2079</v>
      </c>
    </row>
    <row r="242" customFormat="false" ht="12.75" hidden="false" customHeight="true" outlineLevel="0" collapsed="false">
      <c r="A242" s="301" t="s">
        <v>2080</v>
      </c>
      <c r="B242" s="302" t="n">
        <v>239</v>
      </c>
      <c r="C242" s="302" t="s">
        <v>1702</v>
      </c>
      <c r="D242" s="355" t="s">
        <v>2081</v>
      </c>
      <c r="E242" s="302" t="s">
        <v>2082</v>
      </c>
      <c r="F242" s="301" t="s">
        <v>2080</v>
      </c>
      <c r="G242" s="303" t="s">
        <v>2083</v>
      </c>
      <c r="H242" s="302" t="s">
        <v>1760</v>
      </c>
      <c r="I242" s="302" t="s">
        <v>2084</v>
      </c>
      <c r="J242" s="303"/>
      <c r="K242" s="303"/>
      <c r="L242" s="303"/>
      <c r="M242" s="303"/>
      <c r="N242" s="304"/>
      <c r="O242" s="304"/>
      <c r="P242" s="304"/>
      <c r="Q242" s="304"/>
      <c r="R242" s="304" t="n">
        <v>44835</v>
      </c>
      <c r="S242" s="319" t="s">
        <v>67</v>
      </c>
      <c r="T242" s="380" t="s">
        <v>2085</v>
      </c>
      <c r="U242" s="306"/>
      <c r="V242" s="306" t="n">
        <v>44821</v>
      </c>
      <c r="W242" s="345"/>
      <c r="X242" s="303"/>
      <c r="Y242" s="301" t="s">
        <v>2080</v>
      </c>
      <c r="Z242" s="353" t="s">
        <v>2083</v>
      </c>
    </row>
    <row r="243" customFormat="false" ht="12.75" hidden="false" customHeight="true" outlineLevel="0" collapsed="false">
      <c r="A243" s="265" t="s">
        <v>1072</v>
      </c>
      <c r="B243" s="262" t="n">
        <v>240</v>
      </c>
      <c r="C243" s="262" t="s">
        <v>1702</v>
      </c>
      <c r="D243" s="262" t="s">
        <v>1073</v>
      </c>
      <c r="E243" s="262" t="s">
        <v>1074</v>
      </c>
      <c r="F243" s="265" t="s">
        <v>1072</v>
      </c>
      <c r="G243" s="270" t="s">
        <v>1075</v>
      </c>
      <c r="H243" s="270"/>
      <c r="I243" s="270"/>
      <c r="J243" s="270"/>
      <c r="K243" s="270"/>
      <c r="L243" s="270"/>
      <c r="M243" s="270"/>
      <c r="N243" s="309"/>
      <c r="O243" s="309"/>
      <c r="P243" s="309" t="n">
        <v>44884</v>
      </c>
      <c r="Q243" s="309" t="s">
        <v>32</v>
      </c>
      <c r="R243" s="309" t="n">
        <v>44702</v>
      </c>
      <c r="S243" s="309" t="s">
        <v>67</v>
      </c>
      <c r="T243" s="310"/>
      <c r="U243" s="278"/>
      <c r="V243" s="278"/>
      <c r="W243" s="410"/>
      <c r="X243" s="270"/>
      <c r="Y243" s="265" t="s">
        <v>1072</v>
      </c>
      <c r="Z243" s="348" t="s">
        <v>1075</v>
      </c>
    </row>
    <row r="244" customFormat="false" ht="12.75" hidden="false" customHeight="true" outlineLevel="0" collapsed="false">
      <c r="A244" s="301" t="s">
        <v>2086</v>
      </c>
      <c r="B244" s="302" t="n">
        <v>241</v>
      </c>
      <c r="C244" s="302" t="s">
        <v>1702</v>
      </c>
      <c r="D244" s="355" t="s">
        <v>2087</v>
      </c>
      <c r="E244" s="302" t="s">
        <v>2088</v>
      </c>
      <c r="F244" s="301" t="s">
        <v>2086</v>
      </c>
      <c r="G244" s="303" t="s">
        <v>2089</v>
      </c>
      <c r="H244" s="302" t="s">
        <v>1760</v>
      </c>
      <c r="I244" s="302" t="s">
        <v>2090</v>
      </c>
      <c r="J244" s="302"/>
      <c r="K244" s="302"/>
      <c r="L244" s="302"/>
      <c r="M244" s="302"/>
      <c r="N244" s="304"/>
      <c r="O244" s="304"/>
      <c r="P244" s="304"/>
      <c r="Q244" s="304"/>
      <c r="R244" s="304"/>
      <c r="S244" s="304"/>
      <c r="T244" s="305"/>
      <c r="U244" s="344"/>
      <c r="V244" s="344" t="n">
        <v>44730</v>
      </c>
      <c r="W244" s="345"/>
      <c r="X244" s="302"/>
      <c r="Y244" s="301" t="s">
        <v>2086</v>
      </c>
      <c r="Z244" s="348" t="s">
        <v>2089</v>
      </c>
    </row>
    <row r="245" customFormat="false" ht="12.75" hidden="false" customHeight="true" outlineLevel="0" collapsed="false">
      <c r="A245" s="290" t="s">
        <v>1076</v>
      </c>
      <c r="B245" s="291" t="n">
        <v>242</v>
      </c>
      <c r="C245" s="291" t="s">
        <v>1702</v>
      </c>
      <c r="D245" s="291" t="s">
        <v>1077</v>
      </c>
      <c r="E245" s="291" t="s">
        <v>1078</v>
      </c>
      <c r="F245" s="290" t="s">
        <v>1076</v>
      </c>
      <c r="G245" s="292" t="s">
        <v>1079</v>
      </c>
      <c r="H245" s="291"/>
      <c r="I245" s="291"/>
      <c r="J245" s="291"/>
      <c r="K245" s="291"/>
      <c r="L245" s="291"/>
      <c r="M245" s="291"/>
      <c r="N245" s="293" t="s">
        <v>2091</v>
      </c>
      <c r="O245" s="293" t="s">
        <v>2092</v>
      </c>
      <c r="P245" s="314"/>
      <c r="Q245" s="314"/>
      <c r="R245" s="295"/>
      <c r="S245" s="295"/>
      <c r="T245" s="346"/>
      <c r="U245" s="349"/>
      <c r="V245" s="349"/>
      <c r="W245" s="298" t="s">
        <v>103</v>
      </c>
      <c r="X245" s="291" t="s">
        <v>438</v>
      </c>
      <c r="Y245" s="290" t="s">
        <v>1076</v>
      </c>
      <c r="Z245" s="348" t="s">
        <v>1079</v>
      </c>
    </row>
    <row r="246" customFormat="false" ht="12.75" hidden="false" customHeight="true" outlineLevel="0" collapsed="false">
      <c r="A246" s="301" t="s">
        <v>1080</v>
      </c>
      <c r="B246" s="302" t="n">
        <v>243</v>
      </c>
      <c r="C246" s="302" t="s">
        <v>1702</v>
      </c>
      <c r="D246" s="302" t="s">
        <v>1081</v>
      </c>
      <c r="E246" s="302" t="s">
        <v>1082</v>
      </c>
      <c r="F246" s="301" t="s">
        <v>1080</v>
      </c>
      <c r="G246" s="303" t="s">
        <v>1083</v>
      </c>
      <c r="H246" s="302"/>
      <c r="I246" s="302"/>
      <c r="J246" s="302"/>
      <c r="K246" s="302"/>
      <c r="L246" s="302"/>
      <c r="M246" s="302"/>
      <c r="N246" s="304"/>
      <c r="O246" s="304"/>
      <c r="P246" s="304"/>
      <c r="Q246" s="304"/>
      <c r="R246" s="304"/>
      <c r="S246" s="304"/>
      <c r="T246" s="305"/>
      <c r="U246" s="344"/>
      <c r="V246" s="344" t="n">
        <v>45073</v>
      </c>
      <c r="W246" s="345" t="s">
        <v>152</v>
      </c>
      <c r="X246" s="302" t="s">
        <v>438</v>
      </c>
      <c r="Y246" s="301" t="s">
        <v>1080</v>
      </c>
      <c r="Z246" s="351" t="s">
        <v>1083</v>
      </c>
    </row>
    <row r="247" customFormat="false" ht="12.75" hidden="false" customHeight="true" outlineLevel="0" collapsed="false">
      <c r="A247" s="320" t="s">
        <v>1084</v>
      </c>
      <c r="B247" s="321" t="n">
        <v>244</v>
      </c>
      <c r="C247" s="321" t="s">
        <v>1764</v>
      </c>
      <c r="D247" s="321" t="s">
        <v>1085</v>
      </c>
      <c r="E247" s="321" t="s">
        <v>543</v>
      </c>
      <c r="F247" s="320" t="s">
        <v>1084</v>
      </c>
      <c r="G247" s="322" t="s">
        <v>1086</v>
      </c>
      <c r="H247" s="321"/>
      <c r="I247" s="321"/>
      <c r="J247" s="321"/>
      <c r="K247" s="321"/>
      <c r="L247" s="321"/>
      <c r="M247" s="321"/>
      <c r="N247" s="323"/>
      <c r="O247" s="323"/>
      <c r="P247" s="323"/>
      <c r="Q247" s="323"/>
      <c r="R247" s="323"/>
      <c r="S247" s="323"/>
      <c r="T247" s="324"/>
      <c r="U247" s="325"/>
      <c r="V247" s="325"/>
      <c r="W247" s="326" t="s">
        <v>510</v>
      </c>
      <c r="X247" s="321" t="s">
        <v>918</v>
      </c>
      <c r="Y247" s="320" t="s">
        <v>1084</v>
      </c>
      <c r="Z247" s="348" t="s">
        <v>1086</v>
      </c>
    </row>
    <row r="248" customFormat="false" ht="12.75" hidden="false" customHeight="true" outlineLevel="0" collapsed="false">
      <c r="A248" s="412" t="s">
        <v>2093</v>
      </c>
      <c r="B248" s="412" t="n">
        <v>245</v>
      </c>
      <c r="C248" s="413" t="s">
        <v>1764</v>
      </c>
      <c r="D248" s="413" t="s">
        <v>2094</v>
      </c>
      <c r="E248" s="413" t="s">
        <v>2095</v>
      </c>
      <c r="F248" s="412" t="s">
        <v>2093</v>
      </c>
      <c r="G248" s="414" t="s">
        <v>2096</v>
      </c>
      <c r="H248" s="413" t="s">
        <v>2047</v>
      </c>
      <c r="I248" s="413" t="s">
        <v>2097</v>
      </c>
      <c r="J248" s="415"/>
      <c r="K248" s="415"/>
      <c r="L248" s="415"/>
      <c r="M248" s="415"/>
      <c r="N248" s="416" t="n">
        <v>44786</v>
      </c>
      <c r="O248" s="416" t="s">
        <v>335</v>
      </c>
      <c r="P248" s="416"/>
      <c r="Q248" s="416"/>
      <c r="R248" s="416"/>
      <c r="S248" s="416"/>
      <c r="T248" s="417" t="s">
        <v>2098</v>
      </c>
      <c r="U248" s="418"/>
      <c r="V248" s="418" t="n">
        <v>44877</v>
      </c>
      <c r="W248" s="419"/>
      <c r="X248" s="415"/>
      <c r="Y248" s="412" t="s">
        <v>2093</v>
      </c>
      <c r="Z248" s="420" t="s">
        <v>2099</v>
      </c>
    </row>
    <row r="249" customFormat="false" ht="12.75" hidden="false" customHeight="true" outlineLevel="0" collapsed="false">
      <c r="A249" s="320" t="s">
        <v>1518</v>
      </c>
      <c r="B249" s="321" t="n">
        <v>246</v>
      </c>
      <c r="C249" s="321" t="s">
        <v>1764</v>
      </c>
      <c r="D249" s="321" t="s">
        <v>2100</v>
      </c>
      <c r="E249" s="321" t="s">
        <v>1520</v>
      </c>
      <c r="F249" s="320" t="s">
        <v>1518</v>
      </c>
      <c r="G249" s="322" t="s">
        <v>2101</v>
      </c>
      <c r="H249" s="321"/>
      <c r="I249" s="321"/>
      <c r="J249" s="321"/>
      <c r="K249" s="321"/>
      <c r="L249" s="321"/>
      <c r="M249" s="321"/>
      <c r="N249" s="323"/>
      <c r="O249" s="323"/>
      <c r="P249" s="323"/>
      <c r="Q249" s="323"/>
      <c r="R249" s="323"/>
      <c r="S249" s="323"/>
      <c r="T249" s="324"/>
      <c r="U249" s="325"/>
      <c r="V249" s="325" t="n">
        <v>44996</v>
      </c>
      <c r="W249" s="326" t="s">
        <v>55</v>
      </c>
      <c r="X249" s="321" t="s">
        <v>918</v>
      </c>
      <c r="Y249" s="320" t="s">
        <v>1518</v>
      </c>
      <c r="Z249" s="348" t="s">
        <v>2101</v>
      </c>
    </row>
    <row r="250" customFormat="false" ht="12.75" hidden="false" customHeight="true" outlineLevel="0" collapsed="false">
      <c r="A250" s="265" t="s">
        <v>1087</v>
      </c>
      <c r="B250" s="262" t="n">
        <v>247</v>
      </c>
      <c r="C250" s="262" t="s">
        <v>1764</v>
      </c>
      <c r="D250" s="262" t="s">
        <v>1088</v>
      </c>
      <c r="E250" s="262" t="s">
        <v>1089</v>
      </c>
      <c r="F250" s="265" t="s">
        <v>1087</v>
      </c>
      <c r="G250" s="365" t="s">
        <v>1090</v>
      </c>
      <c r="H250" s="270"/>
      <c r="I250" s="270"/>
      <c r="J250" s="270"/>
      <c r="K250" s="270"/>
      <c r="L250" s="270"/>
      <c r="M250" s="270"/>
      <c r="N250" s="309"/>
      <c r="O250" s="309"/>
      <c r="P250" s="309" t="n">
        <v>44568</v>
      </c>
      <c r="Q250" s="277" t="s">
        <v>67</v>
      </c>
      <c r="R250" s="309" t="n">
        <v>44779</v>
      </c>
      <c r="S250" s="309" t="s">
        <v>49</v>
      </c>
      <c r="T250" s="310"/>
      <c r="U250" s="278"/>
      <c r="V250" s="278"/>
      <c r="W250" s="410"/>
      <c r="X250" s="270"/>
      <c r="Y250" s="265" t="s">
        <v>1087</v>
      </c>
      <c r="Z250" s="348" t="s">
        <v>1091</v>
      </c>
    </row>
    <row r="251" customFormat="false" ht="12.75" hidden="false" customHeight="true" outlineLevel="0" collapsed="false">
      <c r="A251" s="320" t="s">
        <v>1522</v>
      </c>
      <c r="B251" s="321" t="n">
        <v>248</v>
      </c>
      <c r="C251" s="321" t="s">
        <v>1764</v>
      </c>
      <c r="D251" s="321" t="s">
        <v>2102</v>
      </c>
      <c r="E251" s="321" t="s">
        <v>320</v>
      </c>
      <c r="F251" s="320" t="s">
        <v>1522</v>
      </c>
      <c r="G251" s="322" t="s">
        <v>2103</v>
      </c>
      <c r="H251" s="321" t="s">
        <v>1760</v>
      </c>
      <c r="I251" s="321" t="s">
        <v>2104</v>
      </c>
      <c r="J251" s="321"/>
      <c r="K251" s="321"/>
      <c r="L251" s="321"/>
      <c r="M251" s="321"/>
      <c r="N251" s="323"/>
      <c r="O251" s="323"/>
      <c r="P251" s="323"/>
      <c r="Q251" s="323"/>
      <c r="R251" s="323"/>
      <c r="S251" s="323"/>
      <c r="T251" s="324" t="s">
        <v>2105</v>
      </c>
      <c r="U251" s="325"/>
      <c r="V251" s="325" t="n">
        <v>45003</v>
      </c>
      <c r="W251" s="326" t="s">
        <v>2106</v>
      </c>
      <c r="X251" s="321" t="s">
        <v>1811</v>
      </c>
      <c r="Y251" s="320" t="s">
        <v>1522</v>
      </c>
      <c r="Z251" s="348" t="s">
        <v>2103</v>
      </c>
    </row>
    <row r="252" customFormat="false" ht="12.75" hidden="false" customHeight="true" outlineLevel="0" collapsed="false">
      <c r="A252" s="301" t="s">
        <v>1525</v>
      </c>
      <c r="B252" s="302" t="n">
        <v>249</v>
      </c>
      <c r="C252" s="302" t="s">
        <v>1764</v>
      </c>
      <c r="D252" s="302" t="s">
        <v>2107</v>
      </c>
      <c r="E252" s="302" t="s">
        <v>1527</v>
      </c>
      <c r="F252" s="301" t="s">
        <v>1525</v>
      </c>
      <c r="G252" s="303" t="s">
        <v>2108</v>
      </c>
      <c r="H252" s="302"/>
      <c r="I252" s="302"/>
      <c r="J252" s="302"/>
      <c r="K252" s="302"/>
      <c r="L252" s="302"/>
      <c r="M252" s="302"/>
      <c r="N252" s="319" t="s">
        <v>2109</v>
      </c>
      <c r="O252" s="319" t="s">
        <v>2110</v>
      </c>
      <c r="P252" s="304"/>
      <c r="Q252" s="304"/>
      <c r="R252" s="304"/>
      <c r="S252" s="304"/>
      <c r="T252" s="305"/>
      <c r="U252" s="344"/>
      <c r="V252" s="344" t="n">
        <v>45003</v>
      </c>
      <c r="W252" s="345" t="s">
        <v>103</v>
      </c>
      <c r="X252" s="302" t="s">
        <v>918</v>
      </c>
      <c r="Y252" s="301" t="s">
        <v>1525</v>
      </c>
      <c r="Z252" s="351" t="s">
        <v>2108</v>
      </c>
    </row>
    <row r="253" customFormat="false" ht="12.75" hidden="false" customHeight="true" outlineLevel="0" collapsed="false">
      <c r="A253" s="328" t="s">
        <v>1092</v>
      </c>
      <c r="B253" s="329" t="n">
        <v>250</v>
      </c>
      <c r="C253" s="329" t="s">
        <v>1764</v>
      </c>
      <c r="D253" s="329" t="s">
        <v>1093</v>
      </c>
      <c r="E253" s="329" t="s">
        <v>1094</v>
      </c>
      <c r="F253" s="328" t="s">
        <v>1092</v>
      </c>
      <c r="G253" s="330" t="s">
        <v>1095</v>
      </c>
      <c r="H253" s="329" t="s">
        <v>1847</v>
      </c>
      <c r="I253" s="329" t="s">
        <v>2111</v>
      </c>
      <c r="J253" s="329"/>
      <c r="K253" s="329"/>
      <c r="L253" s="329"/>
      <c r="M253" s="329"/>
      <c r="N253" s="314"/>
      <c r="O253" s="314"/>
      <c r="P253" s="314"/>
      <c r="Q253" s="314"/>
      <c r="R253" s="331" t="n">
        <v>44674</v>
      </c>
      <c r="S253" s="421" t="s">
        <v>67</v>
      </c>
      <c r="T253" s="352"/>
      <c r="U253" s="333"/>
      <c r="V253" s="333"/>
      <c r="W253" s="334" t="s">
        <v>152</v>
      </c>
      <c r="X253" s="329" t="s">
        <v>1097</v>
      </c>
      <c r="Y253" s="328" t="s">
        <v>1092</v>
      </c>
      <c r="Z253" s="348" t="s">
        <v>1095</v>
      </c>
    </row>
    <row r="254" customFormat="false" ht="12.75" hidden="false" customHeight="true" outlineLevel="0" collapsed="false">
      <c r="A254" s="301" t="s">
        <v>2112</v>
      </c>
      <c r="B254" s="302" t="n">
        <v>251</v>
      </c>
      <c r="C254" s="302" t="s">
        <v>1764</v>
      </c>
      <c r="D254" s="355" t="s">
        <v>2113</v>
      </c>
      <c r="E254" s="302" t="s">
        <v>2114</v>
      </c>
      <c r="F254" s="301" t="s">
        <v>2112</v>
      </c>
      <c r="G254" s="303" t="s">
        <v>2115</v>
      </c>
      <c r="H254" s="302" t="s">
        <v>1760</v>
      </c>
      <c r="I254" s="302" t="s">
        <v>2116</v>
      </c>
      <c r="J254" s="303"/>
      <c r="K254" s="303"/>
      <c r="L254" s="303"/>
      <c r="M254" s="303"/>
      <c r="N254" s="304"/>
      <c r="O254" s="304"/>
      <c r="P254" s="304"/>
      <c r="Q254" s="304"/>
      <c r="R254" s="304"/>
      <c r="S254" s="304"/>
      <c r="T254" s="305"/>
      <c r="U254" s="306"/>
      <c r="V254" s="306" t="n">
        <v>44723</v>
      </c>
      <c r="W254" s="345"/>
      <c r="X254" s="303"/>
      <c r="Y254" s="301" t="s">
        <v>2112</v>
      </c>
      <c r="Z254" s="348" t="s">
        <v>2115</v>
      </c>
    </row>
    <row r="255" customFormat="false" ht="12.75" hidden="false" customHeight="true" outlineLevel="0" collapsed="false">
      <c r="A255" s="265" t="s">
        <v>1098</v>
      </c>
      <c r="B255" s="262" t="n">
        <v>252</v>
      </c>
      <c r="C255" s="262" t="s">
        <v>1764</v>
      </c>
      <c r="D255" s="262" t="s">
        <v>1099</v>
      </c>
      <c r="E255" s="262" t="s">
        <v>1100</v>
      </c>
      <c r="F255" s="265" t="s">
        <v>1098</v>
      </c>
      <c r="G255" s="270" t="s">
        <v>1101</v>
      </c>
      <c r="H255" s="270"/>
      <c r="I255" s="270"/>
      <c r="J255" s="270"/>
      <c r="K255" s="270"/>
      <c r="L255" s="270"/>
      <c r="M255" s="270"/>
      <c r="N255" s="309" t="n">
        <v>44695</v>
      </c>
      <c r="O255" s="309" t="s">
        <v>335</v>
      </c>
      <c r="P255" s="309"/>
      <c r="Q255" s="309"/>
      <c r="R255" s="309" t="n">
        <v>44610</v>
      </c>
      <c r="S255" s="277" t="s">
        <v>49</v>
      </c>
      <c r="T255" s="310"/>
      <c r="U255" s="278"/>
      <c r="V255" s="278"/>
      <c r="W255" s="410"/>
      <c r="X255" s="270"/>
      <c r="Y255" s="265" t="s">
        <v>1098</v>
      </c>
      <c r="Z255" s="348" t="s">
        <v>1101</v>
      </c>
    </row>
    <row r="256" customFormat="false" ht="12.75" hidden="false" customHeight="true" outlineLevel="0" collapsed="false">
      <c r="A256" s="301" t="s">
        <v>2117</v>
      </c>
      <c r="B256" s="302" t="n">
        <v>253</v>
      </c>
      <c r="C256" s="302" t="s">
        <v>1764</v>
      </c>
      <c r="D256" s="355" t="s">
        <v>2118</v>
      </c>
      <c r="E256" s="302" t="s">
        <v>2119</v>
      </c>
      <c r="F256" s="301" t="s">
        <v>2117</v>
      </c>
      <c r="G256" s="303" t="s">
        <v>2120</v>
      </c>
      <c r="H256" s="302"/>
      <c r="I256" s="302"/>
      <c r="J256" s="302"/>
      <c r="K256" s="302"/>
      <c r="L256" s="302"/>
      <c r="M256" s="302"/>
      <c r="N256" s="304"/>
      <c r="O256" s="304"/>
      <c r="P256" s="304"/>
      <c r="Q256" s="304"/>
      <c r="R256" s="304"/>
      <c r="S256" s="304"/>
      <c r="T256" s="375" t="s">
        <v>2121</v>
      </c>
      <c r="U256" s="344"/>
      <c r="V256" s="344" t="n">
        <v>44652</v>
      </c>
      <c r="W256" s="345"/>
      <c r="X256" s="302"/>
      <c r="Y256" s="301" t="s">
        <v>2117</v>
      </c>
      <c r="Z256" s="262"/>
    </row>
    <row r="257" customFormat="false" ht="12.75" hidden="false" customHeight="true" outlineLevel="0" collapsed="false">
      <c r="A257" s="265" t="s">
        <v>1102</v>
      </c>
      <c r="B257" s="262" t="n">
        <v>254</v>
      </c>
      <c r="C257" s="262" t="s">
        <v>1764</v>
      </c>
      <c r="D257" s="262" t="s">
        <v>1103</v>
      </c>
      <c r="E257" s="262" t="s">
        <v>1104</v>
      </c>
      <c r="F257" s="265" t="s">
        <v>1102</v>
      </c>
      <c r="G257" s="270" t="s">
        <v>1105</v>
      </c>
      <c r="H257" s="270"/>
      <c r="I257" s="270"/>
      <c r="J257" s="270"/>
      <c r="K257" s="270"/>
      <c r="L257" s="270"/>
      <c r="M257" s="270"/>
      <c r="N257" s="309"/>
      <c r="O257" s="309"/>
      <c r="P257" s="309" t="n">
        <v>44610</v>
      </c>
      <c r="Q257" s="277" t="s">
        <v>67</v>
      </c>
      <c r="R257" s="309" t="n">
        <v>44849</v>
      </c>
      <c r="S257" s="277" t="s">
        <v>67</v>
      </c>
      <c r="T257" s="310"/>
      <c r="U257" s="278"/>
      <c r="V257" s="278"/>
      <c r="W257" s="410"/>
      <c r="X257" s="270"/>
      <c r="Y257" s="265" t="s">
        <v>1102</v>
      </c>
      <c r="Z257" s="348" t="s">
        <v>1106</v>
      </c>
    </row>
    <row r="258" customFormat="false" ht="12.75" hidden="false" customHeight="true" outlineLevel="0" collapsed="false">
      <c r="A258" s="265" t="s">
        <v>1107</v>
      </c>
      <c r="B258" s="262" t="n">
        <v>255</v>
      </c>
      <c r="C258" s="262" t="s">
        <v>1764</v>
      </c>
      <c r="D258" s="262" t="s">
        <v>1108</v>
      </c>
      <c r="E258" s="262" t="s">
        <v>1109</v>
      </c>
      <c r="F258" s="265" t="s">
        <v>1107</v>
      </c>
      <c r="G258" s="270" t="s">
        <v>1110</v>
      </c>
      <c r="H258" s="270"/>
      <c r="I258" s="270"/>
      <c r="J258" s="270"/>
      <c r="K258" s="270"/>
      <c r="L258" s="270"/>
      <c r="M258" s="270"/>
      <c r="N258" s="309"/>
      <c r="O258" s="309"/>
      <c r="P258" s="309" t="n">
        <v>44877</v>
      </c>
      <c r="Q258" s="309" t="s">
        <v>67</v>
      </c>
      <c r="R258" s="309" t="n">
        <v>44681</v>
      </c>
      <c r="S258" s="309" t="s">
        <v>67</v>
      </c>
      <c r="T258" s="310"/>
      <c r="U258" s="278"/>
      <c r="V258" s="278"/>
      <c r="W258" s="410"/>
      <c r="X258" s="270"/>
      <c r="Y258" s="265" t="s">
        <v>1107</v>
      </c>
      <c r="Z258" s="348" t="s">
        <v>1110</v>
      </c>
    </row>
    <row r="259" customFormat="false" ht="12.75" hidden="false" customHeight="true" outlineLevel="0" collapsed="false">
      <c r="A259" s="265" t="s">
        <v>1111</v>
      </c>
      <c r="B259" s="262" t="n">
        <v>256</v>
      </c>
      <c r="C259" s="262" t="s">
        <v>2015</v>
      </c>
      <c r="D259" s="262" t="s">
        <v>1113</v>
      </c>
      <c r="E259" s="262" t="s">
        <v>1114</v>
      </c>
      <c r="F259" s="265" t="s">
        <v>1111</v>
      </c>
      <c r="G259" s="270" t="s">
        <v>1115</v>
      </c>
      <c r="H259" s="262"/>
      <c r="I259" s="262"/>
      <c r="J259" s="270"/>
      <c r="K259" s="270"/>
      <c r="L259" s="270"/>
      <c r="M259" s="270"/>
      <c r="N259" s="309" t="n">
        <v>44617</v>
      </c>
      <c r="O259" s="277" t="s">
        <v>49</v>
      </c>
      <c r="P259" s="309"/>
      <c r="Q259" s="309"/>
      <c r="R259" s="309" t="n">
        <v>44849</v>
      </c>
      <c r="S259" s="277" t="s">
        <v>126</v>
      </c>
      <c r="T259" s="310"/>
      <c r="U259" s="278" t="n">
        <v>44681</v>
      </c>
      <c r="V259" s="278"/>
      <c r="W259" s="410"/>
      <c r="X259" s="270"/>
      <c r="Y259" s="265" t="s">
        <v>1111</v>
      </c>
      <c r="Z259" s="422" t="s">
        <v>1115</v>
      </c>
    </row>
    <row r="260" customFormat="false" ht="12.75" hidden="false" customHeight="true" outlineLevel="0" collapsed="false">
      <c r="A260" s="301" t="s">
        <v>1528</v>
      </c>
      <c r="B260" s="302" t="n">
        <v>257</v>
      </c>
      <c r="C260" s="302" t="s">
        <v>2015</v>
      </c>
      <c r="D260" s="302" t="s">
        <v>2122</v>
      </c>
      <c r="E260" s="302" t="s">
        <v>1530</v>
      </c>
      <c r="F260" s="301" t="s">
        <v>1528</v>
      </c>
      <c r="G260" s="303" t="s">
        <v>2123</v>
      </c>
      <c r="H260" s="302" t="s">
        <v>1847</v>
      </c>
      <c r="I260" s="302" t="s">
        <v>2124</v>
      </c>
      <c r="J260" s="303"/>
      <c r="K260" s="303"/>
      <c r="L260" s="303"/>
      <c r="M260" s="303"/>
      <c r="N260" s="304" t="n">
        <v>44631</v>
      </c>
      <c r="O260" s="319" t="s">
        <v>335</v>
      </c>
      <c r="P260" s="304"/>
      <c r="Q260" s="304"/>
      <c r="R260" s="304" t="n">
        <v>44877</v>
      </c>
      <c r="S260" s="304" t="s">
        <v>49</v>
      </c>
      <c r="T260" s="305"/>
      <c r="U260" s="306" t="n">
        <v>44779</v>
      </c>
      <c r="V260" s="306" t="n">
        <v>44912</v>
      </c>
      <c r="W260" s="345"/>
      <c r="X260" s="303"/>
      <c r="Y260" s="301" t="s">
        <v>1528</v>
      </c>
      <c r="Z260" s="348"/>
    </row>
    <row r="261" customFormat="false" ht="12.75" hidden="false" customHeight="true" outlineLevel="0" collapsed="false">
      <c r="A261" s="423" t="s">
        <v>2125</v>
      </c>
      <c r="B261" s="302" t="n">
        <v>258</v>
      </c>
      <c r="C261" s="302" t="s">
        <v>2015</v>
      </c>
      <c r="D261" s="302" t="s">
        <v>2126</v>
      </c>
      <c r="E261" s="302" t="s">
        <v>2127</v>
      </c>
      <c r="F261" s="301" t="s">
        <v>2125</v>
      </c>
      <c r="G261" s="303" t="s">
        <v>2128</v>
      </c>
      <c r="H261" s="302"/>
      <c r="I261" s="302"/>
      <c r="J261" s="303"/>
      <c r="K261" s="303"/>
      <c r="L261" s="303"/>
      <c r="M261" s="303"/>
      <c r="N261" s="304"/>
      <c r="O261" s="304"/>
      <c r="P261" s="304"/>
      <c r="Q261" s="304"/>
      <c r="R261" s="304" t="n">
        <v>44912</v>
      </c>
      <c r="S261" s="304" t="s">
        <v>67</v>
      </c>
      <c r="T261" s="305"/>
      <c r="U261" s="306" t="n">
        <v>44793</v>
      </c>
      <c r="V261" s="306" t="n">
        <v>44954</v>
      </c>
      <c r="W261" s="345"/>
      <c r="X261" s="303"/>
      <c r="Y261" s="423" t="s">
        <v>2125</v>
      </c>
      <c r="Z261" s="351"/>
    </row>
    <row r="262" customFormat="false" ht="12.75" hidden="false" customHeight="true" outlineLevel="0" collapsed="false">
      <c r="A262" s="265" t="s">
        <v>1116</v>
      </c>
      <c r="B262" s="262" t="n">
        <v>259</v>
      </c>
      <c r="C262" s="262" t="s">
        <v>1634</v>
      </c>
      <c r="D262" s="262" t="s">
        <v>1117</v>
      </c>
      <c r="E262" s="262" t="s">
        <v>1118</v>
      </c>
      <c r="F262" s="265" t="s">
        <v>1116</v>
      </c>
      <c r="G262" s="270" t="s">
        <v>1119</v>
      </c>
      <c r="H262" s="262"/>
      <c r="I262" s="270"/>
      <c r="J262" s="270"/>
      <c r="K262" s="270"/>
      <c r="L262" s="270"/>
      <c r="M262" s="270"/>
      <c r="N262" s="309"/>
      <c r="O262" s="309"/>
      <c r="P262" s="309" t="n">
        <v>44786</v>
      </c>
      <c r="Q262" s="309" t="s">
        <v>32</v>
      </c>
      <c r="R262" s="309"/>
      <c r="S262" s="309"/>
      <c r="T262" s="310"/>
      <c r="U262" s="278"/>
      <c r="V262" s="278"/>
      <c r="W262" s="410"/>
      <c r="X262" s="270"/>
      <c r="Y262" s="265" t="s">
        <v>1116</v>
      </c>
      <c r="Z262" s="348" t="s">
        <v>1119</v>
      </c>
    </row>
    <row r="263" customFormat="false" ht="12.75" hidden="false" customHeight="true" outlineLevel="0" collapsed="false">
      <c r="A263" s="301" t="s">
        <v>1547</v>
      </c>
      <c r="B263" s="302" t="n">
        <v>260</v>
      </c>
      <c r="C263" s="302" t="s">
        <v>1634</v>
      </c>
      <c r="D263" s="302" t="s">
        <v>2129</v>
      </c>
      <c r="E263" s="302" t="s">
        <v>1549</v>
      </c>
      <c r="F263" s="301" t="s">
        <v>1547</v>
      </c>
      <c r="G263" s="303" t="s">
        <v>2130</v>
      </c>
      <c r="H263" s="303"/>
      <c r="I263" s="303"/>
      <c r="J263" s="303"/>
      <c r="K263" s="303"/>
      <c r="L263" s="303"/>
      <c r="M263" s="303"/>
      <c r="N263" s="304" t="n">
        <v>44575</v>
      </c>
      <c r="O263" s="319" t="s">
        <v>49</v>
      </c>
      <c r="P263" s="304"/>
      <c r="Q263" s="304"/>
      <c r="R263" s="304" t="n">
        <v>44730</v>
      </c>
      <c r="S263" s="319" t="s">
        <v>67</v>
      </c>
      <c r="T263" s="305"/>
      <c r="U263" s="306"/>
      <c r="V263" s="306" t="n">
        <v>45003</v>
      </c>
      <c r="W263" s="345"/>
      <c r="X263" s="303"/>
      <c r="Y263" s="301" t="s">
        <v>1547</v>
      </c>
      <c r="Z263" s="351" t="s">
        <v>2130</v>
      </c>
    </row>
    <row r="264" customFormat="false" ht="12.75" hidden="false" customHeight="true" outlineLevel="0" collapsed="false">
      <c r="A264" s="265" t="s">
        <v>1120</v>
      </c>
      <c r="B264" s="262" t="n">
        <v>261</v>
      </c>
      <c r="C264" s="262" t="s">
        <v>1634</v>
      </c>
      <c r="D264" s="262" t="s">
        <v>1121</v>
      </c>
      <c r="E264" s="262" t="s">
        <v>1122</v>
      </c>
      <c r="F264" s="265" t="s">
        <v>1120</v>
      </c>
      <c r="G264" s="365" t="s">
        <v>1124</v>
      </c>
      <c r="H264" s="270"/>
      <c r="I264" s="270"/>
      <c r="J264" s="270"/>
      <c r="K264" s="270"/>
      <c r="L264" s="270"/>
      <c r="M264" s="270"/>
      <c r="N264" s="309" t="n">
        <v>44793</v>
      </c>
      <c r="O264" s="309" t="s">
        <v>335</v>
      </c>
      <c r="P264" s="309"/>
      <c r="Q264" s="309"/>
      <c r="R264" s="309"/>
      <c r="S264" s="309"/>
      <c r="T264" s="310"/>
      <c r="U264" s="278"/>
      <c r="V264" s="278"/>
      <c r="W264" s="410"/>
      <c r="X264" s="270"/>
      <c r="Y264" s="265" t="s">
        <v>1120</v>
      </c>
      <c r="Z264" s="348" t="s">
        <v>1125</v>
      </c>
    </row>
    <row r="265" customFormat="false" ht="12.75" hidden="false" customHeight="true" outlineLevel="0" collapsed="false">
      <c r="A265" s="336" t="s">
        <v>1126</v>
      </c>
      <c r="B265" s="337" t="n">
        <v>262</v>
      </c>
      <c r="C265" s="337" t="s">
        <v>1634</v>
      </c>
      <c r="D265" s="337" t="s">
        <v>1127</v>
      </c>
      <c r="E265" s="337" t="s">
        <v>1128</v>
      </c>
      <c r="F265" s="336" t="s">
        <v>1126</v>
      </c>
      <c r="G265" s="338" t="s">
        <v>1129</v>
      </c>
      <c r="H265" s="337"/>
      <c r="I265" s="337"/>
      <c r="J265" s="337"/>
      <c r="K265" s="337"/>
      <c r="L265" s="337"/>
      <c r="M265" s="337"/>
      <c r="N265" s="314"/>
      <c r="O265" s="314"/>
      <c r="P265" s="314"/>
      <c r="Q265" s="314"/>
      <c r="R265" s="339" t="s">
        <v>2131</v>
      </c>
      <c r="S265" s="340" t="s">
        <v>32</v>
      </c>
      <c r="T265" s="341"/>
      <c r="U265" s="342"/>
      <c r="V265" s="342"/>
      <c r="W265" s="343" t="s">
        <v>240</v>
      </c>
      <c r="X265" s="337" t="s">
        <v>1097</v>
      </c>
      <c r="Y265" s="336" t="s">
        <v>1126</v>
      </c>
      <c r="Z265" s="348" t="s">
        <v>1132</v>
      </c>
    </row>
    <row r="266" customFormat="false" ht="12.75" hidden="false" customHeight="true" outlineLevel="0" collapsed="false">
      <c r="A266" s="265" t="s">
        <v>1133</v>
      </c>
      <c r="B266" s="262" t="n">
        <v>263</v>
      </c>
      <c r="C266" s="262" t="s">
        <v>1634</v>
      </c>
      <c r="D266" s="262" t="s">
        <v>1134</v>
      </c>
      <c r="E266" s="262" t="s">
        <v>434</v>
      </c>
      <c r="F266" s="265" t="s">
        <v>1133</v>
      </c>
      <c r="G266" s="270" t="s">
        <v>1135</v>
      </c>
      <c r="H266" s="270"/>
      <c r="I266" s="270"/>
      <c r="J266" s="270"/>
      <c r="K266" s="270"/>
      <c r="L266" s="270"/>
      <c r="M266" s="270"/>
      <c r="N266" s="309" t="n">
        <v>44617</v>
      </c>
      <c r="O266" s="277" t="s">
        <v>335</v>
      </c>
      <c r="P266" s="309"/>
      <c r="Q266" s="309"/>
      <c r="R266" s="309" t="n">
        <v>44849</v>
      </c>
      <c r="S266" s="277" t="s">
        <v>49</v>
      </c>
      <c r="T266" s="310"/>
      <c r="U266" s="278"/>
      <c r="V266" s="278"/>
      <c r="W266" s="410"/>
      <c r="X266" s="270"/>
      <c r="Y266" s="265" t="s">
        <v>1133</v>
      </c>
      <c r="Z266" s="348" t="s">
        <v>1135</v>
      </c>
    </row>
    <row r="267" customFormat="false" ht="12.75" hidden="false" customHeight="true" outlineLevel="0" collapsed="false">
      <c r="A267" s="290" t="s">
        <v>1136</v>
      </c>
      <c r="B267" s="291" t="n">
        <v>264</v>
      </c>
      <c r="C267" s="291" t="s">
        <v>1634</v>
      </c>
      <c r="D267" s="291" t="s">
        <v>1137</v>
      </c>
      <c r="E267" s="291" t="s">
        <v>1138</v>
      </c>
      <c r="F267" s="290" t="s">
        <v>1136</v>
      </c>
      <c r="G267" s="292" t="s">
        <v>1139</v>
      </c>
      <c r="H267" s="291"/>
      <c r="I267" s="291"/>
      <c r="J267" s="291"/>
      <c r="K267" s="291"/>
      <c r="L267" s="291"/>
      <c r="M267" s="291"/>
      <c r="N267" s="293" t="s">
        <v>2132</v>
      </c>
      <c r="O267" s="293" t="s">
        <v>2133</v>
      </c>
      <c r="P267" s="314"/>
      <c r="Q267" s="314"/>
      <c r="R267" s="295"/>
      <c r="S267" s="295"/>
      <c r="T267" s="346"/>
      <c r="U267" s="349"/>
      <c r="V267" s="349"/>
      <c r="W267" s="298" t="s">
        <v>103</v>
      </c>
      <c r="X267" s="291" t="s">
        <v>1141</v>
      </c>
      <c r="Y267" s="290" t="s">
        <v>1136</v>
      </c>
      <c r="Z267" s="348" t="s">
        <v>1139</v>
      </c>
    </row>
    <row r="268" customFormat="false" ht="12.75" hidden="false" customHeight="true" outlineLevel="0" collapsed="false">
      <c r="A268" s="265" t="s">
        <v>1142</v>
      </c>
      <c r="B268" s="262" t="n">
        <v>265</v>
      </c>
      <c r="C268" s="262" t="s">
        <v>1634</v>
      </c>
      <c r="D268" s="262" t="s">
        <v>1143</v>
      </c>
      <c r="E268" s="262" t="s">
        <v>1144</v>
      </c>
      <c r="F268" s="265" t="s">
        <v>1142</v>
      </c>
      <c r="G268" s="270" t="s">
        <v>1145</v>
      </c>
      <c r="H268" s="270"/>
      <c r="I268" s="270"/>
      <c r="J268" s="270"/>
      <c r="K268" s="270"/>
      <c r="L268" s="270"/>
      <c r="M268" s="270"/>
      <c r="N268" s="309"/>
      <c r="O268" s="309"/>
      <c r="P268" s="309" t="n">
        <v>44884</v>
      </c>
      <c r="Q268" s="309" t="s">
        <v>67</v>
      </c>
      <c r="R268" s="309" t="n">
        <v>44702</v>
      </c>
      <c r="S268" s="309" t="s">
        <v>49</v>
      </c>
      <c r="T268" s="310"/>
      <c r="U268" s="278"/>
      <c r="V268" s="278"/>
      <c r="W268" s="410"/>
      <c r="X268" s="270"/>
      <c r="Y268" s="265" t="s">
        <v>1142</v>
      </c>
      <c r="Z268" s="348" t="s">
        <v>1145</v>
      </c>
    </row>
    <row r="269" customFormat="false" ht="12.75" hidden="false" customHeight="true" outlineLevel="0" collapsed="false">
      <c r="A269" s="265" t="s">
        <v>1146</v>
      </c>
      <c r="B269" s="262" t="n">
        <v>266</v>
      </c>
      <c r="C269" s="262" t="s">
        <v>1634</v>
      </c>
      <c r="D269" s="262" t="s">
        <v>1147</v>
      </c>
      <c r="E269" s="262" t="s">
        <v>1148</v>
      </c>
      <c r="F269" s="265" t="s">
        <v>1146</v>
      </c>
      <c r="G269" s="270" t="s">
        <v>1149</v>
      </c>
      <c r="H269" s="270"/>
      <c r="I269" s="270"/>
      <c r="J269" s="270"/>
      <c r="K269" s="270"/>
      <c r="L269" s="270"/>
      <c r="M269" s="270"/>
      <c r="N269" s="309"/>
      <c r="O269" s="309"/>
      <c r="P269" s="309" t="n">
        <v>44849</v>
      </c>
      <c r="Q269" s="277" t="s">
        <v>32</v>
      </c>
      <c r="R269" s="309"/>
      <c r="S269" s="309"/>
      <c r="T269" s="310"/>
      <c r="U269" s="278"/>
      <c r="V269" s="278"/>
      <c r="W269" s="410"/>
      <c r="X269" s="270"/>
      <c r="Y269" s="265" t="s">
        <v>1146</v>
      </c>
      <c r="Z269" s="348" t="s">
        <v>1149</v>
      </c>
    </row>
    <row r="270" customFormat="false" ht="12.75" hidden="false" customHeight="true" outlineLevel="0" collapsed="false">
      <c r="A270" s="265" t="s">
        <v>1150</v>
      </c>
      <c r="B270" s="262" t="n">
        <v>267</v>
      </c>
      <c r="C270" s="262" t="s">
        <v>1634</v>
      </c>
      <c r="D270" s="262" t="s">
        <v>1151</v>
      </c>
      <c r="E270" s="262" t="s">
        <v>1152</v>
      </c>
      <c r="F270" s="265" t="s">
        <v>1150</v>
      </c>
      <c r="G270" s="270" t="s">
        <v>1153</v>
      </c>
      <c r="H270" s="270"/>
      <c r="I270" s="270"/>
      <c r="J270" s="270"/>
      <c r="K270" s="270"/>
      <c r="L270" s="270"/>
      <c r="M270" s="270"/>
      <c r="N270" s="309"/>
      <c r="O270" s="309"/>
      <c r="P270" s="309" t="n">
        <v>44849</v>
      </c>
      <c r="Q270" s="277" t="s">
        <v>67</v>
      </c>
      <c r="R270" s="309"/>
      <c r="S270" s="309"/>
      <c r="T270" s="310"/>
      <c r="U270" s="278"/>
      <c r="V270" s="278"/>
      <c r="W270" s="410"/>
      <c r="X270" s="270"/>
      <c r="Y270" s="265" t="s">
        <v>1150</v>
      </c>
      <c r="Z270" s="348" t="s">
        <v>1153</v>
      </c>
    </row>
    <row r="271" customFormat="false" ht="12.75" hidden="false" customHeight="true" outlineLevel="0" collapsed="false">
      <c r="A271" s="265" t="s">
        <v>1154</v>
      </c>
      <c r="B271" s="262" t="n">
        <v>268</v>
      </c>
      <c r="C271" s="262" t="s">
        <v>1634</v>
      </c>
      <c r="D271" s="262" t="s">
        <v>1155</v>
      </c>
      <c r="E271" s="262" t="s">
        <v>1156</v>
      </c>
      <c r="F271" s="265" t="s">
        <v>1154</v>
      </c>
      <c r="G271" s="265" t="s">
        <v>1157</v>
      </c>
      <c r="H271" s="262" t="s">
        <v>1760</v>
      </c>
      <c r="I271" s="262" t="s">
        <v>2134</v>
      </c>
      <c r="J271" s="270"/>
      <c r="K271" s="270"/>
      <c r="L271" s="270"/>
      <c r="M271" s="270"/>
      <c r="N271" s="309" t="n">
        <v>44814</v>
      </c>
      <c r="O271" s="277" t="s">
        <v>49</v>
      </c>
      <c r="P271" s="309"/>
      <c r="Q271" s="309"/>
      <c r="R271" s="309"/>
      <c r="S271" s="309"/>
      <c r="T271" s="310"/>
      <c r="U271" s="278"/>
      <c r="V271" s="278"/>
      <c r="W271" s="410"/>
      <c r="X271" s="270"/>
      <c r="Y271" s="265" t="s">
        <v>1154</v>
      </c>
      <c r="Z271" s="348" t="s">
        <v>1159</v>
      </c>
    </row>
    <row r="272" customFormat="false" ht="12.75" hidden="false" customHeight="true" outlineLevel="0" collapsed="false">
      <c r="A272" s="301" t="s">
        <v>1555</v>
      </c>
      <c r="B272" s="302" t="n">
        <v>269</v>
      </c>
      <c r="C272" s="302" t="s">
        <v>1634</v>
      </c>
      <c r="D272" s="302" t="s">
        <v>2135</v>
      </c>
      <c r="E272" s="302" t="s">
        <v>1557</v>
      </c>
      <c r="F272" s="301" t="s">
        <v>1555</v>
      </c>
      <c r="G272" s="303" t="s">
        <v>2136</v>
      </c>
      <c r="H272" s="303"/>
      <c r="I272" s="303"/>
      <c r="J272" s="303"/>
      <c r="K272" s="303"/>
      <c r="L272" s="303"/>
      <c r="M272" s="303"/>
      <c r="N272" s="304"/>
      <c r="O272" s="304"/>
      <c r="P272" s="304" t="n">
        <v>44898</v>
      </c>
      <c r="Q272" s="304" t="s">
        <v>32</v>
      </c>
      <c r="R272" s="304" t="n">
        <v>44709</v>
      </c>
      <c r="S272" s="304" t="s">
        <v>126</v>
      </c>
      <c r="T272" s="305"/>
      <c r="U272" s="306"/>
      <c r="V272" s="306" t="n">
        <v>45003</v>
      </c>
      <c r="W272" s="345"/>
      <c r="X272" s="303"/>
      <c r="Y272" s="301" t="s">
        <v>1555</v>
      </c>
      <c r="Z272" s="351" t="s">
        <v>2136</v>
      </c>
    </row>
    <row r="273" customFormat="false" ht="12.75" hidden="false" customHeight="true" outlineLevel="0" collapsed="false">
      <c r="A273" s="265" t="s">
        <v>1160</v>
      </c>
      <c r="B273" s="262" t="n">
        <v>270</v>
      </c>
      <c r="C273" s="262" t="s">
        <v>1634</v>
      </c>
      <c r="D273" s="262" t="s">
        <v>1161</v>
      </c>
      <c r="E273" s="262" t="s">
        <v>1162</v>
      </c>
      <c r="F273" s="265" t="s">
        <v>1160</v>
      </c>
      <c r="G273" s="270" t="s">
        <v>1163</v>
      </c>
      <c r="H273" s="270"/>
      <c r="I273" s="270"/>
      <c r="J273" s="270"/>
      <c r="K273" s="270"/>
      <c r="L273" s="270"/>
      <c r="M273" s="270"/>
      <c r="N273" s="309" t="n">
        <v>44814</v>
      </c>
      <c r="O273" s="277" t="s">
        <v>335</v>
      </c>
      <c r="P273" s="309"/>
      <c r="Q273" s="309"/>
      <c r="R273" s="309"/>
      <c r="S273" s="309"/>
      <c r="T273" s="310"/>
      <c r="U273" s="278" t="n">
        <v>44674</v>
      </c>
      <c r="V273" s="278"/>
      <c r="W273" s="410"/>
      <c r="X273" s="270"/>
      <c r="Y273" s="265" t="s">
        <v>1160</v>
      </c>
      <c r="Z273" s="348" t="s">
        <v>1163</v>
      </c>
    </row>
    <row r="274" customFormat="false" ht="12.75" hidden="false" customHeight="true" outlineLevel="0" collapsed="false">
      <c r="A274" s="301" t="s">
        <v>2137</v>
      </c>
      <c r="B274" s="302" t="n">
        <v>271</v>
      </c>
      <c r="C274" s="302" t="s">
        <v>1760</v>
      </c>
      <c r="D274" s="355" t="s">
        <v>2138</v>
      </c>
      <c r="E274" s="302" t="s">
        <v>2139</v>
      </c>
      <c r="F274" s="301" t="s">
        <v>2137</v>
      </c>
      <c r="G274" s="424" t="s">
        <v>2140</v>
      </c>
      <c r="H274" s="303"/>
      <c r="I274" s="303"/>
      <c r="J274" s="303"/>
      <c r="K274" s="303"/>
      <c r="L274" s="303"/>
      <c r="M274" s="303"/>
      <c r="N274" s="304" t="n">
        <v>44786</v>
      </c>
      <c r="O274" s="304" t="s">
        <v>49</v>
      </c>
      <c r="P274" s="304"/>
      <c r="Q274" s="304"/>
      <c r="R274" s="304"/>
      <c r="S274" s="304"/>
      <c r="T274" s="305" t="s">
        <v>2141</v>
      </c>
      <c r="U274" s="306"/>
      <c r="V274" s="306" t="n">
        <v>44777</v>
      </c>
      <c r="W274" s="307"/>
      <c r="X274" s="303"/>
      <c r="Y274" s="301" t="s">
        <v>2137</v>
      </c>
      <c r="Z274" s="348" t="s">
        <v>2142</v>
      </c>
    </row>
    <row r="275" customFormat="false" ht="12.75" hidden="false" customHeight="true" outlineLevel="0" collapsed="false">
      <c r="A275" s="265" t="s">
        <v>1168</v>
      </c>
      <c r="B275" s="262" t="n">
        <v>272</v>
      </c>
      <c r="C275" s="262" t="s">
        <v>1760</v>
      </c>
      <c r="D275" s="262" t="s">
        <v>1169</v>
      </c>
      <c r="E275" s="262" t="s">
        <v>1170</v>
      </c>
      <c r="F275" s="265" t="s">
        <v>1168</v>
      </c>
      <c r="G275" s="270" t="s">
        <v>1171</v>
      </c>
      <c r="H275" s="270"/>
      <c r="I275" s="270"/>
      <c r="J275" s="270"/>
      <c r="K275" s="270"/>
      <c r="L275" s="270"/>
      <c r="M275" s="270"/>
      <c r="N275" s="309"/>
      <c r="O275" s="309"/>
      <c r="P275" s="309" t="n">
        <v>44898</v>
      </c>
      <c r="Q275" s="309" t="s">
        <v>67</v>
      </c>
      <c r="R275" s="309" t="n">
        <v>44709</v>
      </c>
      <c r="S275" s="309" t="s">
        <v>49</v>
      </c>
      <c r="T275" s="310"/>
      <c r="U275" s="278"/>
      <c r="V275" s="278"/>
      <c r="W275" s="410"/>
      <c r="X275" s="270"/>
      <c r="Y275" s="265" t="s">
        <v>1168</v>
      </c>
      <c r="Z275" s="348" t="s">
        <v>1171</v>
      </c>
    </row>
    <row r="276" customFormat="false" ht="12.75" hidden="false" customHeight="true" outlineLevel="0" collapsed="false">
      <c r="A276" s="265" t="s">
        <v>1172</v>
      </c>
      <c r="B276" s="262" t="n">
        <v>273</v>
      </c>
      <c r="C276" s="262" t="s">
        <v>1760</v>
      </c>
      <c r="D276" s="262" t="s">
        <v>1173</v>
      </c>
      <c r="E276" s="262" t="s">
        <v>1174</v>
      </c>
      <c r="F276" s="265" t="s">
        <v>1172</v>
      </c>
      <c r="G276" s="270" t="s">
        <v>1175</v>
      </c>
      <c r="H276" s="270"/>
      <c r="I276" s="270"/>
      <c r="J276" s="270"/>
      <c r="K276" s="270"/>
      <c r="L276" s="270"/>
      <c r="M276" s="270"/>
      <c r="N276" s="309" t="n">
        <v>44912</v>
      </c>
      <c r="O276" s="309" t="s">
        <v>335</v>
      </c>
      <c r="P276" s="309"/>
      <c r="Q276" s="309"/>
      <c r="R276" s="309" t="n">
        <v>44730</v>
      </c>
      <c r="S276" s="309" t="s">
        <v>126</v>
      </c>
      <c r="T276" s="310"/>
      <c r="U276" s="278"/>
      <c r="V276" s="278"/>
      <c r="W276" s="410"/>
      <c r="X276" s="270"/>
      <c r="Y276" s="265" t="s">
        <v>1172</v>
      </c>
      <c r="Z276" s="348" t="s">
        <v>1175</v>
      </c>
    </row>
    <row r="277" customFormat="false" ht="12.75" hidden="false" customHeight="true" outlineLevel="0" collapsed="false">
      <c r="A277" s="311" t="s">
        <v>1176</v>
      </c>
      <c r="B277" s="312" t="n">
        <v>274</v>
      </c>
      <c r="C277" s="312" t="s">
        <v>1760</v>
      </c>
      <c r="D277" s="312" t="s">
        <v>1177</v>
      </c>
      <c r="E277" s="312" t="s">
        <v>1178</v>
      </c>
      <c r="F277" s="311" t="s">
        <v>1176</v>
      </c>
      <c r="G277" s="313" t="s">
        <v>1179</v>
      </c>
      <c r="H277" s="312"/>
      <c r="I277" s="312"/>
      <c r="J277" s="312"/>
      <c r="K277" s="312"/>
      <c r="L277" s="312"/>
      <c r="M277" s="312"/>
      <c r="N277" s="314"/>
      <c r="O277" s="314"/>
      <c r="P277" s="314"/>
      <c r="Q277" s="314"/>
      <c r="R277" s="315"/>
      <c r="S277" s="315"/>
      <c r="T277" s="316"/>
      <c r="U277" s="317"/>
      <c r="V277" s="317"/>
      <c r="W277" s="318" t="s">
        <v>60</v>
      </c>
      <c r="X277" s="312" t="s">
        <v>989</v>
      </c>
      <c r="Y277" s="311" t="s">
        <v>1176</v>
      </c>
      <c r="Z277" s="348" t="s">
        <v>1179</v>
      </c>
    </row>
    <row r="278" customFormat="false" ht="12.75" hidden="false" customHeight="true" outlineLevel="0" collapsed="false">
      <c r="A278" s="311" t="s">
        <v>1180</v>
      </c>
      <c r="B278" s="312" t="n">
        <v>275</v>
      </c>
      <c r="C278" s="312" t="s">
        <v>1760</v>
      </c>
      <c r="D278" s="312" t="s">
        <v>1181</v>
      </c>
      <c r="E278" s="312" t="s">
        <v>1182</v>
      </c>
      <c r="F278" s="311" t="s">
        <v>1180</v>
      </c>
      <c r="G278" s="313" t="s">
        <v>1183</v>
      </c>
      <c r="H278" s="312"/>
      <c r="I278" s="312"/>
      <c r="J278" s="312"/>
      <c r="K278" s="312"/>
      <c r="L278" s="312"/>
      <c r="M278" s="312"/>
      <c r="N278" s="314"/>
      <c r="O278" s="314"/>
      <c r="P278" s="314"/>
      <c r="Q278" s="314"/>
      <c r="R278" s="315"/>
      <c r="S278" s="315"/>
      <c r="T278" s="316"/>
      <c r="U278" s="317"/>
      <c r="V278" s="317"/>
      <c r="W278" s="318" t="s">
        <v>60</v>
      </c>
      <c r="X278" s="312" t="s">
        <v>1141</v>
      </c>
      <c r="Y278" s="311" t="s">
        <v>1180</v>
      </c>
      <c r="Z278" s="348" t="s">
        <v>1183</v>
      </c>
    </row>
    <row r="279" customFormat="false" ht="12.75" hidden="false" customHeight="true" outlineLevel="0" collapsed="false">
      <c r="A279" s="301" t="s">
        <v>2143</v>
      </c>
      <c r="B279" s="302" t="n">
        <v>276</v>
      </c>
      <c r="C279" s="302" t="s">
        <v>1760</v>
      </c>
      <c r="D279" s="355" t="s">
        <v>2144</v>
      </c>
      <c r="E279" s="302" t="s">
        <v>2145</v>
      </c>
      <c r="F279" s="301" t="s">
        <v>2143</v>
      </c>
      <c r="G279" s="303" t="s">
        <v>2146</v>
      </c>
      <c r="H279" s="302"/>
      <c r="I279" s="302"/>
      <c r="J279" s="302"/>
      <c r="K279" s="302"/>
      <c r="L279" s="302"/>
      <c r="M279" s="302"/>
      <c r="N279" s="304"/>
      <c r="O279" s="304"/>
      <c r="P279" s="304"/>
      <c r="Q279" s="304"/>
      <c r="R279" s="304"/>
      <c r="S279" s="304"/>
      <c r="T279" s="305"/>
      <c r="U279" s="344"/>
      <c r="V279" s="344" t="n">
        <v>44800</v>
      </c>
      <c r="W279" s="345"/>
      <c r="X279" s="302"/>
      <c r="Y279" s="301" t="s">
        <v>2143</v>
      </c>
      <c r="Z279" s="348" t="s">
        <v>2146</v>
      </c>
    </row>
    <row r="280" customFormat="false" ht="12.75" hidden="false" customHeight="true" outlineLevel="0" collapsed="false">
      <c r="A280" s="328" t="s">
        <v>1195</v>
      </c>
      <c r="B280" s="329" t="n">
        <v>277</v>
      </c>
      <c r="C280" s="329" t="s">
        <v>1760</v>
      </c>
      <c r="D280" s="329" t="s">
        <v>2147</v>
      </c>
      <c r="E280" s="328" t="s">
        <v>1565</v>
      </c>
      <c r="F280" s="328" t="s">
        <v>1195</v>
      </c>
      <c r="G280" s="330" t="s">
        <v>1199</v>
      </c>
      <c r="H280" s="329"/>
      <c r="I280" s="329"/>
      <c r="J280" s="329"/>
      <c r="K280" s="329"/>
      <c r="L280" s="329"/>
      <c r="M280" s="329"/>
      <c r="N280" s="314"/>
      <c r="O280" s="314"/>
      <c r="P280" s="314"/>
      <c r="Q280" s="314"/>
      <c r="R280" s="331"/>
      <c r="S280" s="331"/>
      <c r="T280" s="352"/>
      <c r="U280" s="333"/>
      <c r="V280" s="333" t="n">
        <v>44912</v>
      </c>
      <c r="W280" s="334" t="s">
        <v>152</v>
      </c>
      <c r="X280" s="329" t="s">
        <v>989</v>
      </c>
      <c r="Y280" s="328" t="s">
        <v>1195</v>
      </c>
      <c r="Z280" s="348" t="s">
        <v>1199</v>
      </c>
    </row>
    <row r="281" customFormat="false" ht="12.75" hidden="false" customHeight="true" outlineLevel="0" collapsed="false">
      <c r="A281" s="301" t="s">
        <v>2148</v>
      </c>
      <c r="B281" s="302" t="n">
        <v>278</v>
      </c>
      <c r="C281" s="302" t="s">
        <v>1760</v>
      </c>
      <c r="D281" s="302" t="s">
        <v>2149</v>
      </c>
      <c r="E281" s="302" t="s">
        <v>1138</v>
      </c>
      <c r="F281" s="425" t="s">
        <v>2150</v>
      </c>
      <c r="G281" s="303" t="s">
        <v>2151</v>
      </c>
      <c r="H281" s="302" t="s">
        <v>1760</v>
      </c>
      <c r="I281" s="302" t="s">
        <v>2152</v>
      </c>
      <c r="J281" s="302"/>
      <c r="K281" s="302"/>
      <c r="L281" s="302"/>
      <c r="M281" s="302"/>
      <c r="N281" s="304"/>
      <c r="O281" s="304"/>
      <c r="P281" s="304"/>
      <c r="Q281" s="304"/>
      <c r="R281" s="319" t="s">
        <v>2153</v>
      </c>
      <c r="S281" s="304" t="s">
        <v>32</v>
      </c>
      <c r="T281" s="391" t="s">
        <v>2154</v>
      </c>
      <c r="U281" s="344"/>
      <c r="V281" s="344" t="n">
        <v>44912</v>
      </c>
      <c r="W281" s="345" t="s">
        <v>240</v>
      </c>
      <c r="X281" s="302" t="s">
        <v>989</v>
      </c>
      <c r="Y281" s="301" t="s">
        <v>2148</v>
      </c>
      <c r="Z281" s="348" t="s">
        <v>2151</v>
      </c>
    </row>
    <row r="282" customFormat="false" ht="12.75" hidden="false" customHeight="true" outlineLevel="0" collapsed="false">
      <c r="A282" s="301" t="s">
        <v>2155</v>
      </c>
      <c r="B282" s="302" t="n">
        <v>279</v>
      </c>
      <c r="C282" s="302" t="s">
        <v>1760</v>
      </c>
      <c r="D282" s="355" t="s">
        <v>2156</v>
      </c>
      <c r="E282" s="302" t="s">
        <v>2157</v>
      </c>
      <c r="F282" s="301" t="s">
        <v>2155</v>
      </c>
      <c r="G282" s="303" t="s">
        <v>2158</v>
      </c>
      <c r="H282" s="302"/>
      <c r="I282" s="302"/>
      <c r="J282" s="302"/>
      <c r="K282" s="302"/>
      <c r="L282" s="302"/>
      <c r="M282" s="302"/>
      <c r="N282" s="304"/>
      <c r="O282" s="304"/>
      <c r="P282" s="304"/>
      <c r="Q282" s="304"/>
      <c r="R282" s="304"/>
      <c r="S282" s="304"/>
      <c r="T282" s="380" t="s">
        <v>2159</v>
      </c>
      <c r="U282" s="344"/>
      <c r="V282" s="344" t="n">
        <v>44730</v>
      </c>
      <c r="W282" s="345"/>
      <c r="X282" s="302"/>
      <c r="Y282" s="301" t="s">
        <v>2155</v>
      </c>
      <c r="Z282" s="348" t="s">
        <v>2158</v>
      </c>
    </row>
    <row r="283" customFormat="false" ht="12.75" hidden="false" customHeight="true" outlineLevel="0" collapsed="false">
      <c r="A283" s="301" t="s">
        <v>1566</v>
      </c>
      <c r="B283" s="302" t="n">
        <v>280</v>
      </c>
      <c r="C283" s="302" t="s">
        <v>1760</v>
      </c>
      <c r="D283" s="302" t="s">
        <v>1567</v>
      </c>
      <c r="E283" s="302" t="s">
        <v>1568</v>
      </c>
      <c r="F283" s="301" t="s">
        <v>1566</v>
      </c>
      <c r="G283" s="303" t="s">
        <v>2160</v>
      </c>
      <c r="H283" s="303"/>
      <c r="I283" s="303"/>
      <c r="J283" s="303"/>
      <c r="K283" s="303"/>
      <c r="L283" s="303"/>
      <c r="M283" s="303"/>
      <c r="N283" s="304" t="n">
        <v>44863</v>
      </c>
      <c r="O283" s="319" t="s">
        <v>49</v>
      </c>
      <c r="P283" s="319"/>
      <c r="Q283" s="319"/>
      <c r="R283" s="304"/>
      <c r="S283" s="319"/>
      <c r="T283" s="303"/>
      <c r="U283" s="306"/>
      <c r="V283" s="306" t="n">
        <v>45003</v>
      </c>
      <c r="W283" s="345"/>
      <c r="X283" s="303"/>
      <c r="Y283" s="301" t="s">
        <v>1566</v>
      </c>
      <c r="Z283" s="351" t="s">
        <v>2160</v>
      </c>
    </row>
    <row r="284" customFormat="false" ht="12.75" hidden="false" customHeight="true" outlineLevel="0" collapsed="false">
      <c r="A284" s="301" t="s">
        <v>2161</v>
      </c>
      <c r="B284" s="302" t="n">
        <v>281</v>
      </c>
      <c r="C284" s="302" t="s">
        <v>1760</v>
      </c>
      <c r="D284" s="355" t="s">
        <v>2162</v>
      </c>
      <c r="E284" s="302" t="s">
        <v>2163</v>
      </c>
      <c r="F284" s="301" t="s">
        <v>2161</v>
      </c>
      <c r="G284" s="303" t="s">
        <v>2164</v>
      </c>
      <c r="H284" s="303"/>
      <c r="I284" s="303"/>
      <c r="J284" s="303"/>
      <c r="K284" s="303"/>
      <c r="L284" s="303"/>
      <c r="M284" s="303"/>
      <c r="N284" s="304"/>
      <c r="O284" s="319"/>
      <c r="P284" s="319"/>
      <c r="Q284" s="319"/>
      <c r="R284" s="304"/>
      <c r="S284" s="304"/>
      <c r="T284" s="394" t="s">
        <v>2165</v>
      </c>
      <c r="U284" s="306" t="n">
        <v>44779</v>
      </c>
      <c r="V284" s="306" t="n">
        <v>44821</v>
      </c>
      <c r="W284" s="345"/>
      <c r="X284" s="303"/>
      <c r="Y284" s="301" t="s">
        <v>2161</v>
      </c>
      <c r="Z284" s="348"/>
    </row>
    <row r="285" customFormat="false" ht="12.75" hidden="false" customHeight="true" outlineLevel="0" collapsed="false">
      <c r="A285" s="426" t="s">
        <v>1185</v>
      </c>
      <c r="B285" s="262" t="n">
        <v>282</v>
      </c>
      <c r="C285" s="262" t="s">
        <v>1760</v>
      </c>
      <c r="D285" s="262" t="s">
        <v>1186</v>
      </c>
      <c r="E285" s="262" t="s">
        <v>1187</v>
      </c>
      <c r="F285" s="265" t="s">
        <v>1185</v>
      </c>
      <c r="G285" s="270" t="s">
        <v>1188</v>
      </c>
      <c r="H285" s="270"/>
      <c r="I285" s="270"/>
      <c r="J285" s="270"/>
      <c r="K285" s="270"/>
      <c r="L285" s="270"/>
      <c r="M285" s="270"/>
      <c r="N285" s="362"/>
      <c r="O285" s="363"/>
      <c r="P285" s="363"/>
      <c r="Q285" s="363"/>
      <c r="R285" s="309" t="n">
        <v>44905</v>
      </c>
      <c r="S285" s="309" t="s">
        <v>126</v>
      </c>
      <c r="T285" s="270"/>
      <c r="U285" s="278" t="n">
        <v>44793</v>
      </c>
      <c r="V285" s="278"/>
      <c r="W285" s="410"/>
      <c r="X285" s="270"/>
      <c r="Y285" s="426" t="s">
        <v>1185</v>
      </c>
      <c r="Z285" s="348"/>
    </row>
    <row r="286" customFormat="false" ht="12.75" hidden="false" customHeight="true" outlineLevel="0" collapsed="false">
      <c r="A286" s="302"/>
      <c r="B286" s="302" t="n">
        <v>283</v>
      </c>
      <c r="C286" s="302" t="s">
        <v>1760</v>
      </c>
      <c r="D286" s="427" t="s">
        <v>2166</v>
      </c>
      <c r="E286" s="302" t="s">
        <v>1571</v>
      </c>
      <c r="F286" s="303" t="s">
        <v>1569</v>
      </c>
      <c r="G286" s="303" t="s">
        <v>2035</v>
      </c>
      <c r="H286" s="303"/>
      <c r="I286" s="303"/>
      <c r="J286" s="303"/>
      <c r="K286" s="303"/>
      <c r="L286" s="303"/>
      <c r="M286" s="303"/>
      <c r="N286" s="304"/>
      <c r="O286" s="319"/>
      <c r="P286" s="304" t="n">
        <v>44681</v>
      </c>
      <c r="Q286" s="304" t="s">
        <v>67</v>
      </c>
      <c r="R286" s="304"/>
      <c r="S286" s="304"/>
      <c r="T286" s="394" t="s">
        <v>2167</v>
      </c>
      <c r="U286" s="306"/>
      <c r="V286" s="306" t="n">
        <v>44856</v>
      </c>
      <c r="W286" s="345"/>
      <c r="X286" s="303"/>
      <c r="Y286" s="302"/>
      <c r="Z286" s="348"/>
    </row>
    <row r="287" customFormat="false" ht="12.75" hidden="false" customHeight="true" outlineLevel="0" collapsed="false">
      <c r="A287" s="311" t="s">
        <v>1202</v>
      </c>
      <c r="B287" s="312" t="n">
        <v>284</v>
      </c>
      <c r="C287" s="312" t="s">
        <v>1847</v>
      </c>
      <c r="D287" s="312" t="s">
        <v>1203</v>
      </c>
      <c r="E287" s="312" t="s">
        <v>1204</v>
      </c>
      <c r="F287" s="311" t="s">
        <v>1202</v>
      </c>
      <c r="G287" s="313" t="s">
        <v>1205</v>
      </c>
      <c r="H287" s="312"/>
      <c r="I287" s="312"/>
      <c r="J287" s="312"/>
      <c r="K287" s="312"/>
      <c r="L287" s="312"/>
      <c r="M287" s="312"/>
      <c r="N287" s="314"/>
      <c r="O287" s="314"/>
      <c r="P287" s="314"/>
      <c r="Q287" s="314"/>
      <c r="R287" s="315"/>
      <c r="S287" s="315"/>
      <c r="T287" s="316"/>
      <c r="U287" s="317"/>
      <c r="V287" s="317"/>
      <c r="W287" s="318" t="s">
        <v>60</v>
      </c>
      <c r="X287" s="312" t="s">
        <v>1097</v>
      </c>
      <c r="Y287" s="311" t="s">
        <v>1202</v>
      </c>
      <c r="Z287" s="348" t="s">
        <v>1205</v>
      </c>
    </row>
    <row r="288" customFormat="false" ht="12.75" hidden="false" customHeight="true" outlineLevel="0" collapsed="false">
      <c r="A288" s="265" t="s">
        <v>1206</v>
      </c>
      <c r="B288" s="262" t="n">
        <v>285</v>
      </c>
      <c r="C288" s="262" t="s">
        <v>1847</v>
      </c>
      <c r="D288" s="262" t="s">
        <v>1207</v>
      </c>
      <c r="E288" s="262" t="s">
        <v>1208</v>
      </c>
      <c r="F288" s="265" t="s">
        <v>1206</v>
      </c>
      <c r="G288" s="270" t="s">
        <v>1209</v>
      </c>
      <c r="H288" s="270"/>
      <c r="I288" s="270"/>
      <c r="J288" s="270"/>
      <c r="K288" s="270"/>
      <c r="L288" s="270"/>
      <c r="M288" s="270"/>
      <c r="N288" s="277"/>
      <c r="O288" s="277"/>
      <c r="P288" s="309" t="n">
        <v>44786</v>
      </c>
      <c r="Q288" s="277" t="s">
        <v>67</v>
      </c>
      <c r="R288" s="277"/>
      <c r="S288" s="277"/>
      <c r="T288" s="270"/>
      <c r="U288" s="278"/>
      <c r="V288" s="278"/>
      <c r="W288" s="410"/>
      <c r="X288" s="270"/>
      <c r="Y288" s="265" t="s">
        <v>1206</v>
      </c>
      <c r="Z288" s="348" t="s">
        <v>1209</v>
      </c>
    </row>
    <row r="289" customFormat="false" ht="12.75" hidden="false" customHeight="true" outlineLevel="0" collapsed="false">
      <c r="A289" s="265" t="s">
        <v>1210</v>
      </c>
      <c r="B289" s="262" t="n">
        <v>286</v>
      </c>
      <c r="C289" s="262" t="s">
        <v>1847</v>
      </c>
      <c r="D289" s="262" t="s">
        <v>1211</v>
      </c>
      <c r="E289" s="262" t="s">
        <v>1212</v>
      </c>
      <c r="F289" s="265" t="s">
        <v>1210</v>
      </c>
      <c r="G289" s="270" t="s">
        <v>1213</v>
      </c>
      <c r="H289" s="270"/>
      <c r="I289" s="270"/>
      <c r="J289" s="270"/>
      <c r="K289" s="270"/>
      <c r="L289" s="270"/>
      <c r="M289" s="270"/>
      <c r="N289" s="277"/>
      <c r="O289" s="277"/>
      <c r="P289" s="309" t="n">
        <v>44912</v>
      </c>
      <c r="Q289" s="277" t="s">
        <v>67</v>
      </c>
      <c r="R289" s="309" t="n">
        <v>44730</v>
      </c>
      <c r="S289" s="277" t="s">
        <v>49</v>
      </c>
      <c r="T289" s="270"/>
      <c r="U289" s="278"/>
      <c r="V289" s="278"/>
      <c r="W289" s="410"/>
      <c r="X289" s="270"/>
      <c r="Y289" s="265" t="s">
        <v>1210</v>
      </c>
      <c r="Z289" s="348" t="s">
        <v>1213</v>
      </c>
    </row>
    <row r="290" customFormat="false" ht="12.75" hidden="false" customHeight="true" outlineLevel="0" collapsed="false">
      <c r="A290" s="265" t="s">
        <v>1214</v>
      </c>
      <c r="B290" s="262" t="n">
        <v>287</v>
      </c>
      <c r="C290" s="262" t="s">
        <v>1847</v>
      </c>
      <c r="D290" s="262" t="s">
        <v>1215</v>
      </c>
      <c r="E290" s="262" t="s">
        <v>1216</v>
      </c>
      <c r="F290" s="265" t="s">
        <v>1214</v>
      </c>
      <c r="G290" s="270" t="s">
        <v>1217</v>
      </c>
      <c r="H290" s="270"/>
      <c r="I290" s="270"/>
      <c r="J290" s="270"/>
      <c r="K290" s="270"/>
      <c r="L290" s="270"/>
      <c r="M290" s="270"/>
      <c r="N290" s="309" t="n">
        <v>44849</v>
      </c>
      <c r="O290" s="277" t="s">
        <v>49</v>
      </c>
      <c r="P290" s="309"/>
      <c r="Q290" s="277"/>
      <c r="R290" s="277"/>
      <c r="S290" s="277"/>
      <c r="T290" s="270"/>
      <c r="U290" s="278"/>
      <c r="V290" s="278"/>
      <c r="W290" s="410"/>
      <c r="X290" s="270"/>
      <c r="Y290" s="265" t="s">
        <v>1214</v>
      </c>
      <c r="Z290" s="348" t="s">
        <v>1217</v>
      </c>
    </row>
    <row r="291" customFormat="false" ht="12.75" hidden="false" customHeight="true" outlineLevel="0" collapsed="false">
      <c r="A291" s="265" t="s">
        <v>1218</v>
      </c>
      <c r="B291" s="262" t="n">
        <v>288</v>
      </c>
      <c r="C291" s="262" t="s">
        <v>1847</v>
      </c>
      <c r="D291" s="262" t="s">
        <v>1219</v>
      </c>
      <c r="E291" s="262" t="s">
        <v>1220</v>
      </c>
      <c r="F291" s="265" t="s">
        <v>1218</v>
      </c>
      <c r="G291" s="270" t="s">
        <v>1221</v>
      </c>
      <c r="H291" s="270"/>
      <c r="I291" s="270"/>
      <c r="J291" s="270"/>
      <c r="K291" s="270"/>
      <c r="L291" s="270"/>
      <c r="M291" s="270"/>
      <c r="N291" s="309" t="n">
        <v>44849</v>
      </c>
      <c r="O291" s="277" t="s">
        <v>335</v>
      </c>
      <c r="P291" s="309"/>
      <c r="Q291" s="277"/>
      <c r="R291" s="277"/>
      <c r="S291" s="277"/>
      <c r="T291" s="133"/>
      <c r="U291" s="278" t="n">
        <v>44674</v>
      </c>
      <c r="V291" s="278"/>
      <c r="W291" s="410"/>
      <c r="X291" s="270"/>
      <c r="Y291" s="265" t="s">
        <v>1218</v>
      </c>
      <c r="Z291" s="348" t="s">
        <v>1221</v>
      </c>
    </row>
    <row r="292" customFormat="false" ht="12.75" hidden="false" customHeight="true" outlineLevel="0" collapsed="false">
      <c r="A292" s="320" t="s">
        <v>1576</v>
      </c>
      <c r="B292" s="321" t="n">
        <v>289</v>
      </c>
      <c r="C292" s="321" t="s">
        <v>2047</v>
      </c>
      <c r="D292" s="321" t="s">
        <v>2168</v>
      </c>
      <c r="E292" s="321" t="s">
        <v>1578</v>
      </c>
      <c r="F292" s="320" t="s">
        <v>1576</v>
      </c>
      <c r="G292" s="322" t="s">
        <v>2169</v>
      </c>
      <c r="H292" s="321"/>
      <c r="I292" s="321"/>
      <c r="J292" s="321"/>
      <c r="K292" s="321"/>
      <c r="L292" s="321"/>
      <c r="M292" s="321"/>
      <c r="N292" s="428"/>
      <c r="O292" s="428"/>
      <c r="P292" s="428"/>
      <c r="Q292" s="428"/>
      <c r="R292" s="428"/>
      <c r="S292" s="428"/>
      <c r="T292" s="321"/>
      <c r="U292" s="325"/>
      <c r="V292" s="325" t="n">
        <v>45003</v>
      </c>
      <c r="W292" s="326" t="s">
        <v>55</v>
      </c>
      <c r="X292" s="321" t="s">
        <v>1141</v>
      </c>
      <c r="Y292" s="320" t="s">
        <v>1576</v>
      </c>
      <c r="Z292" s="348" t="s">
        <v>2169</v>
      </c>
    </row>
    <row r="293" customFormat="false" ht="12.75" hidden="false" customHeight="true" outlineLevel="0" collapsed="false">
      <c r="A293" s="320" t="s">
        <v>1579</v>
      </c>
      <c r="B293" s="321" t="n">
        <v>290</v>
      </c>
      <c r="C293" s="321" t="s">
        <v>2047</v>
      </c>
      <c r="D293" s="321" t="s">
        <v>1580</v>
      </c>
      <c r="E293" s="321" t="s">
        <v>487</v>
      </c>
      <c r="F293" s="320" t="s">
        <v>1579</v>
      </c>
      <c r="G293" s="415" t="s">
        <v>2170</v>
      </c>
      <c r="H293" s="321"/>
      <c r="I293" s="321"/>
      <c r="J293" s="321"/>
      <c r="K293" s="321"/>
      <c r="L293" s="321"/>
      <c r="M293" s="321"/>
      <c r="N293" s="428"/>
      <c r="O293" s="428"/>
      <c r="P293" s="428"/>
      <c r="Q293" s="428"/>
      <c r="R293" s="428"/>
      <c r="S293" s="428"/>
      <c r="T293" s="321"/>
      <c r="U293" s="325"/>
      <c r="V293" s="325" t="n">
        <v>45003</v>
      </c>
      <c r="W293" s="326" t="s">
        <v>55</v>
      </c>
      <c r="X293" s="321" t="s">
        <v>1141</v>
      </c>
      <c r="Y293" s="320" t="s">
        <v>1579</v>
      </c>
      <c r="Z293" s="348" t="s">
        <v>2170</v>
      </c>
    </row>
    <row r="294" customFormat="false" ht="15" hidden="false" customHeight="true" outlineLevel="0" collapsed="false">
      <c r="A294" s="270" t="s">
        <v>397</v>
      </c>
      <c r="B294" s="262" t="n">
        <v>291</v>
      </c>
      <c r="C294" s="369" t="s">
        <v>2171</v>
      </c>
      <c r="D294" s="369" t="s">
        <v>399</v>
      </c>
      <c r="E294" s="369" t="s">
        <v>400</v>
      </c>
      <c r="F294" s="270" t="s">
        <v>397</v>
      </c>
      <c r="G294" s="270" t="s">
        <v>401</v>
      </c>
      <c r="H294" s="369" t="s">
        <v>918</v>
      </c>
      <c r="I294" s="369" t="s">
        <v>2172</v>
      </c>
      <c r="J294" s="270"/>
      <c r="K294" s="270"/>
      <c r="L294" s="270"/>
      <c r="M294" s="270"/>
      <c r="N294" s="363"/>
      <c r="O294" s="363"/>
      <c r="P294" s="363"/>
      <c r="Q294" s="363"/>
      <c r="R294" s="309" t="n">
        <v>44596</v>
      </c>
      <c r="S294" s="277" t="s">
        <v>126</v>
      </c>
      <c r="T294" s="270"/>
      <c r="U294" s="278" t="n">
        <v>44835</v>
      </c>
      <c r="V294" s="278"/>
      <c r="W294" s="270"/>
      <c r="X294" s="270"/>
      <c r="Y294" s="270" t="s">
        <v>397</v>
      </c>
      <c r="Z294" s="270"/>
    </row>
    <row r="295" customFormat="false" ht="12.75" hidden="false" customHeight="true" outlineLevel="0" collapsed="false">
      <c r="A295" s="270" t="s">
        <v>712</v>
      </c>
      <c r="B295" s="262" t="n">
        <v>292</v>
      </c>
      <c r="C295" s="369" t="s">
        <v>2173</v>
      </c>
      <c r="D295" s="369" t="s">
        <v>714</v>
      </c>
      <c r="E295" s="369" t="s">
        <v>715</v>
      </c>
      <c r="F295" s="270" t="s">
        <v>712</v>
      </c>
      <c r="G295" s="270" t="s">
        <v>716</v>
      </c>
      <c r="H295" s="270"/>
      <c r="I295" s="270"/>
      <c r="J295" s="270"/>
      <c r="K295" s="270"/>
      <c r="L295" s="270"/>
      <c r="M295" s="270"/>
      <c r="N295" s="363"/>
      <c r="O295" s="363"/>
      <c r="P295" s="363"/>
      <c r="Q295" s="363"/>
      <c r="R295" s="309" t="n">
        <v>44596</v>
      </c>
      <c r="S295" s="277" t="s">
        <v>49</v>
      </c>
      <c r="T295" s="270"/>
      <c r="U295" s="278" t="n">
        <v>44835</v>
      </c>
      <c r="V295" s="278"/>
      <c r="W295" s="410"/>
      <c r="X295" s="270"/>
      <c r="Y295" s="270" t="s">
        <v>712</v>
      </c>
      <c r="Z295" s="270"/>
    </row>
    <row r="296" customFormat="false" ht="12.75" hidden="false" customHeight="true" outlineLevel="0" collapsed="false">
      <c r="A296" s="270" t="s">
        <v>783</v>
      </c>
      <c r="B296" s="262" t="n">
        <v>293</v>
      </c>
      <c r="C296" s="369" t="s">
        <v>2174</v>
      </c>
      <c r="D296" s="369" t="s">
        <v>785</v>
      </c>
      <c r="E296" s="369" t="s">
        <v>786</v>
      </c>
      <c r="F296" s="270" t="s">
        <v>783</v>
      </c>
      <c r="G296" s="270" t="s">
        <v>787</v>
      </c>
      <c r="H296" s="270"/>
      <c r="I296" s="270"/>
      <c r="J296" s="270"/>
      <c r="K296" s="270"/>
      <c r="L296" s="270"/>
      <c r="M296" s="270"/>
      <c r="N296" s="363"/>
      <c r="O296" s="363"/>
      <c r="P296" s="363"/>
      <c r="Q296" s="363"/>
      <c r="R296" s="309" t="n">
        <v>44603</v>
      </c>
      <c r="S296" s="277" t="s">
        <v>126</v>
      </c>
      <c r="T296" s="270"/>
      <c r="U296" s="278" t="n">
        <v>44835</v>
      </c>
      <c r="V296" s="278"/>
      <c r="W296" s="410"/>
      <c r="X296" s="270"/>
      <c r="Y296" s="270" t="s">
        <v>783</v>
      </c>
      <c r="Z296" s="270"/>
    </row>
    <row r="297" customFormat="false" ht="12.75" hidden="false" customHeight="true" outlineLevel="0" collapsed="false">
      <c r="A297" s="270" t="s">
        <v>938</v>
      </c>
      <c r="B297" s="262" t="n">
        <v>294</v>
      </c>
      <c r="C297" s="369" t="s">
        <v>2175</v>
      </c>
      <c r="D297" s="369" t="s">
        <v>940</v>
      </c>
      <c r="E297" s="369" t="s">
        <v>941</v>
      </c>
      <c r="F297" s="270" t="s">
        <v>938</v>
      </c>
      <c r="G297" s="270" t="s">
        <v>942</v>
      </c>
      <c r="H297" s="369" t="s">
        <v>2176</v>
      </c>
      <c r="I297" s="369" t="s">
        <v>2177</v>
      </c>
      <c r="J297" s="270"/>
      <c r="K297" s="270"/>
      <c r="L297" s="270"/>
      <c r="M297" s="270"/>
      <c r="N297" s="363"/>
      <c r="O297" s="363"/>
      <c r="P297" s="363"/>
      <c r="Q297" s="363"/>
      <c r="R297" s="309" t="n">
        <v>44603</v>
      </c>
      <c r="S297" s="277" t="s">
        <v>49</v>
      </c>
      <c r="T297" s="270"/>
      <c r="U297" s="278" t="n">
        <v>44835</v>
      </c>
      <c r="V297" s="278"/>
      <c r="W297" s="410"/>
      <c r="X297" s="270"/>
      <c r="Y297" s="270" t="s">
        <v>938</v>
      </c>
      <c r="Z297" s="270"/>
    </row>
    <row r="298" customFormat="false" ht="12.75" hidden="false" customHeight="true" outlineLevel="0" collapsed="false">
      <c r="A298" s="270" t="s">
        <v>1009</v>
      </c>
      <c r="B298" s="270" t="n">
        <v>295</v>
      </c>
      <c r="C298" s="369" t="s">
        <v>2178</v>
      </c>
      <c r="D298" s="369" t="s">
        <v>1011</v>
      </c>
      <c r="E298" s="369" t="s">
        <v>1012</v>
      </c>
      <c r="F298" s="270" t="s">
        <v>1009</v>
      </c>
      <c r="G298" s="270" t="s">
        <v>1013</v>
      </c>
      <c r="H298" s="270"/>
      <c r="I298" s="270"/>
      <c r="J298" s="270"/>
      <c r="K298" s="270"/>
      <c r="L298" s="270"/>
      <c r="M298" s="270"/>
      <c r="N298" s="363"/>
      <c r="O298" s="363"/>
      <c r="P298" s="363"/>
      <c r="Q298" s="363"/>
      <c r="R298" s="277"/>
      <c r="S298" s="277"/>
      <c r="T298" s="270"/>
      <c r="U298" s="278" t="n">
        <v>44870</v>
      </c>
      <c r="V298" s="278"/>
      <c r="W298" s="410"/>
      <c r="X298" s="270"/>
      <c r="Y298" s="270" t="s">
        <v>1009</v>
      </c>
      <c r="Z298" s="270"/>
    </row>
    <row r="299" customFormat="false" ht="12.75" hidden="false" customHeight="true" outlineLevel="0" collapsed="false">
      <c r="A299" s="270" t="s">
        <v>1189</v>
      </c>
      <c r="B299" s="270" t="n">
        <v>296</v>
      </c>
      <c r="C299" s="369" t="s">
        <v>2179</v>
      </c>
      <c r="D299" s="262" t="s">
        <v>1191</v>
      </c>
      <c r="E299" s="369" t="s">
        <v>1192</v>
      </c>
      <c r="F299" s="365" t="s">
        <v>1193</v>
      </c>
      <c r="G299" s="270" t="s">
        <v>1194</v>
      </c>
      <c r="H299" s="270"/>
      <c r="I299" s="270"/>
      <c r="J299" s="270"/>
      <c r="K299" s="270"/>
      <c r="L299" s="270"/>
      <c r="M299" s="270"/>
      <c r="N299" s="363"/>
      <c r="O299" s="363"/>
      <c r="P299" s="363"/>
      <c r="Q299" s="363"/>
      <c r="R299" s="277"/>
      <c r="S299" s="277"/>
      <c r="T299" s="270"/>
      <c r="U299" s="278" t="n">
        <v>44877</v>
      </c>
      <c r="V299" s="278"/>
      <c r="W299" s="410"/>
      <c r="X299" s="270"/>
      <c r="Y299" s="365" t="s">
        <v>1193</v>
      </c>
      <c r="Z299" s="270"/>
    </row>
    <row r="300" customFormat="false" ht="12.75" hidden="false" customHeight="true" outlineLevel="0" collapsed="false">
      <c r="A300" s="270" t="s">
        <v>661</v>
      </c>
      <c r="B300" s="270" t="n">
        <v>297</v>
      </c>
      <c r="C300" s="369" t="s">
        <v>2180</v>
      </c>
      <c r="D300" s="262" t="s">
        <v>663</v>
      </c>
      <c r="E300" s="369" t="s">
        <v>664</v>
      </c>
      <c r="F300" s="270" t="s">
        <v>661</v>
      </c>
      <c r="G300" s="270" t="s">
        <v>665</v>
      </c>
      <c r="H300" s="270"/>
      <c r="I300" s="270"/>
      <c r="J300" s="270"/>
      <c r="K300" s="270"/>
      <c r="L300" s="270"/>
      <c r="M300" s="270"/>
      <c r="N300" s="363"/>
      <c r="O300" s="363"/>
      <c r="P300" s="363"/>
      <c r="Q300" s="363"/>
      <c r="R300" s="277"/>
      <c r="S300" s="277"/>
      <c r="T300" s="270"/>
      <c r="U300" s="278"/>
      <c r="V300" s="278"/>
      <c r="W300" s="410"/>
      <c r="X300" s="270"/>
      <c r="Y300" s="270"/>
      <c r="Z300" s="270"/>
    </row>
    <row r="301" customFormat="false" ht="12.75" hidden="false" customHeight="true" outlineLevel="0" collapsed="false">
      <c r="A301" s="270" t="s">
        <v>945</v>
      </c>
      <c r="B301" s="270" t="n">
        <v>298</v>
      </c>
      <c r="C301" s="369" t="s">
        <v>2175</v>
      </c>
      <c r="D301" s="262" t="s">
        <v>946</v>
      </c>
      <c r="E301" s="369" t="s">
        <v>947</v>
      </c>
      <c r="F301" s="270" t="s">
        <v>945</v>
      </c>
      <c r="G301" s="270" t="s">
        <v>948</v>
      </c>
      <c r="H301" s="262" t="s">
        <v>1847</v>
      </c>
      <c r="I301" s="262" t="s">
        <v>2181</v>
      </c>
      <c r="J301" s="270"/>
      <c r="K301" s="270"/>
      <c r="L301" s="270"/>
      <c r="M301" s="270"/>
      <c r="N301" s="363"/>
      <c r="O301" s="363"/>
      <c r="P301" s="363"/>
      <c r="Q301" s="363"/>
      <c r="R301" s="277"/>
      <c r="S301" s="277"/>
      <c r="T301" s="270"/>
      <c r="U301" s="278" t="n">
        <v>44877</v>
      </c>
      <c r="V301" s="278"/>
      <c r="W301" s="410"/>
      <c r="X301" s="270"/>
      <c r="Y301" s="365" t="s">
        <v>1193</v>
      </c>
      <c r="Z301" s="270"/>
    </row>
    <row r="302" customFormat="false" ht="12.75" hidden="false" customHeight="true" outlineLevel="0" collapsed="false">
      <c r="A302" s="270" t="s">
        <v>841</v>
      </c>
      <c r="B302" s="270" t="n">
        <v>299</v>
      </c>
      <c r="C302" s="262" t="s">
        <v>1625</v>
      </c>
      <c r="D302" s="262" t="s">
        <v>842</v>
      </c>
      <c r="E302" s="369" t="s">
        <v>843</v>
      </c>
      <c r="F302" s="270" t="s">
        <v>841</v>
      </c>
      <c r="G302" s="270" t="s">
        <v>844</v>
      </c>
      <c r="H302" s="262"/>
      <c r="I302" s="262"/>
      <c r="J302" s="270"/>
      <c r="K302" s="270"/>
      <c r="L302" s="270"/>
      <c r="M302" s="270"/>
      <c r="N302" s="363"/>
      <c r="O302" s="363"/>
      <c r="P302" s="363"/>
      <c r="Q302" s="363"/>
      <c r="R302" s="277"/>
      <c r="S302" s="277"/>
      <c r="T302" s="270"/>
      <c r="U302" s="278" t="n">
        <v>44954</v>
      </c>
      <c r="V302" s="278"/>
      <c r="W302" s="410"/>
      <c r="X302" s="270"/>
      <c r="Y302" s="270"/>
      <c r="Z302" s="270"/>
    </row>
    <row r="303" customFormat="false" ht="12.75" hidden="false" customHeight="true" outlineLevel="0" collapsed="false">
      <c r="A303" s="270" t="s">
        <v>845</v>
      </c>
      <c r="B303" s="270" t="n">
        <v>300</v>
      </c>
      <c r="C303" s="262" t="s">
        <v>1625</v>
      </c>
      <c r="D303" s="262" t="s">
        <v>846</v>
      </c>
      <c r="E303" s="369" t="s">
        <v>847</v>
      </c>
      <c r="F303" s="270" t="s">
        <v>845</v>
      </c>
      <c r="G303" s="270" t="s">
        <v>848</v>
      </c>
      <c r="H303" s="262"/>
      <c r="I303" s="262"/>
      <c r="J303" s="270"/>
      <c r="K303" s="270"/>
      <c r="L303" s="270"/>
      <c r="M303" s="270"/>
      <c r="N303" s="363"/>
      <c r="O303" s="363"/>
      <c r="P303" s="363"/>
      <c r="Q303" s="363"/>
      <c r="R303" s="277"/>
      <c r="S303" s="277"/>
      <c r="T303" s="270"/>
      <c r="U303" s="278" t="n">
        <v>44954</v>
      </c>
      <c r="V303" s="278"/>
      <c r="W303" s="410"/>
      <c r="X303" s="270"/>
      <c r="Y303" s="270"/>
      <c r="Z303" s="270"/>
    </row>
    <row r="304" customFormat="false" ht="12.75" hidden="false" customHeight="true" outlineLevel="0" collapsed="false">
      <c r="A304" s="270" t="s">
        <v>666</v>
      </c>
      <c r="B304" s="270" t="n">
        <v>301</v>
      </c>
      <c r="C304" s="369" t="s">
        <v>2180</v>
      </c>
      <c r="D304" s="262" t="s">
        <v>667</v>
      </c>
      <c r="E304" s="369" t="s">
        <v>668</v>
      </c>
      <c r="F304" s="270" t="s">
        <v>666</v>
      </c>
      <c r="G304" s="270" t="s">
        <v>669</v>
      </c>
      <c r="H304" s="262"/>
      <c r="I304" s="262"/>
      <c r="J304" s="270"/>
      <c r="K304" s="270"/>
      <c r="L304" s="270"/>
      <c r="M304" s="270"/>
      <c r="N304" s="363"/>
      <c r="O304" s="363"/>
      <c r="P304" s="363"/>
      <c r="Q304" s="363"/>
      <c r="R304" s="277"/>
      <c r="S304" s="277"/>
      <c r="T304" s="270"/>
      <c r="U304" s="278"/>
      <c r="V304" s="278"/>
      <c r="W304" s="410"/>
      <c r="X304" s="270"/>
      <c r="Y304" s="270"/>
      <c r="Z304" s="270"/>
    </row>
    <row r="305" customFormat="false" ht="12.75" hidden="false" customHeight="true" outlineLevel="0" collapsed="false">
      <c r="A305" s="270"/>
      <c r="B305" s="270"/>
      <c r="C305" s="270"/>
      <c r="D305" s="262"/>
      <c r="E305" s="270"/>
      <c r="F305" s="270"/>
      <c r="G305" s="270"/>
      <c r="H305" s="262"/>
      <c r="I305" s="262"/>
      <c r="J305" s="270"/>
      <c r="K305" s="270"/>
      <c r="L305" s="270"/>
      <c r="M305" s="270"/>
      <c r="N305" s="363"/>
      <c r="O305" s="363"/>
      <c r="P305" s="363"/>
      <c r="Q305" s="363"/>
      <c r="R305" s="277"/>
      <c r="S305" s="277"/>
      <c r="T305" s="270"/>
      <c r="U305" s="278"/>
      <c r="V305" s="278"/>
      <c r="W305" s="410"/>
      <c r="X305" s="270"/>
      <c r="Y305" s="270"/>
      <c r="Z305" s="270"/>
    </row>
    <row r="306" customFormat="false" ht="12.75" hidden="false" customHeight="true" outlineLevel="0" collapsed="false">
      <c r="A306" s="270"/>
      <c r="B306" s="270"/>
      <c r="C306" s="270"/>
      <c r="D306" s="262"/>
      <c r="E306" s="270"/>
      <c r="F306" s="270"/>
      <c r="G306" s="270"/>
      <c r="H306" s="262"/>
      <c r="I306" s="262"/>
      <c r="J306" s="270"/>
      <c r="K306" s="270"/>
      <c r="L306" s="270"/>
      <c r="M306" s="270"/>
      <c r="N306" s="363"/>
      <c r="O306" s="363"/>
      <c r="P306" s="363"/>
      <c r="Q306" s="363"/>
      <c r="R306" s="277"/>
      <c r="S306" s="277"/>
      <c r="T306" s="270"/>
      <c r="U306" s="278"/>
      <c r="V306" s="278"/>
      <c r="W306" s="410"/>
      <c r="X306" s="270"/>
      <c r="Y306" s="270"/>
      <c r="Z306" s="270"/>
    </row>
    <row r="307" customFormat="false" ht="12.75" hidden="false" customHeight="true" outlineLevel="0" collapsed="false">
      <c r="A307" s="270"/>
      <c r="B307" s="270"/>
      <c r="C307" s="270"/>
      <c r="D307" s="262"/>
      <c r="E307" s="270"/>
      <c r="F307" s="270"/>
      <c r="G307" s="270"/>
      <c r="H307" s="262"/>
      <c r="I307" s="262"/>
      <c r="J307" s="270"/>
      <c r="K307" s="270"/>
      <c r="L307" s="270"/>
      <c r="M307" s="270"/>
      <c r="N307" s="363"/>
      <c r="O307" s="363"/>
      <c r="P307" s="363"/>
      <c r="Q307" s="363"/>
      <c r="R307" s="277"/>
      <c r="S307" s="277"/>
      <c r="T307" s="270"/>
      <c r="U307" s="278"/>
      <c r="V307" s="278"/>
      <c r="W307" s="410"/>
      <c r="X307" s="270"/>
      <c r="Y307" s="270"/>
      <c r="Z307" s="270"/>
    </row>
    <row r="308" customFormat="false" ht="12.75" hidden="false" customHeight="true" outlineLevel="0" collapsed="false">
      <c r="A308" s="270"/>
      <c r="B308" s="270"/>
      <c r="C308" s="270"/>
      <c r="D308" s="262"/>
      <c r="E308" s="270"/>
      <c r="F308" s="270"/>
      <c r="G308" s="270"/>
      <c r="H308" s="270"/>
      <c r="I308" s="270"/>
      <c r="J308" s="270"/>
      <c r="K308" s="270"/>
      <c r="L308" s="270"/>
      <c r="M308" s="270"/>
      <c r="N308" s="363"/>
      <c r="O308" s="363"/>
      <c r="P308" s="363"/>
      <c r="Q308" s="363"/>
      <c r="R308" s="277"/>
      <c r="S308" s="277"/>
      <c r="T308" s="270"/>
      <c r="U308" s="278"/>
      <c r="V308" s="278"/>
      <c r="W308" s="410"/>
      <c r="X308" s="270"/>
      <c r="Y308" s="270"/>
      <c r="Z308" s="270"/>
    </row>
    <row r="309" customFormat="false" ht="12.75" hidden="false" customHeight="true" outlineLevel="0" collapsed="false">
      <c r="A309" s="270"/>
      <c r="B309" s="270"/>
      <c r="C309" s="270"/>
      <c r="D309" s="262"/>
      <c r="E309" s="270"/>
      <c r="F309" s="270"/>
      <c r="G309" s="270"/>
      <c r="H309" s="270"/>
      <c r="I309" s="270"/>
      <c r="J309" s="270"/>
      <c r="K309" s="270"/>
      <c r="L309" s="270"/>
      <c r="M309" s="270"/>
      <c r="N309" s="363"/>
      <c r="O309" s="363"/>
      <c r="P309" s="363"/>
      <c r="Q309" s="363"/>
      <c r="R309" s="277"/>
      <c r="S309" s="277"/>
      <c r="T309" s="270"/>
      <c r="U309" s="278"/>
      <c r="V309" s="278"/>
      <c r="W309" s="410"/>
      <c r="X309" s="270"/>
      <c r="Y309" s="270"/>
      <c r="Z309" s="270"/>
    </row>
    <row r="310" customFormat="false" ht="12.75" hidden="false" customHeight="true" outlineLevel="0" collapsed="false">
      <c r="A310" s="270"/>
      <c r="B310" s="270"/>
      <c r="C310" s="270"/>
      <c r="D310" s="270"/>
      <c r="E310" s="270"/>
      <c r="F310" s="270"/>
      <c r="G310" s="270"/>
      <c r="H310" s="262" t="s">
        <v>2182</v>
      </c>
      <c r="I310" s="270"/>
      <c r="J310" s="270"/>
      <c r="K310" s="270"/>
      <c r="L310" s="270"/>
      <c r="M310" s="270"/>
      <c r="N310" s="277"/>
      <c r="O310" s="277"/>
      <c r="P310" s="277"/>
      <c r="Q310" s="277"/>
      <c r="R310" s="277"/>
      <c r="S310" s="277"/>
      <c r="T310" s="270"/>
      <c r="U310" s="278"/>
      <c r="V310" s="278"/>
      <c r="W310" s="410"/>
      <c r="X310" s="270"/>
      <c r="Y310" s="270"/>
      <c r="Z310" s="270"/>
    </row>
    <row r="311" customFormat="false" ht="12.75" hidden="false" customHeight="true" outlineLevel="0" collapsed="false">
      <c r="A311" s="270"/>
      <c r="B311" s="270"/>
      <c r="C311" s="270"/>
      <c r="D311" s="270"/>
      <c r="E311" s="270"/>
      <c r="F311" s="270"/>
      <c r="G311" s="270"/>
      <c r="H311" s="262" t="s">
        <v>2183</v>
      </c>
      <c r="I311" s="270"/>
      <c r="J311" s="270"/>
      <c r="K311" s="270"/>
      <c r="L311" s="270"/>
      <c r="M311" s="270"/>
      <c r="N311" s="277"/>
      <c r="O311" s="277"/>
      <c r="P311" s="277"/>
      <c r="Q311" s="277"/>
      <c r="R311" s="277"/>
      <c r="S311" s="277"/>
      <c r="T311" s="270"/>
      <c r="U311" s="278"/>
      <c r="V311" s="278"/>
      <c r="W311" s="410"/>
      <c r="X311" s="270"/>
      <c r="Y311" s="270"/>
      <c r="Z311" s="270"/>
    </row>
    <row r="312" customFormat="false" ht="12.75" hidden="false" customHeight="true" outlineLevel="0" collapsed="false">
      <c r="A312" s="270"/>
      <c r="B312" s="270"/>
      <c r="C312" s="270"/>
      <c r="D312" s="270"/>
      <c r="E312" s="270"/>
      <c r="F312" s="270"/>
      <c r="G312" s="270"/>
      <c r="H312" s="262" t="s">
        <v>2184</v>
      </c>
      <c r="I312" s="270"/>
      <c r="J312" s="270"/>
      <c r="K312" s="270"/>
      <c r="L312" s="270"/>
      <c r="M312" s="270"/>
      <c r="N312" s="277"/>
      <c r="O312" s="277"/>
      <c r="P312" s="277"/>
      <c r="Q312" s="277"/>
      <c r="R312" s="277"/>
      <c r="S312" s="277"/>
      <c r="T312" s="270"/>
      <c r="U312" s="278"/>
      <c r="V312" s="278"/>
      <c r="W312" s="410"/>
      <c r="X312" s="270"/>
      <c r="Y312" s="270"/>
      <c r="Z312" s="270"/>
    </row>
    <row r="313" customFormat="false" ht="12.75" hidden="false" customHeight="true" outlineLevel="0" collapsed="false">
      <c r="A313" s="270"/>
      <c r="B313" s="270"/>
      <c r="C313" s="270"/>
      <c r="D313" s="270"/>
      <c r="E313" s="270"/>
      <c r="F313" s="270"/>
      <c r="G313" s="270"/>
      <c r="H313" s="262" t="s">
        <v>1225</v>
      </c>
      <c r="I313" s="270"/>
      <c r="J313" s="270"/>
      <c r="K313" s="270"/>
      <c r="L313" s="270"/>
      <c r="M313" s="270"/>
      <c r="N313" s="277"/>
      <c r="O313" s="277"/>
      <c r="P313" s="277"/>
      <c r="Q313" s="277"/>
      <c r="R313" s="277"/>
      <c r="S313" s="277"/>
      <c r="T313" s="270"/>
      <c r="U313" s="278"/>
      <c r="V313" s="278"/>
      <c r="W313" s="410"/>
      <c r="X313" s="270"/>
      <c r="Y313" s="270"/>
      <c r="Z313" s="270"/>
    </row>
    <row r="314" customFormat="false" ht="12.75" hidden="false" customHeight="true" outlineLevel="0" collapsed="false">
      <c r="A314" s="270"/>
      <c r="B314" s="270"/>
      <c r="C314" s="270"/>
      <c r="D314" s="270"/>
      <c r="E314" s="270"/>
      <c r="F314" s="270"/>
      <c r="G314" s="270"/>
      <c r="H314" s="262" t="s">
        <v>2185</v>
      </c>
      <c r="I314" s="270"/>
      <c r="J314" s="270"/>
      <c r="K314" s="270"/>
      <c r="L314" s="270"/>
      <c r="M314" s="270"/>
      <c r="N314" s="277"/>
      <c r="O314" s="277"/>
      <c r="P314" s="277"/>
      <c r="Q314" s="277"/>
      <c r="R314" s="277"/>
      <c r="S314" s="277"/>
      <c r="T314" s="270"/>
      <c r="U314" s="278"/>
      <c r="V314" s="278"/>
      <c r="W314" s="410"/>
      <c r="X314" s="270"/>
      <c r="Y314" s="270"/>
      <c r="Z314" s="270"/>
    </row>
    <row r="315" customFormat="false" ht="12.75" hidden="false" customHeight="true" outlineLevel="0" collapsed="false">
      <c r="A315" s="270"/>
      <c r="B315" s="270"/>
      <c r="C315" s="270"/>
      <c r="D315" s="270"/>
      <c r="E315" s="270"/>
      <c r="F315" s="270"/>
      <c r="G315" s="270"/>
      <c r="H315" s="265" t="s">
        <v>2186</v>
      </c>
      <c r="I315" s="270"/>
      <c r="J315" s="270"/>
      <c r="K315" s="270"/>
      <c r="L315" s="270"/>
      <c r="M315" s="270"/>
      <c r="N315" s="277"/>
      <c r="O315" s="277"/>
      <c r="P315" s="277"/>
      <c r="Q315" s="277"/>
      <c r="R315" s="277"/>
      <c r="S315" s="277"/>
      <c r="T315" s="270"/>
      <c r="U315" s="278"/>
      <c r="V315" s="278"/>
      <c r="W315" s="410"/>
      <c r="X315" s="270"/>
      <c r="Y315" s="270"/>
      <c r="Z315" s="270"/>
    </row>
    <row r="316" customFormat="false" ht="12.75" hidden="false" customHeight="true" outlineLevel="0" collapsed="false">
      <c r="A316" s="270"/>
      <c r="B316" s="270"/>
      <c r="C316" s="270"/>
      <c r="D316" s="270"/>
      <c r="E316" s="270"/>
      <c r="F316" s="270"/>
      <c r="G316" s="270"/>
      <c r="H316" s="262" t="s">
        <v>1228</v>
      </c>
      <c r="I316" s="270"/>
      <c r="J316" s="270"/>
      <c r="K316" s="270"/>
      <c r="L316" s="270"/>
      <c r="M316" s="270"/>
      <c r="N316" s="277"/>
      <c r="O316" s="277"/>
      <c r="P316" s="277"/>
      <c r="Q316" s="277"/>
      <c r="R316" s="277"/>
      <c r="S316" s="277"/>
      <c r="T316" s="270"/>
      <c r="U316" s="278"/>
      <c r="V316" s="278"/>
      <c r="W316" s="410"/>
      <c r="X316" s="270"/>
      <c r="Y316" s="270"/>
      <c r="Z316" s="270"/>
    </row>
    <row r="317" customFormat="false" ht="12.75" hidden="false" customHeight="true" outlineLevel="0" collapsed="false">
      <c r="A317" s="270"/>
      <c r="B317" s="270"/>
      <c r="C317" s="270"/>
      <c r="D317" s="270"/>
      <c r="E317" s="270"/>
      <c r="F317" s="270"/>
      <c r="G317" s="270"/>
      <c r="H317" s="270"/>
      <c r="I317" s="270"/>
      <c r="J317" s="270"/>
      <c r="K317" s="270"/>
      <c r="L317" s="270"/>
      <c r="M317" s="270"/>
      <c r="N317" s="277"/>
      <c r="O317" s="277"/>
      <c r="P317" s="277"/>
      <c r="Q317" s="277"/>
      <c r="R317" s="277"/>
      <c r="S317" s="277"/>
      <c r="T317" s="270"/>
      <c r="U317" s="278"/>
      <c r="V317" s="278"/>
      <c r="W317" s="410"/>
      <c r="X317" s="270"/>
      <c r="Y317" s="270"/>
      <c r="Z317" s="270"/>
    </row>
    <row r="318" customFormat="false" ht="12.75" hidden="false" customHeight="true" outlineLevel="0" collapsed="false">
      <c r="A318" s="270"/>
      <c r="B318" s="270"/>
      <c r="C318" s="270"/>
      <c r="D318" s="270"/>
      <c r="E318" s="270"/>
      <c r="F318" s="270"/>
      <c r="G318" s="270"/>
      <c r="H318" s="270"/>
      <c r="I318" s="270"/>
      <c r="J318" s="270"/>
      <c r="K318" s="270"/>
      <c r="L318" s="270"/>
      <c r="M318" s="270"/>
      <c r="N318" s="277"/>
      <c r="O318" s="277"/>
      <c r="P318" s="277"/>
      <c r="Q318" s="277"/>
      <c r="R318" s="277"/>
      <c r="S318" s="277"/>
      <c r="T318" s="270"/>
      <c r="U318" s="278"/>
      <c r="V318" s="278"/>
      <c r="W318" s="410"/>
      <c r="X318" s="270"/>
      <c r="Y318" s="270"/>
      <c r="Z318" s="270"/>
    </row>
    <row r="319" customFormat="false" ht="12.75" hidden="false" customHeight="true" outlineLevel="0" collapsed="false">
      <c r="A319" s="270"/>
      <c r="B319" s="270"/>
      <c r="C319" s="270"/>
      <c r="D319" s="270"/>
      <c r="E319" s="270"/>
      <c r="F319" s="270"/>
      <c r="G319" s="270"/>
      <c r="H319" s="270"/>
      <c r="I319" s="270"/>
      <c r="J319" s="270"/>
      <c r="K319" s="270"/>
      <c r="L319" s="270"/>
      <c r="M319" s="270"/>
      <c r="N319" s="277"/>
      <c r="O319" s="277"/>
      <c r="P319" s="277"/>
      <c r="Q319" s="277"/>
      <c r="R319" s="277"/>
      <c r="S319" s="277"/>
      <c r="T319" s="270"/>
      <c r="U319" s="278"/>
      <c r="V319" s="278"/>
      <c r="W319" s="410"/>
      <c r="X319" s="270"/>
      <c r="Y319" s="270"/>
      <c r="Z319" s="270"/>
    </row>
    <row r="320" customFormat="false" ht="12.75" hidden="false" customHeight="true" outlineLevel="0" collapsed="false">
      <c r="A320" s="270"/>
      <c r="B320" s="270"/>
      <c r="C320" s="270"/>
      <c r="D320" s="270"/>
      <c r="E320" s="270"/>
      <c r="F320" s="270"/>
      <c r="G320" s="270"/>
      <c r="H320" s="270"/>
      <c r="I320" s="270"/>
      <c r="J320" s="270"/>
      <c r="K320" s="270"/>
      <c r="L320" s="270"/>
      <c r="M320" s="270"/>
      <c r="N320" s="277"/>
      <c r="O320" s="277"/>
      <c r="P320" s="277"/>
      <c r="Q320" s="277"/>
      <c r="R320" s="277"/>
      <c r="S320" s="277"/>
      <c r="T320" s="270"/>
      <c r="U320" s="278"/>
      <c r="V320" s="278"/>
      <c r="W320" s="410"/>
      <c r="X320" s="270"/>
      <c r="Y320" s="270"/>
      <c r="Z320" s="270"/>
    </row>
    <row r="321" customFormat="false" ht="12.75" hidden="false" customHeight="true" outlineLevel="0" collapsed="false">
      <c r="A321" s="270"/>
      <c r="B321" s="270"/>
      <c r="C321" s="270"/>
      <c r="D321" s="270"/>
      <c r="E321" s="270"/>
      <c r="F321" s="270"/>
      <c r="G321" s="270"/>
      <c r="H321" s="270"/>
      <c r="I321" s="270"/>
      <c r="J321" s="270"/>
      <c r="K321" s="270"/>
      <c r="L321" s="270"/>
      <c r="M321" s="270"/>
      <c r="N321" s="277"/>
      <c r="O321" s="277"/>
      <c r="P321" s="277"/>
      <c r="Q321" s="277"/>
      <c r="R321" s="277"/>
      <c r="S321" s="277"/>
      <c r="T321" s="270"/>
      <c r="U321" s="278"/>
      <c r="V321" s="278"/>
      <c r="W321" s="410"/>
      <c r="X321" s="270"/>
      <c r="Y321" s="270"/>
      <c r="Z321" s="270"/>
    </row>
    <row r="322" customFormat="false" ht="12.75" hidden="false" customHeight="true" outlineLevel="0" collapsed="false">
      <c r="A322" s="270"/>
      <c r="B322" s="270"/>
      <c r="C322" s="270"/>
      <c r="D322" s="270"/>
      <c r="E322" s="270"/>
      <c r="F322" s="270"/>
      <c r="G322" s="270"/>
      <c r="H322" s="270"/>
      <c r="I322" s="270"/>
      <c r="J322" s="270"/>
      <c r="K322" s="270"/>
      <c r="L322" s="270"/>
      <c r="M322" s="270"/>
      <c r="N322" s="277"/>
      <c r="O322" s="277"/>
      <c r="P322" s="277"/>
      <c r="Q322" s="277"/>
      <c r="R322" s="277"/>
      <c r="S322" s="277"/>
      <c r="T322" s="270"/>
      <c r="U322" s="278"/>
      <c r="V322" s="278"/>
      <c r="W322" s="410"/>
      <c r="X322" s="270"/>
      <c r="Y322" s="270"/>
      <c r="Z322" s="270"/>
    </row>
    <row r="323" customFormat="false" ht="12.75" hidden="false" customHeight="true" outlineLevel="0" collapsed="false">
      <c r="A323" s="270"/>
      <c r="B323" s="270"/>
      <c r="C323" s="270"/>
      <c r="D323" s="270"/>
      <c r="E323" s="270"/>
      <c r="F323" s="270"/>
      <c r="G323" s="270"/>
      <c r="H323" s="270"/>
      <c r="I323" s="270"/>
      <c r="J323" s="270"/>
      <c r="K323" s="270"/>
      <c r="L323" s="270"/>
      <c r="M323" s="270"/>
      <c r="N323" s="277"/>
      <c r="O323" s="277"/>
      <c r="P323" s="277"/>
      <c r="Q323" s="277"/>
      <c r="R323" s="277"/>
      <c r="S323" s="277"/>
      <c r="T323" s="270"/>
      <c r="U323" s="278"/>
      <c r="V323" s="278"/>
      <c r="W323" s="410"/>
      <c r="X323" s="270"/>
      <c r="Y323" s="270"/>
      <c r="Z323" s="270"/>
    </row>
    <row r="324" customFormat="false" ht="12.75" hidden="false" customHeight="true" outlineLevel="0" collapsed="false">
      <c r="A324" s="270"/>
      <c r="B324" s="270"/>
      <c r="C324" s="270"/>
      <c r="D324" s="270"/>
      <c r="E324" s="270"/>
      <c r="F324" s="270"/>
      <c r="G324" s="270"/>
      <c r="H324" s="270"/>
      <c r="I324" s="270"/>
      <c r="J324" s="270"/>
      <c r="K324" s="270"/>
      <c r="L324" s="270"/>
      <c r="M324" s="270"/>
      <c r="N324" s="277"/>
      <c r="O324" s="277"/>
      <c r="P324" s="277"/>
      <c r="Q324" s="277"/>
      <c r="R324" s="277"/>
      <c r="S324" s="277"/>
      <c r="T324" s="270"/>
      <c r="U324" s="278"/>
      <c r="V324" s="278"/>
      <c r="W324" s="410"/>
      <c r="X324" s="270"/>
      <c r="Y324" s="270"/>
      <c r="Z324" s="270"/>
    </row>
    <row r="325" customFormat="false" ht="12.75" hidden="false" customHeight="true" outlineLevel="0" collapsed="false">
      <c r="A325" s="270"/>
      <c r="B325" s="270"/>
      <c r="C325" s="270"/>
      <c r="D325" s="270"/>
      <c r="E325" s="270"/>
      <c r="F325" s="270"/>
      <c r="G325" s="270"/>
      <c r="H325" s="270"/>
      <c r="I325" s="270"/>
      <c r="J325" s="270"/>
      <c r="K325" s="270"/>
      <c r="L325" s="270"/>
      <c r="M325" s="270"/>
      <c r="N325" s="277"/>
      <c r="O325" s="277"/>
      <c r="P325" s="277"/>
      <c r="Q325" s="277"/>
      <c r="R325" s="277"/>
      <c r="S325" s="277"/>
      <c r="T325" s="270"/>
      <c r="U325" s="278"/>
      <c r="V325" s="278"/>
      <c r="W325" s="410"/>
      <c r="X325" s="270"/>
      <c r="Y325" s="270"/>
      <c r="Z325" s="270"/>
    </row>
    <row r="326" customFormat="false" ht="12.75" hidden="false" customHeight="true" outlineLevel="0" collapsed="false">
      <c r="A326" s="270"/>
      <c r="B326" s="270"/>
      <c r="C326" s="270"/>
      <c r="D326" s="270"/>
      <c r="E326" s="270"/>
      <c r="F326" s="270"/>
      <c r="G326" s="270"/>
      <c r="H326" s="270"/>
      <c r="I326" s="270"/>
      <c r="J326" s="270"/>
      <c r="K326" s="270"/>
      <c r="L326" s="270"/>
      <c r="M326" s="270"/>
      <c r="N326" s="277"/>
      <c r="O326" s="277"/>
      <c r="P326" s="277"/>
      <c r="Q326" s="277"/>
      <c r="R326" s="277"/>
      <c r="S326" s="277"/>
      <c r="T326" s="270"/>
      <c r="U326" s="278"/>
      <c r="V326" s="278"/>
      <c r="W326" s="410"/>
      <c r="X326" s="270"/>
      <c r="Y326" s="270"/>
      <c r="Z326" s="270"/>
    </row>
    <row r="327" customFormat="false" ht="12.75" hidden="false" customHeight="true" outlineLevel="0" collapsed="false">
      <c r="A327" s="270"/>
      <c r="B327" s="270"/>
      <c r="C327" s="270"/>
      <c r="D327" s="270"/>
      <c r="E327" s="270"/>
      <c r="F327" s="270"/>
      <c r="G327" s="270"/>
      <c r="H327" s="270"/>
      <c r="I327" s="270"/>
      <c r="J327" s="270"/>
      <c r="K327" s="270"/>
      <c r="L327" s="270"/>
      <c r="M327" s="270"/>
      <c r="N327" s="277"/>
      <c r="O327" s="277"/>
      <c r="P327" s="277"/>
      <c r="Q327" s="277"/>
      <c r="R327" s="277"/>
      <c r="S327" s="277"/>
      <c r="T327" s="270"/>
      <c r="U327" s="278"/>
      <c r="V327" s="278"/>
      <c r="W327" s="410"/>
      <c r="X327" s="270"/>
      <c r="Y327" s="270"/>
      <c r="Z327" s="270"/>
    </row>
    <row r="328" customFormat="false" ht="12.75" hidden="false" customHeight="true" outlineLevel="0" collapsed="false">
      <c r="A328" s="270"/>
      <c r="B328" s="270"/>
      <c r="C328" s="270"/>
      <c r="D328" s="270"/>
      <c r="E328" s="270"/>
      <c r="F328" s="270"/>
      <c r="G328" s="270"/>
      <c r="H328" s="270"/>
      <c r="I328" s="270"/>
      <c r="J328" s="270"/>
      <c r="K328" s="270"/>
      <c r="L328" s="270"/>
      <c r="M328" s="270"/>
      <c r="N328" s="277"/>
      <c r="O328" s="277"/>
      <c r="P328" s="277"/>
      <c r="Q328" s="277"/>
      <c r="R328" s="277"/>
      <c r="S328" s="277"/>
      <c r="T328" s="270"/>
      <c r="U328" s="278"/>
      <c r="V328" s="278"/>
      <c r="W328" s="410"/>
      <c r="X328" s="270"/>
      <c r="Y328" s="270"/>
      <c r="Z328" s="270"/>
    </row>
    <row r="329" customFormat="false" ht="12.75" hidden="false" customHeight="true" outlineLevel="0" collapsed="false">
      <c r="A329" s="270"/>
      <c r="B329" s="270"/>
      <c r="C329" s="270"/>
      <c r="D329" s="270"/>
      <c r="E329" s="270"/>
      <c r="F329" s="270"/>
      <c r="G329" s="270"/>
      <c r="H329" s="270"/>
      <c r="I329" s="270"/>
      <c r="J329" s="270"/>
      <c r="K329" s="270"/>
      <c r="L329" s="270"/>
      <c r="M329" s="270"/>
      <c r="N329" s="277"/>
      <c r="O329" s="277"/>
      <c r="P329" s="277"/>
      <c r="Q329" s="277"/>
      <c r="R329" s="277"/>
      <c r="S329" s="277"/>
      <c r="T329" s="270"/>
      <c r="U329" s="278"/>
      <c r="V329" s="278"/>
      <c r="W329" s="410"/>
      <c r="X329" s="270"/>
      <c r="Y329" s="270"/>
      <c r="Z329" s="270"/>
    </row>
    <row r="330" customFormat="false" ht="12.75" hidden="false" customHeight="true" outlineLevel="0" collapsed="false">
      <c r="A330" s="270"/>
      <c r="B330" s="270"/>
      <c r="C330" s="270"/>
      <c r="D330" s="270"/>
      <c r="E330" s="270"/>
      <c r="F330" s="270"/>
      <c r="G330" s="270"/>
      <c r="H330" s="270"/>
      <c r="I330" s="270"/>
      <c r="J330" s="270"/>
      <c r="K330" s="270"/>
      <c r="L330" s="270"/>
      <c r="M330" s="270"/>
      <c r="N330" s="277"/>
      <c r="O330" s="277"/>
      <c r="P330" s="277"/>
      <c r="Q330" s="277"/>
      <c r="R330" s="277"/>
      <c r="S330" s="277"/>
      <c r="T330" s="270"/>
      <c r="U330" s="278"/>
      <c r="V330" s="278"/>
      <c r="W330" s="410"/>
      <c r="X330" s="270"/>
      <c r="Y330" s="270"/>
      <c r="Z330" s="270"/>
    </row>
    <row r="331" customFormat="false" ht="12.75" hidden="false" customHeight="true" outlineLevel="0" collapsed="false">
      <c r="A331" s="270"/>
      <c r="B331" s="270"/>
      <c r="C331" s="270"/>
      <c r="D331" s="270"/>
      <c r="E331" s="270"/>
      <c r="F331" s="270"/>
      <c r="G331" s="270"/>
      <c r="H331" s="270"/>
      <c r="I331" s="270"/>
      <c r="J331" s="270"/>
      <c r="K331" s="270"/>
      <c r="L331" s="270"/>
      <c r="M331" s="270"/>
      <c r="N331" s="277"/>
      <c r="O331" s="277"/>
      <c r="P331" s="277"/>
      <c r="Q331" s="277"/>
      <c r="R331" s="277"/>
      <c r="S331" s="277"/>
      <c r="T331" s="270"/>
      <c r="U331" s="278"/>
      <c r="V331" s="278"/>
      <c r="W331" s="410"/>
      <c r="X331" s="270"/>
      <c r="Y331" s="270"/>
      <c r="Z331" s="270"/>
    </row>
    <row r="332" customFormat="false" ht="12.75" hidden="false" customHeight="true" outlineLevel="0" collapsed="false">
      <c r="A332" s="270"/>
      <c r="B332" s="270"/>
      <c r="C332" s="270"/>
      <c r="D332" s="270"/>
      <c r="E332" s="270"/>
      <c r="F332" s="270"/>
      <c r="G332" s="270"/>
      <c r="H332" s="270"/>
      <c r="I332" s="270"/>
      <c r="J332" s="270"/>
      <c r="K332" s="270"/>
      <c r="L332" s="270"/>
      <c r="M332" s="270"/>
      <c r="N332" s="277"/>
      <c r="O332" s="277"/>
      <c r="P332" s="277"/>
      <c r="Q332" s="277"/>
      <c r="R332" s="277"/>
      <c r="S332" s="277"/>
      <c r="T332" s="270"/>
      <c r="U332" s="278"/>
      <c r="V332" s="278"/>
      <c r="W332" s="410"/>
      <c r="X332" s="270"/>
      <c r="Y332" s="270"/>
      <c r="Z332" s="270"/>
    </row>
    <row r="333" customFormat="false" ht="12.75" hidden="false" customHeight="true" outlineLevel="0" collapsed="false">
      <c r="A333" s="270"/>
      <c r="B333" s="270"/>
      <c r="C333" s="270"/>
      <c r="D333" s="270"/>
      <c r="E333" s="270"/>
      <c r="F333" s="270"/>
      <c r="G333" s="270"/>
      <c r="H333" s="270"/>
      <c r="I333" s="270"/>
      <c r="J333" s="270"/>
      <c r="K333" s="270"/>
      <c r="L333" s="270"/>
      <c r="M333" s="270"/>
      <c r="N333" s="277"/>
      <c r="O333" s="277"/>
      <c r="P333" s="277"/>
      <c r="Q333" s="277"/>
      <c r="R333" s="277"/>
      <c r="S333" s="277"/>
      <c r="T333" s="270"/>
      <c r="U333" s="278"/>
      <c r="V333" s="278"/>
      <c r="W333" s="410"/>
      <c r="X333" s="270"/>
      <c r="Y333" s="270"/>
      <c r="Z333" s="270"/>
    </row>
    <row r="334" customFormat="false" ht="12.75" hidden="false" customHeight="true" outlineLevel="0" collapsed="false">
      <c r="A334" s="270"/>
      <c r="B334" s="270"/>
      <c r="C334" s="270"/>
      <c r="D334" s="270"/>
      <c r="E334" s="270"/>
      <c r="F334" s="270"/>
      <c r="G334" s="270"/>
      <c r="H334" s="270"/>
      <c r="I334" s="270"/>
      <c r="J334" s="270"/>
      <c r="K334" s="270"/>
      <c r="L334" s="270"/>
      <c r="M334" s="270"/>
      <c r="N334" s="277"/>
      <c r="O334" s="277"/>
      <c r="P334" s="277"/>
      <c r="Q334" s="277"/>
      <c r="R334" s="277"/>
      <c r="S334" s="277"/>
      <c r="T334" s="270"/>
      <c r="U334" s="278"/>
      <c r="V334" s="278"/>
      <c r="W334" s="410"/>
      <c r="X334" s="270"/>
      <c r="Y334" s="270"/>
      <c r="Z334" s="270"/>
    </row>
    <row r="335" customFormat="false" ht="12.75" hidden="false" customHeight="true" outlineLevel="0" collapsed="false">
      <c r="A335" s="270"/>
      <c r="B335" s="270"/>
      <c r="C335" s="270"/>
      <c r="D335" s="270"/>
      <c r="E335" s="270"/>
      <c r="F335" s="270"/>
      <c r="G335" s="270"/>
      <c r="H335" s="270"/>
      <c r="I335" s="270"/>
      <c r="J335" s="270"/>
      <c r="K335" s="270"/>
      <c r="L335" s="270"/>
      <c r="M335" s="270"/>
      <c r="N335" s="277"/>
      <c r="O335" s="277"/>
      <c r="P335" s="277"/>
      <c r="Q335" s="277"/>
      <c r="R335" s="277"/>
      <c r="S335" s="277"/>
      <c r="T335" s="270"/>
      <c r="U335" s="278"/>
      <c r="V335" s="278"/>
      <c r="W335" s="410"/>
      <c r="X335" s="270"/>
      <c r="Y335" s="270"/>
      <c r="Z335" s="270"/>
    </row>
    <row r="336" customFormat="false" ht="12.75" hidden="false" customHeight="true" outlineLevel="0" collapsed="false">
      <c r="A336" s="270"/>
      <c r="B336" s="270"/>
      <c r="C336" s="270"/>
      <c r="D336" s="270"/>
      <c r="E336" s="270"/>
      <c r="F336" s="270"/>
      <c r="G336" s="270"/>
      <c r="H336" s="270"/>
      <c r="I336" s="270"/>
      <c r="J336" s="270"/>
      <c r="K336" s="270"/>
      <c r="L336" s="270"/>
      <c r="M336" s="270"/>
      <c r="N336" s="277"/>
      <c r="O336" s="277"/>
      <c r="P336" s="277"/>
      <c r="Q336" s="277"/>
      <c r="R336" s="277"/>
      <c r="S336" s="277"/>
      <c r="T336" s="270"/>
      <c r="U336" s="278"/>
      <c r="V336" s="278"/>
      <c r="W336" s="410"/>
      <c r="X336" s="270"/>
      <c r="Y336" s="270"/>
      <c r="Z336" s="270"/>
    </row>
    <row r="337" customFormat="false" ht="12.75" hidden="false" customHeight="true" outlineLevel="0" collapsed="false">
      <c r="A337" s="270"/>
      <c r="B337" s="270"/>
      <c r="C337" s="270"/>
      <c r="D337" s="270"/>
      <c r="E337" s="270"/>
      <c r="F337" s="270"/>
      <c r="G337" s="270"/>
      <c r="H337" s="270"/>
      <c r="I337" s="270"/>
      <c r="J337" s="270"/>
      <c r="K337" s="270"/>
      <c r="L337" s="270"/>
      <c r="M337" s="270"/>
      <c r="N337" s="277"/>
      <c r="O337" s="277"/>
      <c r="P337" s="277"/>
      <c r="Q337" s="277"/>
      <c r="R337" s="277"/>
      <c r="S337" s="277"/>
      <c r="T337" s="270"/>
      <c r="U337" s="278"/>
      <c r="V337" s="278"/>
      <c r="W337" s="410"/>
      <c r="X337" s="270"/>
      <c r="Y337" s="270"/>
      <c r="Z337" s="270"/>
    </row>
    <row r="338" customFormat="false" ht="12.75" hidden="false" customHeight="true" outlineLevel="0" collapsed="false">
      <c r="A338" s="270"/>
      <c r="B338" s="270"/>
      <c r="C338" s="270"/>
      <c r="D338" s="270"/>
      <c r="E338" s="270"/>
      <c r="F338" s="270"/>
      <c r="G338" s="270"/>
      <c r="H338" s="270"/>
      <c r="I338" s="270"/>
      <c r="J338" s="270"/>
      <c r="K338" s="270"/>
      <c r="L338" s="270"/>
      <c r="M338" s="270"/>
      <c r="N338" s="277"/>
      <c r="O338" s="277"/>
      <c r="P338" s="277"/>
      <c r="Q338" s="277"/>
      <c r="R338" s="277"/>
      <c r="S338" s="277"/>
      <c r="T338" s="270"/>
      <c r="U338" s="278"/>
      <c r="V338" s="278"/>
      <c r="W338" s="410"/>
      <c r="X338" s="270"/>
      <c r="Y338" s="270"/>
      <c r="Z338" s="270"/>
    </row>
    <row r="339" customFormat="false" ht="12.75" hidden="false" customHeight="true" outlineLevel="0" collapsed="false">
      <c r="A339" s="270"/>
      <c r="B339" s="270"/>
      <c r="C339" s="270"/>
      <c r="D339" s="270"/>
      <c r="E339" s="270"/>
      <c r="F339" s="270"/>
      <c r="G339" s="270"/>
      <c r="H339" s="270"/>
      <c r="I339" s="270"/>
      <c r="J339" s="270"/>
      <c r="K339" s="270"/>
      <c r="L339" s="270"/>
      <c r="M339" s="270"/>
      <c r="N339" s="277"/>
      <c r="O339" s="277"/>
      <c r="P339" s="277"/>
      <c r="Q339" s="277"/>
      <c r="R339" s="277"/>
      <c r="S339" s="277"/>
      <c r="T339" s="270"/>
      <c r="U339" s="278"/>
      <c r="V339" s="278"/>
      <c r="W339" s="410"/>
      <c r="X339" s="270"/>
      <c r="Y339" s="270"/>
      <c r="Z339" s="270"/>
    </row>
    <row r="340" customFormat="false" ht="12.75" hidden="false" customHeight="true" outlineLevel="0" collapsed="false">
      <c r="A340" s="270"/>
      <c r="B340" s="270"/>
      <c r="C340" s="270"/>
      <c r="D340" s="270"/>
      <c r="E340" s="270"/>
      <c r="F340" s="270"/>
      <c r="G340" s="270"/>
      <c r="H340" s="270"/>
      <c r="I340" s="270"/>
      <c r="J340" s="270"/>
      <c r="K340" s="270"/>
      <c r="L340" s="270"/>
      <c r="M340" s="270"/>
      <c r="N340" s="277"/>
      <c r="O340" s="277"/>
      <c r="P340" s="277"/>
      <c r="Q340" s="277"/>
      <c r="R340" s="277"/>
      <c r="S340" s="277"/>
      <c r="T340" s="270"/>
      <c r="U340" s="278"/>
      <c r="V340" s="278"/>
      <c r="W340" s="410"/>
      <c r="X340" s="270"/>
      <c r="Y340" s="270"/>
      <c r="Z340" s="270"/>
    </row>
    <row r="341" customFormat="false" ht="12.75" hidden="false" customHeight="true" outlineLevel="0" collapsed="false">
      <c r="A341" s="270"/>
      <c r="B341" s="270"/>
      <c r="C341" s="270"/>
      <c r="D341" s="270"/>
      <c r="E341" s="270"/>
      <c r="F341" s="270"/>
      <c r="G341" s="270"/>
      <c r="H341" s="270"/>
      <c r="I341" s="270"/>
      <c r="J341" s="270"/>
      <c r="K341" s="270"/>
      <c r="L341" s="270"/>
      <c r="M341" s="270"/>
      <c r="N341" s="277"/>
      <c r="O341" s="277"/>
      <c r="P341" s="277"/>
      <c r="Q341" s="277"/>
      <c r="R341" s="277"/>
      <c r="S341" s="277"/>
      <c r="T341" s="270"/>
      <c r="U341" s="278"/>
      <c r="V341" s="278"/>
      <c r="W341" s="410"/>
      <c r="X341" s="270"/>
      <c r="Y341" s="270"/>
      <c r="Z341" s="270"/>
    </row>
    <row r="342" customFormat="false" ht="12.75" hidden="false" customHeight="true" outlineLevel="0" collapsed="false">
      <c r="A342" s="270"/>
      <c r="B342" s="270"/>
      <c r="C342" s="270"/>
      <c r="D342" s="270"/>
      <c r="E342" s="270"/>
      <c r="F342" s="270"/>
      <c r="G342" s="270"/>
      <c r="H342" s="270"/>
      <c r="I342" s="270"/>
      <c r="J342" s="270"/>
      <c r="K342" s="270"/>
      <c r="L342" s="270"/>
      <c r="M342" s="270"/>
      <c r="N342" s="277"/>
      <c r="O342" s="277"/>
      <c r="P342" s="277"/>
      <c r="Q342" s="277"/>
      <c r="R342" s="277"/>
      <c r="S342" s="277"/>
      <c r="T342" s="270"/>
      <c r="U342" s="278"/>
      <c r="V342" s="278"/>
      <c r="W342" s="410"/>
      <c r="X342" s="270"/>
      <c r="Y342" s="270"/>
      <c r="Z342" s="270"/>
    </row>
    <row r="343" customFormat="false" ht="12.75" hidden="false" customHeight="true" outlineLevel="0" collapsed="false">
      <c r="A343" s="270"/>
      <c r="B343" s="270"/>
      <c r="C343" s="270"/>
      <c r="D343" s="270"/>
      <c r="E343" s="270"/>
      <c r="F343" s="270"/>
      <c r="G343" s="270"/>
      <c r="H343" s="270"/>
      <c r="I343" s="270"/>
      <c r="J343" s="270"/>
      <c r="K343" s="270"/>
      <c r="L343" s="270"/>
      <c r="M343" s="270"/>
      <c r="N343" s="277"/>
      <c r="O343" s="277"/>
      <c r="P343" s="277"/>
      <c r="Q343" s="277"/>
      <c r="R343" s="277"/>
      <c r="S343" s="277"/>
      <c r="T343" s="270"/>
      <c r="U343" s="278"/>
      <c r="V343" s="278"/>
      <c r="W343" s="410"/>
      <c r="X343" s="270"/>
      <c r="Y343" s="270"/>
      <c r="Z343" s="270"/>
    </row>
    <row r="344" customFormat="false" ht="12.75" hidden="false" customHeight="true" outlineLevel="0" collapsed="false">
      <c r="A344" s="270"/>
      <c r="B344" s="270"/>
      <c r="C344" s="270"/>
      <c r="D344" s="270"/>
      <c r="E344" s="270"/>
      <c r="F344" s="270"/>
      <c r="G344" s="270"/>
      <c r="H344" s="270"/>
      <c r="I344" s="270"/>
      <c r="J344" s="270"/>
      <c r="K344" s="270"/>
      <c r="L344" s="270"/>
      <c r="M344" s="270"/>
      <c r="N344" s="277"/>
      <c r="O344" s="277"/>
      <c r="P344" s="277"/>
      <c r="Q344" s="277"/>
      <c r="R344" s="277"/>
      <c r="S344" s="277"/>
      <c r="T344" s="270"/>
      <c r="U344" s="278"/>
      <c r="V344" s="278"/>
      <c r="W344" s="410"/>
      <c r="X344" s="270"/>
      <c r="Y344" s="270"/>
      <c r="Z344" s="270"/>
    </row>
    <row r="345" customFormat="false" ht="12.75" hidden="false" customHeight="true" outlineLevel="0" collapsed="false">
      <c r="A345" s="270"/>
      <c r="B345" s="270"/>
      <c r="C345" s="270"/>
      <c r="D345" s="270"/>
      <c r="E345" s="270"/>
      <c r="F345" s="270"/>
      <c r="G345" s="270"/>
      <c r="H345" s="270"/>
      <c r="I345" s="270"/>
      <c r="J345" s="270"/>
      <c r="K345" s="270"/>
      <c r="L345" s="270"/>
      <c r="M345" s="270"/>
      <c r="N345" s="277"/>
      <c r="O345" s="277"/>
      <c r="P345" s="277"/>
      <c r="Q345" s="277"/>
      <c r="R345" s="277"/>
      <c r="S345" s="277"/>
      <c r="T345" s="270"/>
      <c r="U345" s="278"/>
      <c r="V345" s="278"/>
      <c r="W345" s="410"/>
      <c r="X345" s="270"/>
      <c r="Y345" s="270"/>
      <c r="Z345" s="270"/>
    </row>
    <row r="346" customFormat="false" ht="12.75" hidden="false" customHeight="true" outlineLevel="0" collapsed="false">
      <c r="A346" s="270"/>
      <c r="B346" s="270"/>
      <c r="C346" s="270"/>
      <c r="D346" s="270"/>
      <c r="E346" s="270"/>
      <c r="F346" s="270"/>
      <c r="G346" s="270"/>
      <c r="H346" s="270"/>
      <c r="I346" s="270"/>
      <c r="J346" s="270"/>
      <c r="K346" s="270"/>
      <c r="L346" s="270"/>
      <c r="M346" s="270"/>
      <c r="N346" s="277"/>
      <c r="O346" s="277"/>
      <c r="P346" s="277"/>
      <c r="Q346" s="277"/>
      <c r="R346" s="277"/>
      <c r="S346" s="277"/>
      <c r="T346" s="270"/>
      <c r="U346" s="278"/>
      <c r="V346" s="278"/>
      <c r="W346" s="410"/>
      <c r="X346" s="270"/>
      <c r="Y346" s="270"/>
      <c r="Z346" s="270"/>
    </row>
    <row r="347" customFormat="false" ht="12.75" hidden="false" customHeight="true" outlineLevel="0" collapsed="false">
      <c r="A347" s="270"/>
      <c r="B347" s="270"/>
      <c r="C347" s="270"/>
      <c r="D347" s="270"/>
      <c r="E347" s="270"/>
      <c r="F347" s="270"/>
      <c r="G347" s="270"/>
      <c r="H347" s="270"/>
      <c r="I347" s="270"/>
      <c r="J347" s="270"/>
      <c r="K347" s="270"/>
      <c r="L347" s="270"/>
      <c r="M347" s="270"/>
      <c r="N347" s="277"/>
      <c r="O347" s="277"/>
      <c r="P347" s="277"/>
      <c r="Q347" s="277"/>
      <c r="R347" s="277"/>
      <c r="S347" s="277"/>
      <c r="T347" s="270"/>
      <c r="U347" s="278"/>
      <c r="V347" s="278"/>
      <c r="W347" s="410"/>
      <c r="X347" s="270"/>
      <c r="Y347" s="270"/>
      <c r="Z347" s="270"/>
    </row>
    <row r="348" customFormat="false" ht="12.75" hidden="false" customHeight="true" outlineLevel="0" collapsed="false">
      <c r="A348" s="270"/>
      <c r="B348" s="270"/>
      <c r="C348" s="270"/>
      <c r="D348" s="270"/>
      <c r="E348" s="270"/>
      <c r="F348" s="270"/>
      <c r="G348" s="270"/>
      <c r="H348" s="270"/>
      <c r="I348" s="270"/>
      <c r="J348" s="270"/>
      <c r="K348" s="270"/>
      <c r="L348" s="270"/>
      <c r="M348" s="270"/>
      <c r="N348" s="277"/>
      <c r="O348" s="277"/>
      <c r="P348" s="277"/>
      <c r="Q348" s="277"/>
      <c r="R348" s="277"/>
      <c r="S348" s="277"/>
      <c r="T348" s="270"/>
      <c r="U348" s="278"/>
      <c r="V348" s="278"/>
      <c r="W348" s="410"/>
      <c r="X348" s="270"/>
      <c r="Y348" s="270"/>
      <c r="Z348" s="270"/>
    </row>
    <row r="349" customFormat="false" ht="12.75" hidden="false" customHeight="true" outlineLevel="0" collapsed="false">
      <c r="A349" s="270"/>
      <c r="B349" s="270"/>
      <c r="C349" s="270"/>
      <c r="D349" s="270"/>
      <c r="E349" s="270"/>
      <c r="F349" s="270"/>
      <c r="G349" s="270"/>
      <c r="H349" s="270"/>
      <c r="I349" s="270"/>
      <c r="J349" s="270"/>
      <c r="K349" s="270"/>
      <c r="L349" s="270"/>
      <c r="M349" s="270"/>
      <c r="N349" s="277"/>
      <c r="O349" s="277"/>
      <c r="P349" s="277"/>
      <c r="Q349" s="277"/>
      <c r="R349" s="277"/>
      <c r="S349" s="277"/>
      <c r="T349" s="270"/>
      <c r="U349" s="278"/>
      <c r="V349" s="278"/>
      <c r="W349" s="410"/>
      <c r="X349" s="270"/>
      <c r="Y349" s="270"/>
      <c r="Z349" s="270"/>
    </row>
    <row r="350" customFormat="false" ht="12.75" hidden="false" customHeight="true" outlineLevel="0" collapsed="false">
      <c r="A350" s="270"/>
      <c r="B350" s="270"/>
      <c r="C350" s="270"/>
      <c r="D350" s="270"/>
      <c r="E350" s="270"/>
      <c r="F350" s="270"/>
      <c r="G350" s="270"/>
      <c r="H350" s="270"/>
      <c r="I350" s="270"/>
      <c r="J350" s="270"/>
      <c r="K350" s="270"/>
      <c r="L350" s="270"/>
      <c r="M350" s="270"/>
      <c r="N350" s="277"/>
      <c r="O350" s="277"/>
      <c r="P350" s="277"/>
      <c r="Q350" s="277"/>
      <c r="R350" s="277"/>
      <c r="S350" s="277"/>
      <c r="T350" s="270"/>
      <c r="U350" s="278"/>
      <c r="V350" s="278"/>
      <c r="W350" s="410"/>
      <c r="X350" s="270"/>
      <c r="Y350" s="270"/>
      <c r="Z350" s="270"/>
    </row>
    <row r="351" customFormat="false" ht="12.75" hidden="false" customHeight="true" outlineLevel="0" collapsed="false">
      <c r="A351" s="270"/>
      <c r="B351" s="270"/>
      <c r="C351" s="270"/>
      <c r="D351" s="270"/>
      <c r="E351" s="270"/>
      <c r="F351" s="270"/>
      <c r="G351" s="270"/>
      <c r="H351" s="270"/>
      <c r="I351" s="270"/>
      <c r="J351" s="270"/>
      <c r="K351" s="270"/>
      <c r="L351" s="270"/>
      <c r="M351" s="270"/>
      <c r="N351" s="277"/>
      <c r="O351" s="277"/>
      <c r="P351" s="277"/>
      <c r="Q351" s="277"/>
      <c r="R351" s="277"/>
      <c r="S351" s="277"/>
      <c r="T351" s="270"/>
      <c r="U351" s="278"/>
      <c r="V351" s="278"/>
      <c r="W351" s="410"/>
      <c r="X351" s="270"/>
      <c r="Y351" s="270"/>
      <c r="Z351" s="270"/>
    </row>
    <row r="352" customFormat="false" ht="12.75" hidden="false" customHeight="true" outlineLevel="0" collapsed="false">
      <c r="A352" s="270"/>
      <c r="B352" s="270"/>
      <c r="C352" s="270"/>
      <c r="D352" s="270"/>
      <c r="E352" s="270"/>
      <c r="F352" s="270"/>
      <c r="G352" s="270"/>
      <c r="H352" s="270"/>
      <c r="I352" s="270"/>
      <c r="J352" s="270"/>
      <c r="K352" s="270"/>
      <c r="L352" s="270"/>
      <c r="M352" s="270"/>
      <c r="N352" s="277"/>
      <c r="O352" s="277"/>
      <c r="P352" s="277"/>
      <c r="Q352" s="277"/>
      <c r="R352" s="277"/>
      <c r="S352" s="277"/>
      <c r="T352" s="270"/>
      <c r="U352" s="278"/>
      <c r="V352" s="278"/>
      <c r="W352" s="410"/>
      <c r="X352" s="270"/>
      <c r="Y352" s="270"/>
      <c r="Z352" s="270"/>
    </row>
    <row r="353" customFormat="false" ht="12.75" hidden="false" customHeight="true" outlineLevel="0" collapsed="false">
      <c r="A353" s="270"/>
      <c r="B353" s="270"/>
      <c r="C353" s="270"/>
      <c r="D353" s="270"/>
      <c r="E353" s="270"/>
      <c r="F353" s="270"/>
      <c r="G353" s="270"/>
      <c r="H353" s="270"/>
      <c r="I353" s="270"/>
      <c r="J353" s="270"/>
      <c r="K353" s="270"/>
      <c r="L353" s="270"/>
      <c r="M353" s="270"/>
      <c r="N353" s="277"/>
      <c r="O353" s="277"/>
      <c r="P353" s="277"/>
      <c r="Q353" s="277"/>
      <c r="R353" s="277"/>
      <c r="S353" s="277"/>
      <c r="T353" s="270"/>
      <c r="U353" s="278"/>
      <c r="V353" s="278"/>
      <c r="W353" s="410"/>
      <c r="X353" s="270"/>
      <c r="Y353" s="270"/>
      <c r="Z353" s="270"/>
    </row>
    <row r="354" customFormat="false" ht="12.75" hidden="false" customHeight="true" outlineLevel="0" collapsed="false">
      <c r="A354" s="270"/>
      <c r="B354" s="270"/>
      <c r="C354" s="270"/>
      <c r="D354" s="270"/>
      <c r="E354" s="270"/>
      <c r="F354" s="270"/>
      <c r="G354" s="270"/>
      <c r="H354" s="270"/>
      <c r="I354" s="270"/>
      <c r="J354" s="270"/>
      <c r="K354" s="270"/>
      <c r="L354" s="270"/>
      <c r="M354" s="270"/>
      <c r="N354" s="277"/>
      <c r="O354" s="277"/>
      <c r="P354" s="277"/>
      <c r="Q354" s="277"/>
      <c r="R354" s="277"/>
      <c r="S354" s="277"/>
      <c r="T354" s="270"/>
      <c r="U354" s="278"/>
      <c r="V354" s="278"/>
      <c r="W354" s="410"/>
      <c r="X354" s="270"/>
      <c r="Y354" s="270"/>
      <c r="Z354" s="270"/>
    </row>
    <row r="355" customFormat="false" ht="12.75" hidden="false" customHeight="true" outlineLevel="0" collapsed="false">
      <c r="A355" s="270"/>
      <c r="B355" s="270"/>
      <c r="C355" s="270"/>
      <c r="D355" s="270"/>
      <c r="E355" s="270"/>
      <c r="F355" s="270"/>
      <c r="G355" s="270"/>
      <c r="H355" s="270"/>
      <c r="I355" s="270"/>
      <c r="J355" s="270"/>
      <c r="K355" s="270"/>
      <c r="L355" s="270"/>
      <c r="M355" s="270"/>
      <c r="N355" s="277"/>
      <c r="O355" s="277"/>
      <c r="P355" s="277"/>
      <c r="Q355" s="277"/>
      <c r="R355" s="277"/>
      <c r="S355" s="277"/>
      <c r="T355" s="270"/>
      <c r="U355" s="278"/>
      <c r="V355" s="278"/>
      <c r="W355" s="410"/>
      <c r="X355" s="270"/>
      <c r="Y355" s="270"/>
      <c r="Z355" s="270"/>
    </row>
    <row r="356" customFormat="false" ht="12.75" hidden="false" customHeight="true" outlineLevel="0" collapsed="false">
      <c r="A356" s="270"/>
      <c r="B356" s="270"/>
      <c r="C356" s="270"/>
      <c r="D356" s="270"/>
      <c r="E356" s="270"/>
      <c r="F356" s="270"/>
      <c r="G356" s="270"/>
      <c r="H356" s="270"/>
      <c r="I356" s="270"/>
      <c r="J356" s="270"/>
      <c r="K356" s="270"/>
      <c r="L356" s="270"/>
      <c r="M356" s="270"/>
      <c r="N356" s="277"/>
      <c r="O356" s="277"/>
      <c r="P356" s="277"/>
      <c r="Q356" s="277"/>
      <c r="R356" s="277"/>
      <c r="S356" s="277"/>
      <c r="T356" s="270"/>
      <c r="U356" s="278"/>
      <c r="V356" s="278"/>
      <c r="W356" s="410"/>
      <c r="X356" s="270"/>
      <c r="Y356" s="270"/>
      <c r="Z356" s="270"/>
    </row>
    <row r="357" customFormat="false" ht="12.75" hidden="false" customHeight="true" outlineLevel="0" collapsed="false">
      <c r="A357" s="270"/>
      <c r="B357" s="270"/>
      <c r="C357" s="270"/>
      <c r="D357" s="270"/>
      <c r="E357" s="270"/>
      <c r="F357" s="270"/>
      <c r="G357" s="270"/>
      <c r="H357" s="270"/>
      <c r="I357" s="270"/>
      <c r="J357" s="270"/>
      <c r="K357" s="270"/>
      <c r="L357" s="270"/>
      <c r="M357" s="270"/>
      <c r="N357" s="277"/>
      <c r="O357" s="277"/>
      <c r="P357" s="277"/>
      <c r="Q357" s="277"/>
      <c r="R357" s="277"/>
      <c r="S357" s="277"/>
      <c r="T357" s="270"/>
      <c r="U357" s="278"/>
      <c r="V357" s="278"/>
      <c r="W357" s="410"/>
      <c r="X357" s="270"/>
      <c r="Y357" s="270"/>
      <c r="Z357" s="270"/>
    </row>
    <row r="358" customFormat="false" ht="12.75" hidden="false" customHeight="true" outlineLevel="0" collapsed="false">
      <c r="A358" s="270"/>
      <c r="B358" s="270"/>
      <c r="C358" s="270"/>
      <c r="D358" s="270"/>
      <c r="E358" s="270"/>
      <c r="F358" s="270"/>
      <c r="G358" s="270"/>
      <c r="H358" s="270"/>
      <c r="I358" s="270"/>
      <c r="J358" s="270"/>
      <c r="K358" s="270"/>
      <c r="L358" s="270"/>
      <c r="M358" s="270"/>
      <c r="N358" s="277"/>
      <c r="O358" s="277"/>
      <c r="P358" s="277"/>
      <c r="Q358" s="277"/>
      <c r="R358" s="277"/>
      <c r="S358" s="277"/>
      <c r="T358" s="270"/>
      <c r="U358" s="278"/>
      <c r="V358" s="278"/>
      <c r="W358" s="410"/>
      <c r="X358" s="270"/>
      <c r="Y358" s="270"/>
      <c r="Z358" s="270"/>
    </row>
    <row r="359" customFormat="false" ht="12.75" hidden="false" customHeight="true" outlineLevel="0" collapsed="false">
      <c r="A359" s="270"/>
      <c r="B359" s="270"/>
      <c r="C359" s="270"/>
      <c r="D359" s="270"/>
      <c r="E359" s="270"/>
      <c r="F359" s="270"/>
      <c r="G359" s="270"/>
      <c r="H359" s="270"/>
      <c r="I359" s="270"/>
      <c r="J359" s="270"/>
      <c r="K359" s="270"/>
      <c r="L359" s="270"/>
      <c r="M359" s="270"/>
      <c r="N359" s="277"/>
      <c r="O359" s="277"/>
      <c r="P359" s="277"/>
      <c r="Q359" s="277"/>
      <c r="R359" s="277"/>
      <c r="S359" s="277"/>
      <c r="T359" s="270"/>
      <c r="U359" s="278"/>
      <c r="V359" s="278"/>
      <c r="W359" s="410"/>
      <c r="X359" s="270"/>
      <c r="Y359" s="270"/>
      <c r="Z359" s="270"/>
    </row>
    <row r="360" customFormat="false" ht="12.75" hidden="false" customHeight="true" outlineLevel="0" collapsed="false">
      <c r="A360" s="270"/>
      <c r="B360" s="270"/>
      <c r="C360" s="270"/>
      <c r="D360" s="270"/>
      <c r="E360" s="270"/>
      <c r="F360" s="270"/>
      <c r="G360" s="270"/>
      <c r="H360" s="270"/>
      <c r="I360" s="270"/>
      <c r="J360" s="270"/>
      <c r="K360" s="270"/>
      <c r="L360" s="270"/>
      <c r="M360" s="270"/>
      <c r="N360" s="277"/>
      <c r="O360" s="277"/>
      <c r="P360" s="277"/>
      <c r="Q360" s="277"/>
      <c r="R360" s="277"/>
      <c r="S360" s="277"/>
      <c r="T360" s="270"/>
      <c r="U360" s="278"/>
      <c r="V360" s="278"/>
      <c r="W360" s="410"/>
      <c r="X360" s="270"/>
      <c r="Y360" s="270"/>
      <c r="Z360" s="270"/>
    </row>
    <row r="361" customFormat="false" ht="12.75" hidden="false" customHeight="true" outlineLevel="0" collapsed="false">
      <c r="A361" s="270"/>
      <c r="B361" s="270"/>
      <c r="C361" s="270"/>
      <c r="D361" s="270"/>
      <c r="E361" s="270"/>
      <c r="F361" s="270"/>
      <c r="G361" s="270"/>
      <c r="H361" s="270"/>
      <c r="I361" s="270"/>
      <c r="J361" s="270"/>
      <c r="K361" s="270"/>
      <c r="L361" s="270"/>
      <c r="M361" s="270"/>
      <c r="N361" s="277"/>
      <c r="O361" s="277"/>
      <c r="P361" s="277"/>
      <c r="Q361" s="277"/>
      <c r="R361" s="277"/>
      <c r="S361" s="277"/>
      <c r="T361" s="270"/>
      <c r="U361" s="278"/>
      <c r="V361" s="278"/>
      <c r="W361" s="410"/>
      <c r="X361" s="270"/>
      <c r="Y361" s="270"/>
      <c r="Z361" s="270"/>
    </row>
    <row r="362" customFormat="false" ht="12.75" hidden="false" customHeight="true" outlineLevel="0" collapsed="false">
      <c r="A362" s="270"/>
      <c r="B362" s="270"/>
      <c r="C362" s="270"/>
      <c r="D362" s="270"/>
      <c r="E362" s="270"/>
      <c r="F362" s="270"/>
      <c r="G362" s="270"/>
      <c r="H362" s="270"/>
      <c r="I362" s="270"/>
      <c r="J362" s="270"/>
      <c r="K362" s="270"/>
      <c r="L362" s="270"/>
      <c r="M362" s="270"/>
      <c r="N362" s="277"/>
      <c r="O362" s="277"/>
      <c r="P362" s="277"/>
      <c r="Q362" s="277"/>
      <c r="R362" s="277"/>
      <c r="S362" s="277"/>
      <c r="T362" s="270"/>
      <c r="U362" s="278"/>
      <c r="V362" s="278"/>
      <c r="W362" s="410"/>
      <c r="X362" s="270"/>
      <c r="Y362" s="270"/>
      <c r="Z362" s="270"/>
    </row>
    <row r="363" customFormat="false" ht="12.75" hidden="false" customHeight="true" outlineLevel="0" collapsed="false">
      <c r="A363" s="270"/>
      <c r="B363" s="270"/>
      <c r="C363" s="270"/>
      <c r="D363" s="270"/>
      <c r="E363" s="270"/>
      <c r="F363" s="270"/>
      <c r="G363" s="270"/>
      <c r="H363" s="270"/>
      <c r="I363" s="270"/>
      <c r="J363" s="270"/>
      <c r="K363" s="270"/>
      <c r="L363" s="270"/>
      <c r="M363" s="270"/>
      <c r="N363" s="277"/>
      <c r="O363" s="277"/>
      <c r="P363" s="277"/>
      <c r="Q363" s="277"/>
      <c r="R363" s="277"/>
      <c r="S363" s="277"/>
      <c r="T363" s="270"/>
      <c r="U363" s="278"/>
      <c r="V363" s="278"/>
      <c r="W363" s="410"/>
      <c r="X363" s="270"/>
      <c r="Y363" s="270"/>
      <c r="Z363" s="270"/>
    </row>
    <row r="364" customFormat="false" ht="12.75" hidden="false" customHeight="true" outlineLevel="0" collapsed="false">
      <c r="A364" s="270"/>
      <c r="B364" s="270"/>
      <c r="C364" s="270"/>
      <c r="D364" s="270"/>
      <c r="E364" s="270"/>
      <c r="F364" s="270"/>
      <c r="G364" s="270"/>
      <c r="H364" s="270"/>
      <c r="I364" s="270"/>
      <c r="J364" s="270"/>
      <c r="K364" s="270"/>
      <c r="L364" s="270"/>
      <c r="M364" s="270"/>
      <c r="N364" s="277"/>
      <c r="O364" s="277"/>
      <c r="P364" s="277"/>
      <c r="Q364" s="277"/>
      <c r="R364" s="277"/>
      <c r="S364" s="277"/>
      <c r="T364" s="270"/>
      <c r="U364" s="278"/>
      <c r="V364" s="278"/>
      <c r="W364" s="410"/>
      <c r="X364" s="270"/>
      <c r="Y364" s="270"/>
      <c r="Z364" s="270"/>
    </row>
    <row r="365" customFormat="false" ht="12.75" hidden="false" customHeight="true" outlineLevel="0" collapsed="false">
      <c r="A365" s="270"/>
      <c r="B365" s="270"/>
      <c r="C365" s="270"/>
      <c r="D365" s="270"/>
      <c r="E365" s="270"/>
      <c r="F365" s="270"/>
      <c r="G365" s="270"/>
      <c r="H365" s="270"/>
      <c r="I365" s="270"/>
      <c r="J365" s="270"/>
      <c r="K365" s="270"/>
      <c r="L365" s="270"/>
      <c r="M365" s="270"/>
      <c r="N365" s="277"/>
      <c r="O365" s="277"/>
      <c r="P365" s="277"/>
      <c r="Q365" s="277"/>
      <c r="R365" s="277"/>
      <c r="S365" s="277"/>
      <c r="T365" s="270"/>
      <c r="U365" s="278"/>
      <c r="V365" s="278"/>
      <c r="W365" s="410"/>
      <c r="X365" s="270"/>
      <c r="Y365" s="270"/>
      <c r="Z365" s="270"/>
    </row>
    <row r="366" customFormat="false" ht="12.75" hidden="false" customHeight="true" outlineLevel="0" collapsed="false">
      <c r="A366" s="270"/>
      <c r="B366" s="270"/>
      <c r="C366" s="270"/>
      <c r="D366" s="270"/>
      <c r="E366" s="270"/>
      <c r="F366" s="270"/>
      <c r="G366" s="270"/>
      <c r="H366" s="270"/>
      <c r="I366" s="270"/>
      <c r="J366" s="270"/>
      <c r="K366" s="270"/>
      <c r="L366" s="270"/>
      <c r="M366" s="270"/>
      <c r="N366" s="277"/>
      <c r="O366" s="277"/>
      <c r="P366" s="277"/>
      <c r="Q366" s="277"/>
      <c r="R366" s="277"/>
      <c r="S366" s="277"/>
      <c r="T366" s="270"/>
      <c r="U366" s="278"/>
      <c r="V366" s="278"/>
      <c r="W366" s="410"/>
      <c r="X366" s="270"/>
      <c r="Y366" s="270"/>
      <c r="Z366" s="270"/>
    </row>
    <row r="367" customFormat="false" ht="12.75" hidden="false" customHeight="true" outlineLevel="0" collapsed="false">
      <c r="A367" s="270"/>
      <c r="B367" s="270"/>
      <c r="C367" s="270"/>
      <c r="D367" s="270"/>
      <c r="E367" s="270"/>
      <c r="F367" s="270"/>
      <c r="G367" s="270"/>
      <c r="H367" s="270"/>
      <c r="I367" s="270"/>
      <c r="J367" s="270"/>
      <c r="K367" s="270"/>
      <c r="L367" s="270"/>
      <c r="M367" s="270"/>
      <c r="N367" s="277"/>
      <c r="O367" s="277"/>
      <c r="P367" s="277"/>
      <c r="Q367" s="277"/>
      <c r="R367" s="277"/>
      <c r="S367" s="277"/>
      <c r="T367" s="270"/>
      <c r="U367" s="278"/>
      <c r="V367" s="278"/>
      <c r="W367" s="410"/>
      <c r="X367" s="270"/>
      <c r="Y367" s="270"/>
      <c r="Z367" s="270"/>
    </row>
    <row r="368" customFormat="false" ht="12.75" hidden="false" customHeight="true" outlineLevel="0" collapsed="false">
      <c r="A368" s="270"/>
      <c r="B368" s="270"/>
      <c r="C368" s="270"/>
      <c r="D368" s="270"/>
      <c r="E368" s="270"/>
      <c r="F368" s="270"/>
      <c r="G368" s="270"/>
      <c r="H368" s="270"/>
      <c r="I368" s="270"/>
      <c r="J368" s="270"/>
      <c r="K368" s="270"/>
      <c r="L368" s="270"/>
      <c r="M368" s="270"/>
      <c r="N368" s="277"/>
      <c r="O368" s="277"/>
      <c r="P368" s="277"/>
      <c r="Q368" s="277"/>
      <c r="R368" s="277"/>
      <c r="S368" s="277"/>
      <c r="T368" s="270"/>
      <c r="U368" s="278"/>
      <c r="V368" s="278"/>
      <c r="W368" s="410"/>
      <c r="X368" s="270"/>
      <c r="Y368" s="270"/>
      <c r="Z368" s="270"/>
    </row>
    <row r="369" customFormat="false" ht="12.75" hidden="false" customHeight="true" outlineLevel="0" collapsed="false">
      <c r="A369" s="270"/>
      <c r="B369" s="270"/>
      <c r="C369" s="270"/>
      <c r="D369" s="270"/>
      <c r="E369" s="270"/>
      <c r="F369" s="270"/>
      <c r="G369" s="270"/>
      <c r="H369" s="270"/>
      <c r="I369" s="270"/>
      <c r="J369" s="270"/>
      <c r="K369" s="270"/>
      <c r="L369" s="270"/>
      <c r="M369" s="270"/>
      <c r="N369" s="277"/>
      <c r="O369" s="277"/>
      <c r="P369" s="277"/>
      <c r="Q369" s="277"/>
      <c r="R369" s="277"/>
      <c r="S369" s="277"/>
      <c r="T369" s="270"/>
      <c r="U369" s="278"/>
      <c r="V369" s="278"/>
      <c r="W369" s="410"/>
      <c r="X369" s="270"/>
      <c r="Y369" s="270"/>
      <c r="Z369" s="270"/>
    </row>
    <row r="370" customFormat="false" ht="12.75" hidden="false" customHeight="true" outlineLevel="0" collapsed="false">
      <c r="A370" s="270"/>
      <c r="B370" s="270"/>
      <c r="C370" s="270"/>
      <c r="D370" s="270"/>
      <c r="E370" s="270"/>
      <c r="F370" s="270"/>
      <c r="G370" s="270"/>
      <c r="H370" s="270"/>
      <c r="I370" s="270"/>
      <c r="J370" s="270"/>
      <c r="K370" s="270"/>
      <c r="L370" s="270"/>
      <c r="M370" s="270"/>
      <c r="N370" s="277"/>
      <c r="O370" s="277"/>
      <c r="P370" s="277"/>
      <c r="Q370" s="277"/>
      <c r="R370" s="277"/>
      <c r="S370" s="277"/>
      <c r="T370" s="270"/>
      <c r="U370" s="278"/>
      <c r="V370" s="278"/>
      <c r="W370" s="410"/>
      <c r="X370" s="270"/>
      <c r="Y370" s="270"/>
      <c r="Z370" s="270"/>
    </row>
    <row r="371" customFormat="false" ht="12.75" hidden="false" customHeight="true" outlineLevel="0" collapsed="false">
      <c r="A371" s="270"/>
      <c r="B371" s="270"/>
      <c r="C371" s="270"/>
      <c r="D371" s="270"/>
      <c r="E371" s="270"/>
      <c r="F371" s="270"/>
      <c r="G371" s="270"/>
      <c r="H371" s="270"/>
      <c r="I371" s="270"/>
      <c r="J371" s="270"/>
      <c r="K371" s="270"/>
      <c r="L371" s="270"/>
      <c r="M371" s="270"/>
      <c r="N371" s="277"/>
      <c r="O371" s="277"/>
      <c r="P371" s="277"/>
      <c r="Q371" s="277"/>
      <c r="R371" s="277"/>
      <c r="S371" s="277"/>
      <c r="T371" s="270"/>
      <c r="U371" s="278"/>
      <c r="V371" s="278"/>
      <c r="W371" s="410"/>
      <c r="X371" s="270"/>
      <c r="Y371" s="270"/>
      <c r="Z371" s="270"/>
    </row>
    <row r="372" customFormat="false" ht="12.75" hidden="false" customHeight="true" outlineLevel="0" collapsed="false">
      <c r="A372" s="270"/>
      <c r="B372" s="270"/>
      <c r="C372" s="270"/>
      <c r="D372" s="270"/>
      <c r="E372" s="270"/>
      <c r="F372" s="270"/>
      <c r="G372" s="270"/>
      <c r="H372" s="270"/>
      <c r="I372" s="270"/>
      <c r="J372" s="270"/>
      <c r="K372" s="270"/>
      <c r="L372" s="270"/>
      <c r="M372" s="270"/>
      <c r="N372" s="277"/>
      <c r="O372" s="277"/>
      <c r="P372" s="277"/>
      <c r="Q372" s="277"/>
      <c r="R372" s="277"/>
      <c r="S372" s="277"/>
      <c r="T372" s="270"/>
      <c r="U372" s="278"/>
      <c r="V372" s="278"/>
      <c r="W372" s="410"/>
      <c r="X372" s="270"/>
      <c r="Y372" s="270"/>
      <c r="Z372" s="270"/>
    </row>
    <row r="373" customFormat="false" ht="12.75" hidden="false" customHeight="true" outlineLevel="0" collapsed="false">
      <c r="A373" s="270"/>
      <c r="B373" s="270"/>
      <c r="C373" s="270"/>
      <c r="D373" s="270"/>
      <c r="E373" s="270"/>
      <c r="F373" s="270"/>
      <c r="G373" s="270"/>
      <c r="H373" s="270"/>
      <c r="I373" s="270"/>
      <c r="J373" s="270"/>
      <c r="K373" s="270"/>
      <c r="L373" s="270"/>
      <c r="M373" s="270"/>
      <c r="N373" s="277"/>
      <c r="O373" s="277"/>
      <c r="P373" s="277"/>
      <c r="Q373" s="277"/>
      <c r="R373" s="277"/>
      <c r="S373" s="277"/>
      <c r="T373" s="270"/>
      <c r="U373" s="278"/>
      <c r="V373" s="278"/>
      <c r="W373" s="410"/>
      <c r="X373" s="270"/>
      <c r="Y373" s="270"/>
      <c r="Z373" s="270"/>
    </row>
    <row r="374" customFormat="false" ht="12.75" hidden="false" customHeight="true" outlineLevel="0" collapsed="false">
      <c r="A374" s="270"/>
      <c r="B374" s="270"/>
      <c r="C374" s="270"/>
      <c r="D374" s="270"/>
      <c r="E374" s="270"/>
      <c r="F374" s="270"/>
      <c r="G374" s="270"/>
      <c r="H374" s="270"/>
      <c r="I374" s="270"/>
      <c r="J374" s="270"/>
      <c r="K374" s="270"/>
      <c r="L374" s="270"/>
      <c r="M374" s="270"/>
      <c r="N374" s="277"/>
      <c r="O374" s="277"/>
      <c r="P374" s="277"/>
      <c r="Q374" s="277"/>
      <c r="R374" s="277"/>
      <c r="S374" s="277"/>
      <c r="T374" s="270"/>
      <c r="U374" s="278"/>
      <c r="V374" s="278"/>
      <c r="W374" s="410"/>
      <c r="X374" s="270"/>
      <c r="Y374" s="270"/>
      <c r="Z374" s="270"/>
    </row>
    <row r="375" customFormat="false" ht="12.75" hidden="false" customHeight="true" outlineLevel="0" collapsed="false">
      <c r="A375" s="270"/>
      <c r="B375" s="270"/>
      <c r="C375" s="270"/>
      <c r="D375" s="270"/>
      <c r="E375" s="270"/>
      <c r="F375" s="270"/>
      <c r="G375" s="270"/>
      <c r="H375" s="270"/>
      <c r="I375" s="270"/>
      <c r="J375" s="270"/>
      <c r="K375" s="270"/>
      <c r="L375" s="270"/>
      <c r="M375" s="270"/>
      <c r="N375" s="277"/>
      <c r="O375" s="277"/>
      <c r="P375" s="277"/>
      <c r="Q375" s="277"/>
      <c r="R375" s="277"/>
      <c r="S375" s="277"/>
      <c r="T375" s="270"/>
      <c r="U375" s="278"/>
      <c r="V375" s="278"/>
      <c r="W375" s="410"/>
      <c r="X375" s="270"/>
      <c r="Y375" s="270"/>
      <c r="Z375" s="270"/>
    </row>
    <row r="376" customFormat="false" ht="12.75" hidden="false" customHeight="true" outlineLevel="0" collapsed="false">
      <c r="A376" s="270"/>
      <c r="B376" s="270"/>
      <c r="C376" s="270"/>
      <c r="D376" s="270"/>
      <c r="E376" s="270"/>
      <c r="F376" s="270"/>
      <c r="G376" s="270"/>
      <c r="H376" s="270"/>
      <c r="I376" s="270"/>
      <c r="J376" s="270"/>
      <c r="K376" s="270"/>
      <c r="L376" s="270"/>
      <c r="M376" s="270"/>
      <c r="N376" s="277"/>
      <c r="O376" s="277"/>
      <c r="P376" s="277"/>
      <c r="Q376" s="277"/>
      <c r="R376" s="277"/>
      <c r="S376" s="277"/>
      <c r="T376" s="270"/>
      <c r="U376" s="278"/>
      <c r="V376" s="278"/>
      <c r="W376" s="410"/>
      <c r="X376" s="270"/>
      <c r="Y376" s="270"/>
      <c r="Z376" s="270"/>
    </row>
    <row r="377" customFormat="false" ht="12.75" hidden="false" customHeight="true" outlineLevel="0" collapsed="false">
      <c r="A377" s="270"/>
      <c r="B377" s="270"/>
      <c r="C377" s="270"/>
      <c r="D377" s="270"/>
      <c r="E377" s="270"/>
      <c r="F377" s="270"/>
      <c r="G377" s="270"/>
      <c r="H377" s="270"/>
      <c r="I377" s="270"/>
      <c r="J377" s="270"/>
      <c r="K377" s="270"/>
      <c r="L377" s="270"/>
      <c r="M377" s="270"/>
      <c r="N377" s="277"/>
      <c r="O377" s="277"/>
      <c r="P377" s="277"/>
      <c r="Q377" s="277"/>
      <c r="R377" s="277"/>
      <c r="S377" s="277"/>
      <c r="T377" s="270"/>
      <c r="U377" s="278"/>
      <c r="V377" s="278"/>
      <c r="W377" s="410"/>
      <c r="X377" s="270"/>
      <c r="Y377" s="270"/>
      <c r="Z377" s="270"/>
    </row>
    <row r="378" customFormat="false" ht="12.75" hidden="false" customHeight="true" outlineLevel="0" collapsed="false">
      <c r="A378" s="270"/>
      <c r="B378" s="270"/>
      <c r="C378" s="270"/>
      <c r="D378" s="270"/>
      <c r="E378" s="270"/>
      <c r="F378" s="270"/>
      <c r="G378" s="270"/>
      <c r="H378" s="270"/>
      <c r="I378" s="270"/>
      <c r="J378" s="270"/>
      <c r="K378" s="270"/>
      <c r="L378" s="270"/>
      <c r="M378" s="270"/>
      <c r="N378" s="277"/>
      <c r="O378" s="277"/>
      <c r="P378" s="277"/>
      <c r="Q378" s="277"/>
      <c r="R378" s="277"/>
      <c r="S378" s="277"/>
      <c r="T378" s="270"/>
      <c r="U378" s="278"/>
      <c r="V378" s="278"/>
      <c r="W378" s="410"/>
      <c r="X378" s="270"/>
      <c r="Y378" s="270"/>
      <c r="Z378" s="270"/>
    </row>
    <row r="379" customFormat="false" ht="12.75" hidden="false" customHeight="true" outlineLevel="0" collapsed="false">
      <c r="A379" s="270"/>
      <c r="B379" s="270"/>
      <c r="C379" s="270"/>
      <c r="D379" s="270"/>
      <c r="E379" s="270"/>
      <c r="F379" s="270"/>
      <c r="G379" s="270"/>
      <c r="H379" s="270"/>
      <c r="I379" s="270"/>
      <c r="J379" s="270"/>
      <c r="K379" s="270"/>
      <c r="L379" s="270"/>
      <c r="M379" s="270"/>
      <c r="N379" s="277"/>
      <c r="O379" s="277"/>
      <c r="P379" s="277"/>
      <c r="Q379" s="277"/>
      <c r="R379" s="277"/>
      <c r="S379" s="277"/>
      <c r="T379" s="270"/>
      <c r="U379" s="278"/>
      <c r="V379" s="278"/>
      <c r="W379" s="410"/>
      <c r="X379" s="270"/>
      <c r="Y379" s="270"/>
      <c r="Z379" s="270"/>
    </row>
    <row r="380" customFormat="false" ht="12.75" hidden="false" customHeight="true" outlineLevel="0" collapsed="false">
      <c r="A380" s="270"/>
      <c r="B380" s="270"/>
      <c r="C380" s="270"/>
      <c r="D380" s="270"/>
      <c r="E380" s="270"/>
      <c r="F380" s="270"/>
      <c r="G380" s="270"/>
      <c r="H380" s="270"/>
      <c r="I380" s="270"/>
      <c r="J380" s="270"/>
      <c r="K380" s="270"/>
      <c r="L380" s="270"/>
      <c r="M380" s="270"/>
      <c r="N380" s="277"/>
      <c r="O380" s="277"/>
      <c r="P380" s="277"/>
      <c r="Q380" s="277"/>
      <c r="R380" s="277"/>
      <c r="S380" s="277"/>
      <c r="T380" s="270"/>
      <c r="U380" s="278"/>
      <c r="V380" s="278"/>
      <c r="W380" s="410"/>
      <c r="X380" s="270"/>
      <c r="Y380" s="270"/>
      <c r="Z380" s="270"/>
    </row>
    <row r="381" customFormat="false" ht="12.75" hidden="false" customHeight="true" outlineLevel="0" collapsed="false">
      <c r="A381" s="270"/>
      <c r="B381" s="270"/>
      <c r="C381" s="270"/>
      <c r="D381" s="270"/>
      <c r="E381" s="270"/>
      <c r="F381" s="270"/>
      <c r="G381" s="270"/>
      <c r="H381" s="270"/>
      <c r="I381" s="270"/>
      <c r="J381" s="270"/>
      <c r="K381" s="270"/>
      <c r="L381" s="270"/>
      <c r="M381" s="270"/>
      <c r="N381" s="277"/>
      <c r="O381" s="277"/>
      <c r="P381" s="277"/>
      <c r="Q381" s="277"/>
      <c r="R381" s="277"/>
      <c r="S381" s="277"/>
      <c r="T381" s="270"/>
      <c r="U381" s="278"/>
      <c r="V381" s="278"/>
      <c r="W381" s="410"/>
      <c r="X381" s="270"/>
      <c r="Y381" s="270"/>
      <c r="Z381" s="270"/>
    </row>
    <row r="382" customFormat="false" ht="12.75" hidden="false" customHeight="true" outlineLevel="0" collapsed="false">
      <c r="A382" s="270"/>
      <c r="B382" s="270"/>
      <c r="C382" s="270"/>
      <c r="D382" s="270"/>
      <c r="E382" s="270"/>
      <c r="F382" s="270"/>
      <c r="G382" s="270"/>
      <c r="H382" s="270"/>
      <c r="I382" s="270"/>
      <c r="J382" s="270"/>
      <c r="K382" s="270"/>
      <c r="L382" s="270"/>
      <c r="M382" s="270"/>
      <c r="N382" s="277"/>
      <c r="O382" s="277"/>
      <c r="P382" s="277"/>
      <c r="Q382" s="277"/>
      <c r="R382" s="277"/>
      <c r="S382" s="277"/>
      <c r="T382" s="270"/>
      <c r="U382" s="278"/>
      <c r="V382" s="278"/>
      <c r="W382" s="410"/>
      <c r="X382" s="270"/>
      <c r="Y382" s="270"/>
      <c r="Z382" s="270"/>
    </row>
    <row r="383" customFormat="false" ht="12.75" hidden="false" customHeight="true" outlineLevel="0" collapsed="false">
      <c r="A383" s="270"/>
      <c r="B383" s="270"/>
      <c r="C383" s="270"/>
      <c r="D383" s="270"/>
      <c r="E383" s="270"/>
      <c r="F383" s="270"/>
      <c r="G383" s="270"/>
      <c r="H383" s="270"/>
      <c r="I383" s="270"/>
      <c r="J383" s="270"/>
      <c r="K383" s="270"/>
      <c r="L383" s="270"/>
      <c r="M383" s="270"/>
      <c r="N383" s="277"/>
      <c r="O383" s="277"/>
      <c r="P383" s="277"/>
      <c r="Q383" s="277"/>
      <c r="R383" s="277"/>
      <c r="S383" s="277"/>
      <c r="T383" s="270"/>
      <c r="U383" s="278"/>
      <c r="V383" s="278"/>
      <c r="W383" s="410"/>
      <c r="X383" s="270"/>
      <c r="Y383" s="270"/>
      <c r="Z383" s="270"/>
    </row>
    <row r="384" customFormat="false" ht="12.75" hidden="false" customHeight="true" outlineLevel="0" collapsed="false">
      <c r="A384" s="270"/>
      <c r="B384" s="270"/>
      <c r="C384" s="270"/>
      <c r="D384" s="270"/>
      <c r="E384" s="270"/>
      <c r="F384" s="270"/>
      <c r="G384" s="270"/>
      <c r="H384" s="270"/>
      <c r="I384" s="270"/>
      <c r="J384" s="270"/>
      <c r="K384" s="270"/>
      <c r="L384" s="270"/>
      <c r="M384" s="270"/>
      <c r="N384" s="277"/>
      <c r="O384" s="277"/>
      <c r="P384" s="277"/>
      <c r="Q384" s="277"/>
      <c r="R384" s="277"/>
      <c r="S384" s="277"/>
      <c r="T384" s="270"/>
      <c r="U384" s="278"/>
      <c r="V384" s="278"/>
      <c r="W384" s="410"/>
      <c r="X384" s="270"/>
      <c r="Y384" s="270"/>
      <c r="Z384" s="270"/>
    </row>
    <row r="385" customFormat="false" ht="12.75" hidden="false" customHeight="true" outlineLevel="0" collapsed="false">
      <c r="A385" s="270"/>
      <c r="B385" s="270"/>
      <c r="C385" s="270"/>
      <c r="D385" s="270"/>
      <c r="E385" s="270"/>
      <c r="F385" s="270"/>
      <c r="G385" s="270"/>
      <c r="H385" s="270"/>
      <c r="I385" s="270"/>
      <c r="J385" s="270"/>
      <c r="K385" s="270"/>
      <c r="L385" s="270"/>
      <c r="M385" s="270"/>
      <c r="N385" s="277"/>
      <c r="O385" s="277"/>
      <c r="P385" s="277"/>
      <c r="Q385" s="277"/>
      <c r="R385" s="277"/>
      <c r="S385" s="277"/>
      <c r="T385" s="270"/>
      <c r="U385" s="278"/>
      <c r="V385" s="278"/>
      <c r="W385" s="410"/>
      <c r="X385" s="270"/>
      <c r="Y385" s="270"/>
      <c r="Z385" s="270"/>
    </row>
    <row r="386" customFormat="false" ht="12.75" hidden="false" customHeight="true" outlineLevel="0" collapsed="false">
      <c r="A386" s="270"/>
      <c r="B386" s="270"/>
      <c r="C386" s="270"/>
      <c r="D386" s="270"/>
      <c r="E386" s="270"/>
      <c r="F386" s="270"/>
      <c r="G386" s="270"/>
      <c r="H386" s="270"/>
      <c r="I386" s="270"/>
      <c r="J386" s="270"/>
      <c r="K386" s="270"/>
      <c r="L386" s="270"/>
      <c r="M386" s="270"/>
      <c r="N386" s="277"/>
      <c r="O386" s="277"/>
      <c r="P386" s="277"/>
      <c r="Q386" s="277"/>
      <c r="R386" s="277"/>
      <c r="S386" s="277"/>
      <c r="T386" s="270"/>
      <c r="U386" s="278"/>
      <c r="V386" s="278"/>
      <c r="W386" s="410"/>
      <c r="X386" s="270"/>
      <c r="Y386" s="270"/>
      <c r="Z386" s="270"/>
    </row>
    <row r="387" customFormat="false" ht="12.75" hidden="false" customHeight="true" outlineLevel="0" collapsed="false">
      <c r="A387" s="270"/>
      <c r="B387" s="270"/>
      <c r="C387" s="270"/>
      <c r="D387" s="270"/>
      <c r="E387" s="270"/>
      <c r="F387" s="270"/>
      <c r="G387" s="270"/>
      <c r="H387" s="270"/>
      <c r="I387" s="270"/>
      <c r="J387" s="270"/>
      <c r="K387" s="270"/>
      <c r="L387" s="270"/>
      <c r="M387" s="270"/>
      <c r="N387" s="277"/>
      <c r="O387" s="277"/>
      <c r="P387" s="277"/>
      <c r="Q387" s="277"/>
      <c r="R387" s="277"/>
      <c r="S387" s="277"/>
      <c r="T387" s="270"/>
      <c r="U387" s="278"/>
      <c r="V387" s="278"/>
      <c r="W387" s="410"/>
      <c r="X387" s="270"/>
      <c r="Y387" s="270"/>
      <c r="Z387" s="270"/>
    </row>
    <row r="388" customFormat="false" ht="12.75" hidden="false" customHeight="true" outlineLevel="0" collapsed="false">
      <c r="A388" s="270"/>
      <c r="B388" s="270"/>
      <c r="C388" s="270"/>
      <c r="D388" s="270"/>
      <c r="E388" s="270"/>
      <c r="F388" s="270"/>
      <c r="G388" s="270"/>
      <c r="H388" s="270"/>
      <c r="I388" s="270"/>
      <c r="J388" s="270"/>
      <c r="K388" s="270"/>
      <c r="L388" s="270"/>
      <c r="M388" s="270"/>
      <c r="N388" s="277"/>
      <c r="O388" s="277"/>
      <c r="P388" s="277"/>
      <c r="Q388" s="277"/>
      <c r="R388" s="277"/>
      <c r="S388" s="277"/>
      <c r="T388" s="270"/>
      <c r="U388" s="278"/>
      <c r="V388" s="278"/>
      <c r="W388" s="410"/>
      <c r="X388" s="270"/>
      <c r="Y388" s="270"/>
      <c r="Z388" s="270"/>
    </row>
    <row r="389" customFormat="false" ht="12.75" hidden="false" customHeight="true" outlineLevel="0" collapsed="false">
      <c r="A389" s="270"/>
      <c r="B389" s="270"/>
      <c r="C389" s="270"/>
      <c r="D389" s="270"/>
      <c r="E389" s="270"/>
      <c r="F389" s="270"/>
      <c r="G389" s="270"/>
      <c r="H389" s="270"/>
      <c r="I389" s="270"/>
      <c r="J389" s="270"/>
      <c r="K389" s="270"/>
      <c r="L389" s="270"/>
      <c r="M389" s="270"/>
      <c r="N389" s="277"/>
      <c r="O389" s="277"/>
      <c r="P389" s="277"/>
      <c r="Q389" s="277"/>
      <c r="R389" s="277"/>
      <c r="S389" s="277"/>
      <c r="T389" s="270"/>
      <c r="U389" s="278"/>
      <c r="V389" s="278"/>
      <c r="W389" s="410"/>
      <c r="X389" s="270"/>
      <c r="Y389" s="270"/>
      <c r="Z389" s="270"/>
    </row>
    <row r="390" customFormat="false" ht="12.75" hidden="false" customHeight="true" outlineLevel="0" collapsed="false">
      <c r="A390" s="270"/>
      <c r="B390" s="270"/>
      <c r="C390" s="270"/>
      <c r="D390" s="270"/>
      <c r="E390" s="270"/>
      <c r="F390" s="270"/>
      <c r="G390" s="270"/>
      <c r="H390" s="270"/>
      <c r="I390" s="270"/>
      <c r="J390" s="270"/>
      <c r="K390" s="270"/>
      <c r="L390" s="270"/>
      <c r="M390" s="270"/>
      <c r="N390" s="277"/>
      <c r="O390" s="277"/>
      <c r="P390" s="277"/>
      <c r="Q390" s="277"/>
      <c r="R390" s="277"/>
      <c r="S390" s="277"/>
      <c r="T390" s="270"/>
      <c r="U390" s="278"/>
      <c r="V390" s="278"/>
      <c r="W390" s="410"/>
      <c r="X390" s="270"/>
      <c r="Y390" s="270"/>
      <c r="Z390" s="270"/>
    </row>
    <row r="391" customFormat="false" ht="12.75" hidden="false" customHeight="true" outlineLevel="0" collapsed="false">
      <c r="A391" s="270"/>
      <c r="B391" s="270"/>
      <c r="C391" s="270"/>
      <c r="D391" s="270"/>
      <c r="E391" s="270"/>
      <c r="F391" s="270"/>
      <c r="G391" s="270"/>
      <c r="H391" s="270"/>
      <c r="I391" s="270"/>
      <c r="J391" s="270"/>
      <c r="K391" s="270"/>
      <c r="L391" s="270"/>
      <c r="M391" s="270"/>
      <c r="N391" s="277"/>
      <c r="O391" s="277"/>
      <c r="P391" s="277"/>
      <c r="Q391" s="277"/>
      <c r="R391" s="277"/>
      <c r="S391" s="277"/>
      <c r="T391" s="270"/>
      <c r="U391" s="278"/>
      <c r="V391" s="278"/>
      <c r="W391" s="410"/>
      <c r="X391" s="270"/>
      <c r="Y391" s="270"/>
      <c r="Z391" s="270"/>
    </row>
    <row r="392" customFormat="false" ht="12.75" hidden="false" customHeight="true" outlineLevel="0" collapsed="false">
      <c r="A392" s="270"/>
      <c r="B392" s="270"/>
      <c r="C392" s="270"/>
      <c r="D392" s="270"/>
      <c r="E392" s="270"/>
      <c r="F392" s="270"/>
      <c r="G392" s="270"/>
      <c r="H392" s="270"/>
      <c r="I392" s="270"/>
      <c r="J392" s="270"/>
      <c r="K392" s="270"/>
      <c r="L392" s="270"/>
      <c r="M392" s="270"/>
      <c r="N392" s="277"/>
      <c r="O392" s="277"/>
      <c r="P392" s="277"/>
      <c r="Q392" s="277"/>
      <c r="R392" s="277"/>
      <c r="S392" s="277"/>
      <c r="T392" s="270"/>
      <c r="U392" s="278"/>
      <c r="V392" s="278"/>
      <c r="W392" s="410"/>
      <c r="X392" s="270"/>
      <c r="Y392" s="270"/>
      <c r="Z392" s="270"/>
    </row>
    <row r="393" customFormat="false" ht="12.75" hidden="false" customHeight="true" outlineLevel="0" collapsed="false">
      <c r="A393" s="270"/>
      <c r="B393" s="270"/>
      <c r="C393" s="270"/>
      <c r="D393" s="270"/>
      <c r="E393" s="270"/>
      <c r="F393" s="270"/>
      <c r="G393" s="270"/>
      <c r="H393" s="270"/>
      <c r="I393" s="270"/>
      <c r="J393" s="270"/>
      <c r="K393" s="270"/>
      <c r="L393" s="270"/>
      <c r="M393" s="270"/>
      <c r="N393" s="277"/>
      <c r="O393" s="277"/>
      <c r="P393" s="277"/>
      <c r="Q393" s="277"/>
      <c r="R393" s="277"/>
      <c r="S393" s="277"/>
      <c r="T393" s="270"/>
      <c r="U393" s="278"/>
      <c r="V393" s="278"/>
      <c r="W393" s="410"/>
      <c r="X393" s="270"/>
      <c r="Y393" s="270"/>
      <c r="Z393" s="270"/>
    </row>
    <row r="394" customFormat="false" ht="12.75" hidden="false" customHeight="true" outlineLevel="0" collapsed="false">
      <c r="A394" s="270"/>
      <c r="B394" s="270"/>
      <c r="C394" s="270"/>
      <c r="D394" s="270"/>
      <c r="E394" s="270"/>
      <c r="F394" s="270"/>
      <c r="G394" s="270"/>
      <c r="H394" s="270"/>
      <c r="I394" s="270"/>
      <c r="J394" s="270"/>
      <c r="K394" s="270"/>
      <c r="L394" s="270"/>
      <c r="M394" s="270"/>
      <c r="N394" s="277"/>
      <c r="O394" s="277"/>
      <c r="P394" s="277"/>
      <c r="Q394" s="277"/>
      <c r="R394" s="277"/>
      <c r="S394" s="277"/>
      <c r="T394" s="270"/>
      <c r="U394" s="278"/>
      <c r="V394" s="278"/>
      <c r="W394" s="410"/>
      <c r="X394" s="270"/>
      <c r="Y394" s="270"/>
      <c r="Z394" s="270"/>
    </row>
    <row r="395" customFormat="false" ht="12.75" hidden="false" customHeight="true" outlineLevel="0" collapsed="false">
      <c r="A395" s="270"/>
      <c r="B395" s="270"/>
      <c r="C395" s="270"/>
      <c r="D395" s="270"/>
      <c r="E395" s="270"/>
      <c r="F395" s="270"/>
      <c r="G395" s="270"/>
      <c r="H395" s="270"/>
      <c r="I395" s="270"/>
      <c r="J395" s="270"/>
      <c r="K395" s="270"/>
      <c r="L395" s="270"/>
      <c r="M395" s="270"/>
      <c r="N395" s="277"/>
      <c r="O395" s="277"/>
      <c r="P395" s="277"/>
      <c r="Q395" s="277"/>
      <c r="R395" s="277"/>
      <c r="S395" s="277"/>
      <c r="T395" s="270"/>
      <c r="U395" s="278"/>
      <c r="V395" s="278"/>
      <c r="W395" s="410"/>
      <c r="X395" s="270"/>
      <c r="Y395" s="270"/>
      <c r="Z395" s="270"/>
    </row>
    <row r="396" customFormat="false" ht="12.75" hidden="false" customHeight="true" outlineLevel="0" collapsed="false">
      <c r="A396" s="270"/>
      <c r="B396" s="270"/>
      <c r="C396" s="270"/>
      <c r="D396" s="270"/>
      <c r="E396" s="270"/>
      <c r="F396" s="270"/>
      <c r="G396" s="270"/>
      <c r="H396" s="270"/>
      <c r="I396" s="270"/>
      <c r="J396" s="270"/>
      <c r="K396" s="270"/>
      <c r="L396" s="270"/>
      <c r="M396" s="270"/>
      <c r="N396" s="277"/>
      <c r="O396" s="277"/>
      <c r="P396" s="277"/>
      <c r="Q396" s="277"/>
      <c r="R396" s="277"/>
      <c r="S396" s="277"/>
      <c r="T396" s="270"/>
      <c r="U396" s="278"/>
      <c r="V396" s="278"/>
      <c r="W396" s="410"/>
      <c r="X396" s="270"/>
      <c r="Y396" s="270"/>
      <c r="Z396" s="270"/>
    </row>
    <row r="397" customFormat="false" ht="12.75" hidden="false" customHeight="true" outlineLevel="0" collapsed="false">
      <c r="A397" s="270"/>
      <c r="B397" s="270"/>
      <c r="C397" s="270"/>
      <c r="D397" s="270"/>
      <c r="E397" s="270"/>
      <c r="F397" s="270"/>
      <c r="G397" s="270"/>
      <c r="H397" s="270"/>
      <c r="I397" s="270"/>
      <c r="J397" s="270"/>
      <c r="K397" s="270"/>
      <c r="L397" s="270"/>
      <c r="M397" s="270"/>
      <c r="N397" s="277"/>
      <c r="O397" s="277"/>
      <c r="P397" s="277"/>
      <c r="Q397" s="277"/>
      <c r="R397" s="277"/>
      <c r="S397" s="277"/>
      <c r="T397" s="270"/>
      <c r="U397" s="278"/>
      <c r="V397" s="278"/>
      <c r="W397" s="410"/>
      <c r="X397" s="270"/>
      <c r="Y397" s="270"/>
      <c r="Z397" s="270"/>
    </row>
    <row r="398" customFormat="false" ht="12.75" hidden="false" customHeight="true" outlineLevel="0" collapsed="false">
      <c r="A398" s="270"/>
      <c r="B398" s="270"/>
      <c r="C398" s="270"/>
      <c r="D398" s="270"/>
      <c r="E398" s="270"/>
      <c r="F398" s="270"/>
      <c r="G398" s="270"/>
      <c r="H398" s="270"/>
      <c r="I398" s="270"/>
      <c r="J398" s="270"/>
      <c r="K398" s="270"/>
      <c r="L398" s="270"/>
      <c r="M398" s="270"/>
      <c r="N398" s="277"/>
      <c r="O398" s="277"/>
      <c r="P398" s="277"/>
      <c r="Q398" s="277"/>
      <c r="R398" s="277"/>
      <c r="S398" s="277"/>
      <c r="T398" s="270"/>
      <c r="U398" s="278"/>
      <c r="V398" s="278"/>
      <c r="W398" s="410"/>
      <c r="X398" s="270"/>
      <c r="Y398" s="270"/>
      <c r="Z398" s="270"/>
    </row>
    <row r="399" customFormat="false" ht="12.75" hidden="false" customHeight="true" outlineLevel="0" collapsed="false">
      <c r="A399" s="270"/>
      <c r="B399" s="270"/>
      <c r="C399" s="270"/>
      <c r="D399" s="270"/>
      <c r="E399" s="270"/>
      <c r="F399" s="270"/>
      <c r="G399" s="270"/>
      <c r="H399" s="270"/>
      <c r="I399" s="270"/>
      <c r="J399" s="270"/>
      <c r="K399" s="270"/>
      <c r="L399" s="270"/>
      <c r="M399" s="270"/>
      <c r="N399" s="277"/>
      <c r="O399" s="277"/>
      <c r="P399" s="277"/>
      <c r="Q399" s="277"/>
      <c r="R399" s="277"/>
      <c r="S399" s="277"/>
      <c r="T399" s="270"/>
      <c r="U399" s="278"/>
      <c r="V399" s="278"/>
      <c r="W399" s="410"/>
      <c r="X399" s="270"/>
      <c r="Y399" s="270"/>
      <c r="Z399" s="270"/>
    </row>
    <row r="400" customFormat="false" ht="12.75" hidden="false" customHeight="true" outlineLevel="0" collapsed="false">
      <c r="A400" s="270"/>
      <c r="B400" s="270"/>
      <c r="C400" s="270"/>
      <c r="D400" s="270"/>
      <c r="E400" s="270"/>
      <c r="F400" s="270"/>
      <c r="G400" s="270"/>
      <c r="H400" s="270"/>
      <c r="I400" s="270"/>
      <c r="J400" s="270"/>
      <c r="K400" s="270"/>
      <c r="L400" s="270"/>
      <c r="M400" s="270"/>
      <c r="N400" s="277"/>
      <c r="O400" s="277"/>
      <c r="P400" s="277"/>
      <c r="Q400" s="277"/>
      <c r="R400" s="277"/>
      <c r="S400" s="277"/>
      <c r="T400" s="270"/>
      <c r="U400" s="278"/>
      <c r="V400" s="278"/>
      <c r="W400" s="410"/>
      <c r="X400" s="270"/>
      <c r="Y400" s="270"/>
      <c r="Z400" s="270"/>
    </row>
    <row r="401" customFormat="false" ht="12.75" hidden="false" customHeight="true" outlineLevel="0" collapsed="false">
      <c r="A401" s="270"/>
      <c r="B401" s="270"/>
      <c r="C401" s="270"/>
      <c r="D401" s="270"/>
      <c r="E401" s="270"/>
      <c r="F401" s="270"/>
      <c r="G401" s="270"/>
      <c r="H401" s="270"/>
      <c r="I401" s="270"/>
      <c r="J401" s="270"/>
      <c r="K401" s="270"/>
      <c r="L401" s="270"/>
      <c r="M401" s="270"/>
      <c r="N401" s="277"/>
      <c r="O401" s="277"/>
      <c r="P401" s="277"/>
      <c r="Q401" s="277"/>
      <c r="R401" s="277"/>
      <c r="S401" s="277"/>
      <c r="T401" s="270"/>
      <c r="U401" s="278"/>
      <c r="V401" s="278"/>
      <c r="W401" s="410"/>
      <c r="X401" s="270"/>
      <c r="Y401" s="270"/>
      <c r="Z401" s="270"/>
    </row>
    <row r="402" customFormat="false" ht="12.75" hidden="false" customHeight="true" outlineLevel="0" collapsed="false">
      <c r="A402" s="270"/>
      <c r="B402" s="270"/>
      <c r="C402" s="270"/>
      <c r="D402" s="270"/>
      <c r="E402" s="270"/>
      <c r="F402" s="270"/>
      <c r="G402" s="270"/>
      <c r="H402" s="270"/>
      <c r="I402" s="270"/>
      <c r="J402" s="270"/>
      <c r="K402" s="270"/>
      <c r="L402" s="270"/>
      <c r="M402" s="270"/>
      <c r="N402" s="277"/>
      <c r="O402" s="277"/>
      <c r="P402" s="277"/>
      <c r="Q402" s="277"/>
      <c r="R402" s="277"/>
      <c r="S402" s="277"/>
      <c r="T402" s="270"/>
      <c r="U402" s="278"/>
      <c r="V402" s="278"/>
      <c r="W402" s="410"/>
      <c r="X402" s="270"/>
      <c r="Y402" s="270"/>
      <c r="Z402" s="270"/>
    </row>
    <row r="403" customFormat="false" ht="12.75" hidden="false" customHeight="true" outlineLevel="0" collapsed="false">
      <c r="A403" s="270"/>
      <c r="B403" s="270"/>
      <c r="C403" s="270"/>
      <c r="D403" s="270"/>
      <c r="E403" s="270"/>
      <c r="F403" s="270"/>
      <c r="G403" s="270"/>
      <c r="H403" s="270"/>
      <c r="I403" s="270"/>
      <c r="J403" s="270"/>
      <c r="K403" s="270"/>
      <c r="L403" s="270"/>
      <c r="M403" s="270"/>
      <c r="N403" s="277"/>
      <c r="O403" s="277"/>
      <c r="P403" s="277"/>
      <c r="Q403" s="277"/>
      <c r="R403" s="277"/>
      <c r="S403" s="277"/>
      <c r="T403" s="270"/>
      <c r="U403" s="278"/>
      <c r="V403" s="278"/>
      <c r="W403" s="410"/>
      <c r="X403" s="270"/>
      <c r="Y403" s="270"/>
      <c r="Z403" s="270"/>
    </row>
    <row r="404" customFormat="false" ht="12.75" hidden="false" customHeight="true" outlineLevel="0" collapsed="false">
      <c r="A404" s="270"/>
      <c r="B404" s="270"/>
      <c r="C404" s="270"/>
      <c r="D404" s="270"/>
      <c r="E404" s="270"/>
      <c r="F404" s="270"/>
      <c r="G404" s="270"/>
      <c r="H404" s="270"/>
      <c r="I404" s="270"/>
      <c r="J404" s="270"/>
      <c r="K404" s="270"/>
      <c r="L404" s="270"/>
      <c r="M404" s="270"/>
      <c r="N404" s="277"/>
      <c r="O404" s="277"/>
      <c r="P404" s="277"/>
      <c r="Q404" s="277"/>
      <c r="R404" s="277"/>
      <c r="S404" s="277"/>
      <c r="T404" s="270"/>
      <c r="U404" s="278"/>
      <c r="V404" s="278"/>
      <c r="W404" s="410"/>
      <c r="X404" s="270"/>
      <c r="Y404" s="270"/>
      <c r="Z404" s="270"/>
    </row>
    <row r="405" customFormat="false" ht="12.75" hidden="false" customHeight="true" outlineLevel="0" collapsed="false">
      <c r="A405" s="270"/>
      <c r="B405" s="270"/>
      <c r="C405" s="270"/>
      <c r="D405" s="270"/>
      <c r="E405" s="270"/>
      <c r="F405" s="270"/>
      <c r="G405" s="270"/>
      <c r="H405" s="270"/>
      <c r="I405" s="270"/>
      <c r="J405" s="270"/>
      <c r="K405" s="270"/>
      <c r="L405" s="270"/>
      <c r="M405" s="270"/>
      <c r="N405" s="277"/>
      <c r="O405" s="277"/>
      <c r="P405" s="277"/>
      <c r="Q405" s="277"/>
      <c r="R405" s="277"/>
      <c r="S405" s="277"/>
      <c r="T405" s="270"/>
      <c r="U405" s="278"/>
      <c r="V405" s="278"/>
      <c r="W405" s="410"/>
      <c r="X405" s="270"/>
      <c r="Y405" s="270"/>
      <c r="Z405" s="270"/>
    </row>
    <row r="406" customFormat="false" ht="12.75" hidden="false" customHeight="true" outlineLevel="0" collapsed="false">
      <c r="A406" s="270"/>
      <c r="B406" s="270"/>
      <c r="C406" s="270"/>
      <c r="D406" s="270"/>
      <c r="E406" s="270"/>
      <c r="F406" s="270"/>
      <c r="G406" s="270"/>
      <c r="H406" s="270"/>
      <c r="I406" s="270"/>
      <c r="J406" s="270"/>
      <c r="K406" s="270"/>
      <c r="L406" s="270"/>
      <c r="M406" s="270"/>
      <c r="N406" s="277"/>
      <c r="O406" s="277"/>
      <c r="P406" s="277"/>
      <c r="Q406" s="277"/>
      <c r="R406" s="277"/>
      <c r="S406" s="277"/>
      <c r="T406" s="270"/>
      <c r="U406" s="278"/>
      <c r="V406" s="278"/>
      <c r="W406" s="410"/>
      <c r="X406" s="270"/>
      <c r="Y406" s="270"/>
      <c r="Z406" s="270"/>
    </row>
    <row r="407" customFormat="false" ht="12.75" hidden="false" customHeight="true" outlineLevel="0" collapsed="false">
      <c r="A407" s="270"/>
      <c r="B407" s="270"/>
      <c r="C407" s="270"/>
      <c r="D407" s="270"/>
      <c r="E407" s="270"/>
      <c r="F407" s="270"/>
      <c r="G407" s="270"/>
      <c r="H407" s="270"/>
      <c r="I407" s="270"/>
      <c r="J407" s="270"/>
      <c r="K407" s="270"/>
      <c r="L407" s="270"/>
      <c r="M407" s="270"/>
      <c r="N407" s="277"/>
      <c r="O407" s="277"/>
      <c r="P407" s="277"/>
      <c r="Q407" s="277"/>
      <c r="R407" s="277"/>
      <c r="S407" s="277"/>
      <c r="T407" s="270"/>
      <c r="U407" s="278"/>
      <c r="V407" s="278"/>
      <c r="W407" s="410"/>
      <c r="X407" s="270"/>
      <c r="Y407" s="270"/>
      <c r="Z407" s="270"/>
    </row>
    <row r="408" customFormat="false" ht="12.75" hidden="false" customHeight="true" outlineLevel="0" collapsed="false">
      <c r="A408" s="270"/>
      <c r="B408" s="270"/>
      <c r="C408" s="270"/>
      <c r="D408" s="270"/>
      <c r="E408" s="270"/>
      <c r="F408" s="270"/>
      <c r="G408" s="270"/>
      <c r="H408" s="270"/>
      <c r="I408" s="270"/>
      <c r="J408" s="270"/>
      <c r="K408" s="270"/>
      <c r="L408" s="270"/>
      <c r="M408" s="270"/>
      <c r="N408" s="277"/>
      <c r="O408" s="277"/>
      <c r="P408" s="277"/>
      <c r="Q408" s="277"/>
      <c r="R408" s="277"/>
      <c r="S408" s="277"/>
      <c r="T408" s="270"/>
      <c r="U408" s="278"/>
      <c r="V408" s="278"/>
      <c r="W408" s="410"/>
      <c r="X408" s="270"/>
      <c r="Y408" s="270"/>
      <c r="Z408" s="270"/>
    </row>
    <row r="409" customFormat="false" ht="12.75" hidden="false" customHeight="true" outlineLevel="0" collapsed="false">
      <c r="A409" s="270"/>
      <c r="B409" s="270"/>
      <c r="C409" s="270"/>
      <c r="D409" s="270"/>
      <c r="E409" s="270"/>
      <c r="F409" s="270"/>
      <c r="G409" s="270"/>
      <c r="H409" s="270"/>
      <c r="I409" s="270"/>
      <c r="J409" s="270"/>
      <c r="K409" s="270"/>
      <c r="L409" s="270"/>
      <c r="M409" s="270"/>
      <c r="N409" s="277"/>
      <c r="O409" s="277"/>
      <c r="P409" s="277"/>
      <c r="Q409" s="277"/>
      <c r="R409" s="277"/>
      <c r="S409" s="277"/>
      <c r="T409" s="270"/>
      <c r="U409" s="278"/>
      <c r="V409" s="278"/>
      <c r="W409" s="410"/>
      <c r="X409" s="270"/>
      <c r="Y409" s="270"/>
      <c r="Z409" s="270"/>
    </row>
    <row r="410" customFormat="false" ht="12.75" hidden="false" customHeight="true" outlineLevel="0" collapsed="false">
      <c r="A410" s="270"/>
      <c r="B410" s="270"/>
      <c r="C410" s="270"/>
      <c r="D410" s="270"/>
      <c r="E410" s="270"/>
      <c r="F410" s="270"/>
      <c r="G410" s="270"/>
      <c r="H410" s="270"/>
      <c r="I410" s="270"/>
      <c r="J410" s="270"/>
      <c r="K410" s="270"/>
      <c r="L410" s="270"/>
      <c r="M410" s="270"/>
      <c r="N410" s="277"/>
      <c r="O410" s="277"/>
      <c r="P410" s="277"/>
      <c r="Q410" s="277"/>
      <c r="R410" s="277"/>
      <c r="S410" s="277"/>
      <c r="T410" s="270"/>
      <c r="U410" s="278"/>
      <c r="V410" s="278"/>
      <c r="W410" s="410"/>
      <c r="X410" s="270"/>
      <c r="Y410" s="270"/>
      <c r="Z410" s="270"/>
    </row>
    <row r="411" customFormat="false" ht="12.75" hidden="false" customHeight="true" outlineLevel="0" collapsed="false">
      <c r="A411" s="270"/>
      <c r="B411" s="270"/>
      <c r="C411" s="270"/>
      <c r="D411" s="270"/>
      <c r="E411" s="270"/>
      <c r="F411" s="270"/>
      <c r="G411" s="270"/>
      <c r="H411" s="270"/>
      <c r="I411" s="270"/>
      <c r="J411" s="270"/>
      <c r="K411" s="270"/>
      <c r="L411" s="270"/>
      <c r="M411" s="270"/>
      <c r="N411" s="277"/>
      <c r="O411" s="277"/>
      <c r="P411" s="277"/>
      <c r="Q411" s="277"/>
      <c r="R411" s="277"/>
      <c r="S411" s="277"/>
      <c r="T411" s="270"/>
      <c r="U411" s="278"/>
      <c r="V411" s="278"/>
      <c r="W411" s="410"/>
      <c r="X411" s="270"/>
      <c r="Y411" s="270"/>
      <c r="Z411" s="270"/>
    </row>
    <row r="412" customFormat="false" ht="12.75" hidden="false" customHeight="true" outlineLevel="0" collapsed="false">
      <c r="A412" s="270"/>
      <c r="B412" s="270"/>
      <c r="C412" s="270"/>
      <c r="D412" s="270"/>
      <c r="E412" s="270"/>
      <c r="F412" s="270"/>
      <c r="G412" s="270"/>
      <c r="H412" s="270"/>
      <c r="I412" s="270"/>
      <c r="J412" s="270"/>
      <c r="K412" s="270"/>
      <c r="L412" s="270"/>
      <c r="M412" s="270"/>
      <c r="N412" s="277"/>
      <c r="O412" s="277"/>
      <c r="P412" s="277"/>
      <c r="Q412" s="277"/>
      <c r="R412" s="277"/>
      <c r="S412" s="277"/>
      <c r="T412" s="270"/>
      <c r="U412" s="278"/>
      <c r="V412" s="278"/>
      <c r="W412" s="410"/>
      <c r="X412" s="270"/>
      <c r="Y412" s="270"/>
      <c r="Z412" s="270"/>
    </row>
    <row r="413" customFormat="false" ht="12.75" hidden="false" customHeight="true" outlineLevel="0" collapsed="false">
      <c r="A413" s="270"/>
      <c r="B413" s="270"/>
      <c r="C413" s="270"/>
      <c r="D413" s="270"/>
      <c r="E413" s="270"/>
      <c r="F413" s="270"/>
      <c r="G413" s="270"/>
      <c r="H413" s="270"/>
      <c r="I413" s="270"/>
      <c r="J413" s="270"/>
      <c r="K413" s="270"/>
      <c r="L413" s="270"/>
      <c r="M413" s="270"/>
      <c r="N413" s="277"/>
      <c r="O413" s="277"/>
      <c r="P413" s="277"/>
      <c r="Q413" s="277"/>
      <c r="R413" s="277"/>
      <c r="S413" s="277"/>
      <c r="T413" s="270"/>
      <c r="U413" s="278"/>
      <c r="V413" s="278"/>
      <c r="W413" s="410"/>
      <c r="X413" s="270"/>
      <c r="Y413" s="270"/>
      <c r="Z413" s="270"/>
    </row>
    <row r="414" customFormat="false" ht="12.75" hidden="false" customHeight="true" outlineLevel="0" collapsed="false">
      <c r="A414" s="270"/>
      <c r="B414" s="270"/>
      <c r="C414" s="270"/>
      <c r="D414" s="270"/>
      <c r="E414" s="270"/>
      <c r="F414" s="270"/>
      <c r="G414" s="270"/>
      <c r="H414" s="270"/>
      <c r="I414" s="270"/>
      <c r="J414" s="270"/>
      <c r="K414" s="270"/>
      <c r="L414" s="270"/>
      <c r="M414" s="270"/>
      <c r="N414" s="277"/>
      <c r="O414" s="277"/>
      <c r="P414" s="277"/>
      <c r="Q414" s="277"/>
      <c r="R414" s="277"/>
      <c r="S414" s="277"/>
      <c r="T414" s="270"/>
      <c r="U414" s="278"/>
      <c r="V414" s="278"/>
      <c r="W414" s="410"/>
      <c r="X414" s="270"/>
      <c r="Y414" s="270"/>
      <c r="Z414" s="270"/>
    </row>
    <row r="415" customFormat="false" ht="12.75" hidden="false" customHeight="true" outlineLevel="0" collapsed="false">
      <c r="A415" s="270"/>
      <c r="B415" s="270"/>
      <c r="C415" s="270"/>
      <c r="D415" s="270"/>
      <c r="E415" s="270"/>
      <c r="F415" s="270"/>
      <c r="G415" s="270"/>
      <c r="H415" s="270"/>
      <c r="I415" s="270"/>
      <c r="J415" s="270"/>
      <c r="K415" s="270"/>
      <c r="L415" s="270"/>
      <c r="M415" s="270"/>
      <c r="N415" s="277"/>
      <c r="O415" s="277"/>
      <c r="P415" s="277"/>
      <c r="Q415" s="277"/>
      <c r="R415" s="277"/>
      <c r="S415" s="277"/>
      <c r="T415" s="270"/>
      <c r="U415" s="278"/>
      <c r="V415" s="278"/>
      <c r="W415" s="410"/>
      <c r="X415" s="270"/>
      <c r="Y415" s="270"/>
      <c r="Z415" s="270"/>
    </row>
    <row r="416" customFormat="false" ht="12.75" hidden="false" customHeight="true" outlineLevel="0" collapsed="false">
      <c r="A416" s="270"/>
      <c r="B416" s="270"/>
      <c r="C416" s="270"/>
      <c r="D416" s="270"/>
      <c r="E416" s="270"/>
      <c r="F416" s="270"/>
      <c r="G416" s="270"/>
      <c r="H416" s="270"/>
      <c r="I416" s="270"/>
      <c r="J416" s="270"/>
      <c r="K416" s="270"/>
      <c r="L416" s="270"/>
      <c r="M416" s="270"/>
      <c r="N416" s="277"/>
      <c r="O416" s="277"/>
      <c r="P416" s="277"/>
      <c r="Q416" s="277"/>
      <c r="R416" s="277"/>
      <c r="S416" s="277"/>
      <c r="T416" s="270"/>
      <c r="U416" s="278"/>
      <c r="V416" s="278"/>
      <c r="W416" s="410"/>
      <c r="X416" s="270"/>
      <c r="Y416" s="270"/>
      <c r="Z416" s="270"/>
    </row>
    <row r="417" customFormat="false" ht="12.75" hidden="false" customHeight="true" outlineLevel="0" collapsed="false">
      <c r="A417" s="270"/>
      <c r="B417" s="270"/>
      <c r="C417" s="270"/>
      <c r="D417" s="270"/>
      <c r="E417" s="270"/>
      <c r="F417" s="270"/>
      <c r="G417" s="270"/>
      <c r="H417" s="270"/>
      <c r="I417" s="270"/>
      <c r="J417" s="270"/>
      <c r="K417" s="270"/>
      <c r="L417" s="270"/>
      <c r="M417" s="270"/>
      <c r="N417" s="277"/>
      <c r="O417" s="277"/>
      <c r="P417" s="277"/>
      <c r="Q417" s="277"/>
      <c r="R417" s="277"/>
      <c r="S417" s="277"/>
      <c r="T417" s="270"/>
      <c r="U417" s="278"/>
      <c r="V417" s="278"/>
      <c r="W417" s="410"/>
      <c r="X417" s="270"/>
      <c r="Y417" s="270"/>
      <c r="Z417" s="270"/>
    </row>
    <row r="418" customFormat="false" ht="12.75" hidden="false" customHeight="true" outlineLevel="0" collapsed="false">
      <c r="A418" s="270"/>
      <c r="B418" s="270"/>
      <c r="C418" s="270"/>
      <c r="D418" s="270"/>
      <c r="E418" s="270"/>
      <c r="F418" s="270"/>
      <c r="G418" s="270"/>
      <c r="H418" s="270"/>
      <c r="I418" s="270"/>
      <c r="J418" s="270"/>
      <c r="K418" s="270"/>
      <c r="L418" s="270"/>
      <c r="M418" s="270"/>
      <c r="N418" s="277"/>
      <c r="O418" s="277"/>
      <c r="P418" s="277"/>
      <c r="Q418" s="277"/>
      <c r="R418" s="277"/>
      <c r="S418" s="277"/>
      <c r="T418" s="270"/>
      <c r="U418" s="278"/>
      <c r="V418" s="278"/>
      <c r="W418" s="410"/>
      <c r="X418" s="270"/>
      <c r="Y418" s="270"/>
      <c r="Z418" s="270"/>
    </row>
    <row r="419" customFormat="false" ht="12.75" hidden="false" customHeight="true" outlineLevel="0" collapsed="false">
      <c r="A419" s="270"/>
      <c r="B419" s="270"/>
      <c r="C419" s="270"/>
      <c r="D419" s="270"/>
      <c r="E419" s="270"/>
      <c r="F419" s="270"/>
      <c r="G419" s="270"/>
      <c r="H419" s="270"/>
      <c r="I419" s="270"/>
      <c r="J419" s="270"/>
      <c r="K419" s="270"/>
      <c r="L419" s="270"/>
      <c r="M419" s="270"/>
      <c r="N419" s="277"/>
      <c r="O419" s="277"/>
      <c r="P419" s="277"/>
      <c r="Q419" s="277"/>
      <c r="R419" s="277"/>
      <c r="S419" s="277"/>
      <c r="T419" s="270"/>
      <c r="U419" s="278"/>
      <c r="V419" s="278"/>
      <c r="W419" s="410"/>
      <c r="X419" s="270"/>
      <c r="Y419" s="270"/>
      <c r="Z419" s="270"/>
    </row>
    <row r="420" customFormat="false" ht="12.75" hidden="false" customHeight="true" outlineLevel="0" collapsed="false">
      <c r="A420" s="270"/>
      <c r="B420" s="270"/>
      <c r="C420" s="270"/>
      <c r="D420" s="270"/>
      <c r="E420" s="270"/>
      <c r="F420" s="270"/>
      <c r="G420" s="270"/>
      <c r="H420" s="270"/>
      <c r="I420" s="270"/>
      <c r="J420" s="270"/>
      <c r="K420" s="270"/>
      <c r="L420" s="270"/>
      <c r="M420" s="270"/>
      <c r="N420" s="277"/>
      <c r="O420" s="277"/>
      <c r="P420" s="277"/>
      <c r="Q420" s="277"/>
      <c r="R420" s="277"/>
      <c r="S420" s="277"/>
      <c r="T420" s="270"/>
      <c r="U420" s="278"/>
      <c r="V420" s="278"/>
      <c r="W420" s="410"/>
      <c r="X420" s="270"/>
      <c r="Y420" s="270"/>
      <c r="Z420" s="270"/>
    </row>
    <row r="421" customFormat="false" ht="12.75" hidden="false" customHeight="true" outlineLevel="0" collapsed="false">
      <c r="A421" s="270"/>
      <c r="B421" s="270"/>
      <c r="C421" s="270"/>
      <c r="D421" s="270"/>
      <c r="E421" s="270"/>
      <c r="F421" s="270"/>
      <c r="G421" s="270"/>
      <c r="H421" s="270"/>
      <c r="I421" s="270"/>
      <c r="J421" s="270"/>
      <c r="K421" s="270"/>
      <c r="L421" s="270"/>
      <c r="M421" s="270"/>
      <c r="N421" s="277"/>
      <c r="O421" s="277"/>
      <c r="P421" s="277"/>
      <c r="Q421" s="277"/>
      <c r="R421" s="277"/>
      <c r="S421" s="277"/>
      <c r="T421" s="270"/>
      <c r="U421" s="278"/>
      <c r="V421" s="278"/>
      <c r="W421" s="410"/>
      <c r="X421" s="270"/>
      <c r="Y421" s="270"/>
      <c r="Z421" s="270"/>
    </row>
    <row r="422" customFormat="false" ht="12.75" hidden="false" customHeight="true" outlineLevel="0" collapsed="false">
      <c r="A422" s="270"/>
      <c r="B422" s="270"/>
      <c r="C422" s="270"/>
      <c r="D422" s="270"/>
      <c r="E422" s="270"/>
      <c r="F422" s="270"/>
      <c r="G422" s="270"/>
      <c r="H422" s="270"/>
      <c r="I422" s="270"/>
      <c r="J422" s="270"/>
      <c r="K422" s="270"/>
      <c r="L422" s="270"/>
      <c r="M422" s="270"/>
      <c r="N422" s="277"/>
      <c r="O422" s="277"/>
      <c r="P422" s="277"/>
      <c r="Q422" s="277"/>
      <c r="R422" s="277"/>
      <c r="S422" s="277"/>
      <c r="T422" s="270"/>
      <c r="U422" s="278"/>
      <c r="V422" s="278"/>
      <c r="W422" s="410"/>
      <c r="X422" s="270"/>
      <c r="Y422" s="270"/>
      <c r="Z422" s="270"/>
    </row>
    <row r="423" customFormat="false" ht="12.75" hidden="false" customHeight="true" outlineLevel="0" collapsed="false">
      <c r="A423" s="270"/>
      <c r="B423" s="270"/>
      <c r="C423" s="270"/>
      <c r="D423" s="270"/>
      <c r="E423" s="270"/>
      <c r="F423" s="270"/>
      <c r="G423" s="270"/>
      <c r="H423" s="270"/>
      <c r="I423" s="270"/>
      <c r="J423" s="270"/>
      <c r="K423" s="270"/>
      <c r="L423" s="270"/>
      <c r="M423" s="270"/>
      <c r="N423" s="277"/>
      <c r="O423" s="277"/>
      <c r="P423" s="277"/>
      <c r="Q423" s="277"/>
      <c r="R423" s="277"/>
      <c r="S423" s="277"/>
      <c r="T423" s="270"/>
      <c r="U423" s="278"/>
      <c r="V423" s="278"/>
      <c r="W423" s="410"/>
      <c r="X423" s="270"/>
      <c r="Y423" s="270"/>
      <c r="Z423" s="270"/>
    </row>
    <row r="424" customFormat="false" ht="12.75" hidden="false" customHeight="true" outlineLevel="0" collapsed="false">
      <c r="A424" s="270"/>
      <c r="B424" s="270"/>
      <c r="C424" s="270"/>
      <c r="D424" s="270"/>
      <c r="E424" s="270"/>
      <c r="F424" s="270"/>
      <c r="G424" s="270"/>
      <c r="H424" s="270"/>
      <c r="I424" s="270"/>
      <c r="J424" s="270"/>
      <c r="K424" s="270"/>
      <c r="L424" s="270"/>
      <c r="M424" s="270"/>
      <c r="N424" s="277"/>
      <c r="O424" s="277"/>
      <c r="P424" s="277"/>
      <c r="Q424" s="277"/>
      <c r="R424" s="277"/>
      <c r="S424" s="277"/>
      <c r="T424" s="270"/>
      <c r="U424" s="278"/>
      <c r="V424" s="278"/>
      <c r="W424" s="410"/>
      <c r="X424" s="270"/>
      <c r="Y424" s="270"/>
      <c r="Z424" s="270"/>
    </row>
    <row r="425" customFormat="false" ht="12.75" hidden="false" customHeight="true" outlineLevel="0" collapsed="false">
      <c r="A425" s="270"/>
      <c r="B425" s="270"/>
      <c r="C425" s="270"/>
      <c r="D425" s="270"/>
      <c r="E425" s="270"/>
      <c r="F425" s="270"/>
      <c r="G425" s="270"/>
      <c r="H425" s="270"/>
      <c r="I425" s="270"/>
      <c r="J425" s="270"/>
      <c r="K425" s="270"/>
      <c r="L425" s="270"/>
      <c r="M425" s="270"/>
      <c r="N425" s="277"/>
      <c r="O425" s="277"/>
      <c r="P425" s="277"/>
      <c r="Q425" s="277"/>
      <c r="R425" s="277"/>
      <c r="S425" s="277"/>
      <c r="T425" s="270"/>
      <c r="U425" s="278"/>
      <c r="V425" s="278"/>
      <c r="W425" s="410"/>
      <c r="X425" s="270"/>
      <c r="Y425" s="270"/>
      <c r="Z425" s="270"/>
    </row>
    <row r="426" customFormat="false" ht="12.75" hidden="false" customHeight="true" outlineLevel="0" collapsed="false">
      <c r="A426" s="270"/>
      <c r="B426" s="270"/>
      <c r="C426" s="270"/>
      <c r="D426" s="270"/>
      <c r="E426" s="270"/>
      <c r="F426" s="270"/>
      <c r="G426" s="270"/>
      <c r="H426" s="270"/>
      <c r="I426" s="270"/>
      <c r="J426" s="270"/>
      <c r="K426" s="270"/>
      <c r="L426" s="270"/>
      <c r="M426" s="270"/>
      <c r="N426" s="277"/>
      <c r="O426" s="277"/>
      <c r="P426" s="277"/>
      <c r="Q426" s="277"/>
      <c r="R426" s="277"/>
      <c r="S426" s="277"/>
      <c r="T426" s="270"/>
      <c r="U426" s="278"/>
      <c r="V426" s="278"/>
      <c r="W426" s="410"/>
      <c r="X426" s="270"/>
      <c r="Y426" s="270"/>
      <c r="Z426" s="270"/>
    </row>
    <row r="427" customFormat="false" ht="12.75" hidden="false" customHeight="true" outlineLevel="0" collapsed="false">
      <c r="A427" s="270"/>
      <c r="B427" s="270"/>
      <c r="C427" s="270"/>
      <c r="D427" s="270"/>
      <c r="E427" s="270"/>
      <c r="F427" s="270"/>
      <c r="G427" s="270"/>
      <c r="H427" s="270"/>
      <c r="I427" s="270"/>
      <c r="J427" s="270"/>
      <c r="K427" s="270"/>
      <c r="L427" s="270"/>
      <c r="M427" s="270"/>
      <c r="N427" s="277"/>
      <c r="O427" s="277"/>
      <c r="P427" s="277"/>
      <c r="Q427" s="277"/>
      <c r="R427" s="277"/>
      <c r="S427" s="277"/>
      <c r="T427" s="270"/>
      <c r="U427" s="278"/>
      <c r="V427" s="278"/>
      <c r="W427" s="410"/>
      <c r="X427" s="270"/>
      <c r="Y427" s="270"/>
      <c r="Z427" s="270"/>
    </row>
    <row r="428" customFormat="false" ht="12.75" hidden="false" customHeight="true" outlineLevel="0" collapsed="false">
      <c r="A428" s="270"/>
      <c r="B428" s="270"/>
      <c r="C428" s="270"/>
      <c r="D428" s="270"/>
      <c r="E428" s="270"/>
      <c r="F428" s="270"/>
      <c r="G428" s="270"/>
      <c r="H428" s="270"/>
      <c r="I428" s="270"/>
      <c r="J428" s="270"/>
      <c r="K428" s="270"/>
      <c r="L428" s="270"/>
      <c r="M428" s="270"/>
      <c r="N428" s="277"/>
      <c r="O428" s="277"/>
      <c r="P428" s="277"/>
      <c r="Q428" s="277"/>
      <c r="R428" s="277"/>
      <c r="S428" s="277"/>
      <c r="T428" s="270"/>
      <c r="U428" s="278"/>
      <c r="V428" s="278"/>
      <c r="W428" s="410"/>
      <c r="X428" s="270"/>
      <c r="Y428" s="270"/>
      <c r="Z428" s="270"/>
    </row>
    <row r="429" customFormat="false" ht="12.75" hidden="false" customHeight="true" outlineLevel="0" collapsed="false">
      <c r="A429" s="270"/>
      <c r="B429" s="270"/>
      <c r="C429" s="270"/>
      <c r="D429" s="270"/>
      <c r="E429" s="270"/>
      <c r="F429" s="270"/>
      <c r="G429" s="270"/>
      <c r="H429" s="270"/>
      <c r="I429" s="270"/>
      <c r="J429" s="270"/>
      <c r="K429" s="270"/>
      <c r="L429" s="270"/>
      <c r="M429" s="270"/>
      <c r="N429" s="277"/>
      <c r="O429" s="277"/>
      <c r="P429" s="277"/>
      <c r="Q429" s="277"/>
      <c r="R429" s="277"/>
      <c r="S429" s="277"/>
      <c r="T429" s="270"/>
      <c r="U429" s="278"/>
      <c r="V429" s="278"/>
      <c r="W429" s="410"/>
      <c r="X429" s="270"/>
      <c r="Y429" s="270"/>
      <c r="Z429" s="270"/>
    </row>
    <row r="430" customFormat="false" ht="12.75" hidden="false" customHeight="true" outlineLevel="0" collapsed="false">
      <c r="A430" s="270"/>
      <c r="B430" s="270"/>
      <c r="C430" s="270"/>
      <c r="D430" s="270"/>
      <c r="E430" s="270"/>
      <c r="F430" s="270"/>
      <c r="G430" s="270"/>
      <c r="H430" s="270"/>
      <c r="I430" s="270"/>
      <c r="J430" s="270"/>
      <c r="K430" s="270"/>
      <c r="L430" s="270"/>
      <c r="M430" s="270"/>
      <c r="N430" s="277"/>
      <c r="O430" s="277"/>
      <c r="P430" s="277"/>
      <c r="Q430" s="277"/>
      <c r="R430" s="277"/>
      <c r="S430" s="277"/>
      <c r="T430" s="270"/>
      <c r="U430" s="278"/>
      <c r="V430" s="278"/>
      <c r="W430" s="410"/>
      <c r="X430" s="270"/>
      <c r="Y430" s="270"/>
      <c r="Z430" s="270"/>
    </row>
    <row r="431" customFormat="false" ht="12.75" hidden="false" customHeight="true" outlineLevel="0" collapsed="false">
      <c r="A431" s="270"/>
      <c r="B431" s="270"/>
      <c r="C431" s="270"/>
      <c r="D431" s="270"/>
      <c r="E431" s="270"/>
      <c r="F431" s="270"/>
      <c r="G431" s="270"/>
      <c r="H431" s="270"/>
      <c r="I431" s="270"/>
      <c r="J431" s="270"/>
      <c r="K431" s="270"/>
      <c r="L431" s="270"/>
      <c r="M431" s="270"/>
      <c r="N431" s="277"/>
      <c r="O431" s="277"/>
      <c r="P431" s="277"/>
      <c r="Q431" s="277"/>
      <c r="R431" s="277"/>
      <c r="S431" s="277"/>
      <c r="T431" s="270"/>
      <c r="U431" s="278"/>
      <c r="V431" s="278"/>
      <c r="W431" s="410"/>
      <c r="X431" s="270"/>
      <c r="Y431" s="270"/>
      <c r="Z431" s="270"/>
    </row>
    <row r="432" customFormat="false" ht="12.75" hidden="false" customHeight="true" outlineLevel="0" collapsed="false">
      <c r="A432" s="270"/>
      <c r="B432" s="270"/>
      <c r="C432" s="270"/>
      <c r="D432" s="270"/>
      <c r="E432" s="270"/>
      <c r="F432" s="270"/>
      <c r="G432" s="270"/>
      <c r="H432" s="270"/>
      <c r="I432" s="270"/>
      <c r="J432" s="270"/>
      <c r="K432" s="270"/>
      <c r="L432" s="270"/>
      <c r="M432" s="270"/>
      <c r="N432" s="277"/>
      <c r="O432" s="277"/>
      <c r="P432" s="277"/>
      <c r="Q432" s="277"/>
      <c r="R432" s="277"/>
      <c r="S432" s="277"/>
      <c r="T432" s="270"/>
      <c r="U432" s="278"/>
      <c r="V432" s="278"/>
      <c r="W432" s="410"/>
      <c r="X432" s="270"/>
      <c r="Y432" s="270"/>
      <c r="Z432" s="270"/>
    </row>
    <row r="433" customFormat="false" ht="12.75" hidden="false" customHeight="true" outlineLevel="0" collapsed="false">
      <c r="A433" s="270"/>
      <c r="B433" s="270"/>
      <c r="C433" s="270"/>
      <c r="D433" s="270"/>
      <c r="E433" s="270"/>
      <c r="F433" s="270"/>
      <c r="G433" s="270"/>
      <c r="H433" s="270"/>
      <c r="I433" s="270"/>
      <c r="J433" s="270"/>
      <c r="K433" s="270"/>
      <c r="L433" s="270"/>
      <c r="M433" s="270"/>
      <c r="N433" s="277"/>
      <c r="O433" s="277"/>
      <c r="P433" s="277"/>
      <c r="Q433" s="277"/>
      <c r="R433" s="277"/>
      <c r="S433" s="277"/>
      <c r="T433" s="270"/>
      <c r="U433" s="278"/>
      <c r="V433" s="278"/>
      <c r="W433" s="410"/>
      <c r="X433" s="270"/>
      <c r="Y433" s="270"/>
      <c r="Z433" s="270"/>
    </row>
    <row r="434" customFormat="false" ht="12.75" hidden="false" customHeight="true" outlineLevel="0" collapsed="false">
      <c r="A434" s="270"/>
      <c r="B434" s="270"/>
      <c r="C434" s="270"/>
      <c r="D434" s="270"/>
      <c r="E434" s="270"/>
      <c r="F434" s="270"/>
      <c r="G434" s="270"/>
      <c r="H434" s="270"/>
      <c r="I434" s="270"/>
      <c r="J434" s="270"/>
      <c r="K434" s="270"/>
      <c r="L434" s="270"/>
      <c r="M434" s="270"/>
      <c r="N434" s="277"/>
      <c r="O434" s="277"/>
      <c r="P434" s="277"/>
      <c r="Q434" s="277"/>
      <c r="R434" s="277"/>
      <c r="S434" s="277"/>
      <c r="T434" s="270"/>
      <c r="U434" s="278"/>
      <c r="V434" s="278"/>
      <c r="W434" s="410"/>
      <c r="X434" s="270"/>
      <c r="Y434" s="270"/>
      <c r="Z434" s="270"/>
    </row>
    <row r="435" customFormat="false" ht="12.75" hidden="false" customHeight="true" outlineLevel="0" collapsed="false">
      <c r="A435" s="270"/>
      <c r="B435" s="270"/>
      <c r="C435" s="270"/>
      <c r="D435" s="270"/>
      <c r="E435" s="270"/>
      <c r="F435" s="270"/>
      <c r="G435" s="270"/>
      <c r="H435" s="270"/>
      <c r="I435" s="270"/>
      <c r="J435" s="270"/>
      <c r="K435" s="270"/>
      <c r="L435" s="270"/>
      <c r="M435" s="270"/>
      <c r="N435" s="277"/>
      <c r="O435" s="277"/>
      <c r="P435" s="277"/>
      <c r="Q435" s="277"/>
      <c r="R435" s="277"/>
      <c r="S435" s="277"/>
      <c r="T435" s="270"/>
      <c r="U435" s="278"/>
      <c r="V435" s="278"/>
      <c r="W435" s="410"/>
      <c r="X435" s="270"/>
      <c r="Y435" s="270"/>
      <c r="Z435" s="270"/>
    </row>
    <row r="436" customFormat="false" ht="12.75" hidden="false" customHeight="true" outlineLevel="0" collapsed="false">
      <c r="A436" s="270"/>
      <c r="B436" s="270"/>
      <c r="C436" s="270"/>
      <c r="D436" s="270"/>
      <c r="E436" s="270"/>
      <c r="F436" s="270"/>
      <c r="G436" s="270"/>
      <c r="H436" s="270"/>
      <c r="I436" s="270"/>
      <c r="J436" s="270"/>
      <c r="K436" s="270"/>
      <c r="L436" s="270"/>
      <c r="M436" s="270"/>
      <c r="N436" s="277"/>
      <c r="O436" s="277"/>
      <c r="P436" s="277"/>
      <c r="Q436" s="277"/>
      <c r="R436" s="277"/>
      <c r="S436" s="277"/>
      <c r="T436" s="270"/>
      <c r="U436" s="278"/>
      <c r="V436" s="278"/>
      <c r="W436" s="410"/>
      <c r="X436" s="270"/>
      <c r="Y436" s="270"/>
      <c r="Z436" s="270"/>
    </row>
    <row r="437" customFormat="false" ht="12.75" hidden="false" customHeight="true" outlineLevel="0" collapsed="false">
      <c r="A437" s="270"/>
      <c r="B437" s="270"/>
      <c r="C437" s="270"/>
      <c r="D437" s="270"/>
      <c r="E437" s="270"/>
      <c r="F437" s="270"/>
      <c r="G437" s="270"/>
      <c r="H437" s="270"/>
      <c r="I437" s="270"/>
      <c r="J437" s="270"/>
      <c r="K437" s="270"/>
      <c r="L437" s="270"/>
      <c r="M437" s="270"/>
      <c r="N437" s="277"/>
      <c r="O437" s="277"/>
      <c r="P437" s="277"/>
      <c r="Q437" s="277"/>
      <c r="R437" s="277"/>
      <c r="S437" s="277"/>
      <c r="T437" s="270"/>
      <c r="U437" s="278"/>
      <c r="V437" s="278"/>
      <c r="W437" s="410"/>
      <c r="X437" s="270"/>
      <c r="Y437" s="270"/>
      <c r="Z437" s="270"/>
    </row>
    <row r="438" customFormat="false" ht="12.75" hidden="false" customHeight="true" outlineLevel="0" collapsed="false">
      <c r="A438" s="270"/>
      <c r="B438" s="270"/>
      <c r="C438" s="270"/>
      <c r="D438" s="270"/>
      <c r="E438" s="270"/>
      <c r="F438" s="270"/>
      <c r="G438" s="270"/>
      <c r="H438" s="270"/>
      <c r="I438" s="270"/>
      <c r="J438" s="270"/>
      <c r="K438" s="270"/>
      <c r="L438" s="270"/>
      <c r="M438" s="270"/>
      <c r="N438" s="277"/>
      <c r="O438" s="277"/>
      <c r="P438" s="277"/>
      <c r="Q438" s="277"/>
      <c r="R438" s="277"/>
      <c r="S438" s="277"/>
      <c r="T438" s="270"/>
      <c r="U438" s="278"/>
      <c r="V438" s="278"/>
      <c r="W438" s="410"/>
      <c r="X438" s="270"/>
      <c r="Y438" s="270"/>
      <c r="Z438" s="270"/>
    </row>
    <row r="439" customFormat="false" ht="12.75" hidden="false" customHeight="true" outlineLevel="0" collapsed="false">
      <c r="A439" s="270"/>
      <c r="B439" s="270"/>
      <c r="C439" s="270"/>
      <c r="D439" s="270"/>
      <c r="E439" s="270"/>
      <c r="F439" s="270"/>
      <c r="G439" s="270"/>
      <c r="H439" s="270"/>
      <c r="I439" s="270"/>
      <c r="J439" s="270"/>
      <c r="K439" s="270"/>
      <c r="L439" s="270"/>
      <c r="M439" s="270"/>
      <c r="N439" s="277"/>
      <c r="O439" s="277"/>
      <c r="P439" s="277"/>
      <c r="Q439" s="277"/>
      <c r="R439" s="277"/>
      <c r="S439" s="277"/>
      <c r="T439" s="270"/>
      <c r="U439" s="278"/>
      <c r="V439" s="278"/>
      <c r="W439" s="410"/>
      <c r="X439" s="270"/>
      <c r="Y439" s="270"/>
      <c r="Z439" s="270"/>
    </row>
    <row r="440" customFormat="false" ht="12.75" hidden="false" customHeight="true" outlineLevel="0" collapsed="false">
      <c r="A440" s="270"/>
      <c r="B440" s="270"/>
      <c r="C440" s="270"/>
      <c r="D440" s="270"/>
      <c r="E440" s="270"/>
      <c r="F440" s="270"/>
      <c r="G440" s="270"/>
      <c r="H440" s="270"/>
      <c r="I440" s="270"/>
      <c r="J440" s="270"/>
      <c r="K440" s="270"/>
      <c r="L440" s="270"/>
      <c r="M440" s="270"/>
      <c r="N440" s="277"/>
      <c r="O440" s="277"/>
      <c r="P440" s="277"/>
      <c r="Q440" s="277"/>
      <c r="R440" s="277"/>
      <c r="S440" s="277"/>
      <c r="T440" s="270"/>
      <c r="U440" s="278"/>
      <c r="V440" s="278"/>
      <c r="W440" s="410"/>
      <c r="X440" s="270"/>
      <c r="Y440" s="270"/>
      <c r="Z440" s="270"/>
    </row>
    <row r="441" customFormat="false" ht="12.75" hidden="false" customHeight="true" outlineLevel="0" collapsed="false">
      <c r="A441" s="270"/>
      <c r="B441" s="270"/>
      <c r="C441" s="270"/>
      <c r="D441" s="270"/>
      <c r="E441" s="270"/>
      <c r="F441" s="270"/>
      <c r="G441" s="270"/>
      <c r="H441" s="270"/>
      <c r="I441" s="270"/>
      <c r="J441" s="270"/>
      <c r="K441" s="270"/>
      <c r="L441" s="270"/>
      <c r="M441" s="270"/>
      <c r="N441" s="277"/>
      <c r="O441" s="277"/>
      <c r="P441" s="277"/>
      <c r="Q441" s="277"/>
      <c r="R441" s="277"/>
      <c r="S441" s="277"/>
      <c r="T441" s="270"/>
      <c r="U441" s="278"/>
      <c r="V441" s="278"/>
      <c r="W441" s="410"/>
      <c r="X441" s="270"/>
      <c r="Y441" s="270"/>
      <c r="Z441" s="270"/>
    </row>
    <row r="442" customFormat="false" ht="12.75" hidden="false" customHeight="true" outlineLevel="0" collapsed="false">
      <c r="A442" s="270"/>
      <c r="B442" s="270"/>
      <c r="C442" s="270"/>
      <c r="D442" s="270"/>
      <c r="E442" s="270"/>
      <c r="F442" s="270"/>
      <c r="G442" s="270"/>
      <c r="H442" s="270"/>
      <c r="I442" s="270"/>
      <c r="J442" s="270"/>
      <c r="K442" s="270"/>
      <c r="L442" s="270"/>
      <c r="M442" s="270"/>
      <c r="N442" s="277"/>
      <c r="O442" s="277"/>
      <c r="P442" s="277"/>
      <c r="Q442" s="277"/>
      <c r="R442" s="277"/>
      <c r="S442" s="277"/>
      <c r="T442" s="270"/>
      <c r="U442" s="278"/>
      <c r="V442" s="278"/>
      <c r="W442" s="410"/>
      <c r="X442" s="270"/>
      <c r="Y442" s="270"/>
      <c r="Z442" s="270"/>
    </row>
    <row r="443" customFormat="false" ht="12.75" hidden="false" customHeight="true" outlineLevel="0" collapsed="false">
      <c r="A443" s="270"/>
      <c r="B443" s="270"/>
      <c r="C443" s="270"/>
      <c r="D443" s="270"/>
      <c r="E443" s="270"/>
      <c r="F443" s="270"/>
      <c r="G443" s="270"/>
      <c r="H443" s="270"/>
      <c r="I443" s="270"/>
      <c r="J443" s="270"/>
      <c r="K443" s="270"/>
      <c r="L443" s="270"/>
      <c r="M443" s="270"/>
      <c r="N443" s="277"/>
      <c r="O443" s="277"/>
      <c r="P443" s="277"/>
      <c r="Q443" s="277"/>
      <c r="R443" s="277"/>
      <c r="S443" s="277"/>
      <c r="T443" s="270"/>
      <c r="U443" s="278"/>
      <c r="V443" s="278"/>
      <c r="W443" s="410"/>
      <c r="X443" s="270"/>
      <c r="Y443" s="270"/>
      <c r="Z443" s="270"/>
    </row>
    <row r="444" customFormat="false" ht="12.75" hidden="false" customHeight="true" outlineLevel="0" collapsed="false">
      <c r="A444" s="270"/>
      <c r="B444" s="270"/>
      <c r="C444" s="270"/>
      <c r="D444" s="270"/>
      <c r="E444" s="270"/>
      <c r="F444" s="270"/>
      <c r="G444" s="270"/>
      <c r="H444" s="270"/>
      <c r="I444" s="270"/>
      <c r="J444" s="270"/>
      <c r="K444" s="270"/>
      <c r="L444" s="270"/>
      <c r="M444" s="270"/>
      <c r="N444" s="277"/>
      <c r="O444" s="277"/>
      <c r="P444" s="277"/>
      <c r="Q444" s="277"/>
      <c r="R444" s="277"/>
      <c r="S444" s="277"/>
      <c r="T444" s="270"/>
      <c r="U444" s="278"/>
      <c r="V444" s="278"/>
      <c r="W444" s="410"/>
      <c r="X444" s="270"/>
      <c r="Y444" s="270"/>
      <c r="Z444" s="270"/>
    </row>
    <row r="445" customFormat="false" ht="12.75" hidden="false" customHeight="true" outlineLevel="0" collapsed="false">
      <c r="A445" s="270"/>
      <c r="B445" s="270"/>
      <c r="C445" s="270"/>
      <c r="D445" s="270"/>
      <c r="E445" s="270"/>
      <c r="F445" s="270"/>
      <c r="G445" s="270"/>
      <c r="H445" s="270"/>
      <c r="I445" s="270"/>
      <c r="J445" s="270"/>
      <c r="K445" s="270"/>
      <c r="L445" s="270"/>
      <c r="M445" s="270"/>
      <c r="N445" s="277"/>
      <c r="O445" s="277"/>
      <c r="P445" s="277"/>
      <c r="Q445" s="277"/>
      <c r="R445" s="277"/>
      <c r="S445" s="277"/>
      <c r="T445" s="270"/>
      <c r="U445" s="278"/>
      <c r="V445" s="278"/>
      <c r="W445" s="410"/>
      <c r="X445" s="270"/>
      <c r="Y445" s="270"/>
      <c r="Z445" s="270"/>
    </row>
    <row r="446" customFormat="false" ht="12.75" hidden="false" customHeight="true" outlineLevel="0" collapsed="false">
      <c r="A446" s="270"/>
      <c r="B446" s="270"/>
      <c r="C446" s="270"/>
      <c r="D446" s="270"/>
      <c r="E446" s="270"/>
      <c r="F446" s="270"/>
      <c r="G446" s="270"/>
      <c r="H446" s="270"/>
      <c r="I446" s="270"/>
      <c r="J446" s="270"/>
      <c r="K446" s="270"/>
      <c r="L446" s="270"/>
      <c r="M446" s="270"/>
      <c r="N446" s="277"/>
      <c r="O446" s="277"/>
      <c r="P446" s="277"/>
      <c r="Q446" s="277"/>
      <c r="R446" s="277"/>
      <c r="S446" s="277"/>
      <c r="T446" s="270"/>
      <c r="U446" s="278"/>
      <c r="V446" s="278"/>
      <c r="W446" s="410"/>
      <c r="X446" s="270"/>
      <c r="Y446" s="270"/>
      <c r="Z446" s="270"/>
    </row>
    <row r="447" customFormat="false" ht="12.75" hidden="false" customHeight="true" outlineLevel="0" collapsed="false">
      <c r="A447" s="270"/>
      <c r="B447" s="270"/>
      <c r="C447" s="270"/>
      <c r="D447" s="270"/>
      <c r="E447" s="270"/>
      <c r="F447" s="270"/>
      <c r="G447" s="270"/>
      <c r="H447" s="270"/>
      <c r="I447" s="270"/>
      <c r="J447" s="270"/>
      <c r="K447" s="270"/>
      <c r="L447" s="270"/>
      <c r="M447" s="270"/>
      <c r="N447" s="277"/>
      <c r="O447" s="277"/>
      <c r="P447" s="277"/>
      <c r="Q447" s="277"/>
      <c r="R447" s="277"/>
      <c r="S447" s="277"/>
      <c r="T447" s="270"/>
      <c r="U447" s="278"/>
      <c r="V447" s="278"/>
      <c r="W447" s="410"/>
      <c r="X447" s="270"/>
      <c r="Y447" s="270"/>
      <c r="Z447" s="270"/>
    </row>
    <row r="448" customFormat="false" ht="12.75" hidden="false" customHeight="true" outlineLevel="0" collapsed="false">
      <c r="A448" s="270"/>
      <c r="B448" s="270"/>
      <c r="C448" s="270"/>
      <c r="D448" s="270"/>
      <c r="E448" s="270"/>
      <c r="F448" s="270"/>
      <c r="G448" s="270"/>
      <c r="H448" s="270"/>
      <c r="I448" s="270"/>
      <c r="J448" s="270"/>
      <c r="K448" s="270"/>
      <c r="L448" s="270"/>
      <c r="M448" s="270"/>
      <c r="N448" s="277"/>
      <c r="O448" s="277"/>
      <c r="P448" s="277"/>
      <c r="Q448" s="277"/>
      <c r="R448" s="277"/>
      <c r="S448" s="277"/>
      <c r="T448" s="270"/>
      <c r="U448" s="278"/>
      <c r="V448" s="278"/>
      <c r="W448" s="410"/>
      <c r="X448" s="270"/>
      <c r="Y448" s="270"/>
      <c r="Z448" s="270"/>
    </row>
    <row r="449" customFormat="false" ht="12.75" hidden="false" customHeight="true" outlineLevel="0" collapsed="false">
      <c r="A449" s="270"/>
      <c r="B449" s="270"/>
      <c r="C449" s="270"/>
      <c r="D449" s="270"/>
      <c r="E449" s="270"/>
      <c r="F449" s="270"/>
      <c r="G449" s="270"/>
      <c r="H449" s="270"/>
      <c r="I449" s="270"/>
      <c r="J449" s="270"/>
      <c r="K449" s="270"/>
      <c r="L449" s="270"/>
      <c r="M449" s="270"/>
      <c r="N449" s="277"/>
      <c r="O449" s="277"/>
      <c r="P449" s="277"/>
      <c r="Q449" s="277"/>
      <c r="R449" s="277"/>
      <c r="S449" s="277"/>
      <c r="T449" s="270"/>
      <c r="U449" s="278"/>
      <c r="V449" s="278"/>
      <c r="W449" s="410"/>
      <c r="X449" s="270"/>
      <c r="Y449" s="270"/>
      <c r="Z449" s="270"/>
    </row>
    <row r="450" customFormat="false" ht="12.75" hidden="false" customHeight="true" outlineLevel="0" collapsed="false">
      <c r="A450" s="270"/>
      <c r="B450" s="270"/>
      <c r="C450" s="270"/>
      <c r="D450" s="270"/>
      <c r="E450" s="270"/>
      <c r="F450" s="270"/>
      <c r="G450" s="270"/>
      <c r="H450" s="270"/>
      <c r="I450" s="270"/>
      <c r="J450" s="270"/>
      <c r="K450" s="270"/>
      <c r="L450" s="270"/>
      <c r="M450" s="270"/>
      <c r="N450" s="277"/>
      <c r="O450" s="277"/>
      <c r="P450" s="277"/>
      <c r="Q450" s="277"/>
      <c r="R450" s="277"/>
      <c r="S450" s="277"/>
      <c r="T450" s="270"/>
      <c r="U450" s="278"/>
      <c r="V450" s="278"/>
      <c r="W450" s="410"/>
      <c r="X450" s="270"/>
      <c r="Y450" s="270"/>
      <c r="Z450" s="270"/>
    </row>
    <row r="451" customFormat="false" ht="12.75" hidden="false" customHeight="true" outlineLevel="0" collapsed="false">
      <c r="A451" s="270"/>
      <c r="B451" s="270"/>
      <c r="C451" s="270"/>
      <c r="D451" s="270"/>
      <c r="E451" s="270"/>
      <c r="F451" s="270"/>
      <c r="G451" s="270"/>
      <c r="H451" s="270"/>
      <c r="I451" s="270"/>
      <c r="J451" s="270"/>
      <c r="K451" s="270"/>
      <c r="L451" s="270"/>
      <c r="M451" s="270"/>
      <c r="N451" s="277"/>
      <c r="O451" s="277"/>
      <c r="P451" s="277"/>
      <c r="Q451" s="277"/>
      <c r="R451" s="277"/>
      <c r="S451" s="277"/>
      <c r="T451" s="270"/>
      <c r="U451" s="278"/>
      <c r="V451" s="278"/>
      <c r="W451" s="410"/>
      <c r="X451" s="270"/>
      <c r="Y451" s="270"/>
      <c r="Z451" s="270"/>
    </row>
    <row r="452" customFormat="false" ht="12.75" hidden="false" customHeight="true" outlineLevel="0" collapsed="false">
      <c r="A452" s="270"/>
      <c r="B452" s="270"/>
      <c r="C452" s="270"/>
      <c r="D452" s="270"/>
      <c r="E452" s="270"/>
      <c r="F452" s="270"/>
      <c r="G452" s="270"/>
      <c r="H452" s="270"/>
      <c r="I452" s="270"/>
      <c r="J452" s="270"/>
      <c r="K452" s="270"/>
      <c r="L452" s="270"/>
      <c r="M452" s="270"/>
      <c r="N452" s="277"/>
      <c r="O452" s="277"/>
      <c r="P452" s="277"/>
      <c r="Q452" s="277"/>
      <c r="R452" s="277"/>
      <c r="S452" s="277"/>
      <c r="T452" s="270"/>
      <c r="U452" s="278"/>
      <c r="V452" s="278"/>
      <c r="W452" s="410"/>
      <c r="X452" s="270"/>
      <c r="Y452" s="270"/>
      <c r="Z452" s="270"/>
    </row>
    <row r="453" customFormat="false" ht="12.75" hidden="false" customHeight="true" outlineLevel="0" collapsed="false">
      <c r="A453" s="270"/>
      <c r="B453" s="270"/>
      <c r="C453" s="270"/>
      <c r="D453" s="270"/>
      <c r="E453" s="270"/>
      <c r="F453" s="270"/>
      <c r="G453" s="270"/>
      <c r="H453" s="270"/>
      <c r="I453" s="270"/>
      <c r="J453" s="270"/>
      <c r="K453" s="270"/>
      <c r="L453" s="270"/>
      <c r="M453" s="270"/>
      <c r="N453" s="277"/>
      <c r="O453" s="277"/>
      <c r="P453" s="277"/>
      <c r="Q453" s="277"/>
      <c r="R453" s="277"/>
      <c r="S453" s="277"/>
      <c r="T453" s="270"/>
      <c r="U453" s="278"/>
      <c r="V453" s="278"/>
      <c r="W453" s="410"/>
      <c r="X453" s="270"/>
      <c r="Y453" s="270"/>
      <c r="Z453" s="270"/>
    </row>
    <row r="454" customFormat="false" ht="12.75" hidden="false" customHeight="true" outlineLevel="0" collapsed="false">
      <c r="A454" s="270"/>
      <c r="B454" s="270"/>
      <c r="C454" s="270"/>
      <c r="D454" s="270"/>
      <c r="E454" s="270"/>
      <c r="F454" s="270"/>
      <c r="G454" s="270"/>
      <c r="H454" s="270"/>
      <c r="I454" s="270"/>
      <c r="J454" s="270"/>
      <c r="K454" s="270"/>
      <c r="L454" s="270"/>
      <c r="M454" s="270"/>
      <c r="N454" s="277"/>
      <c r="O454" s="277"/>
      <c r="P454" s="277"/>
      <c r="Q454" s="277"/>
      <c r="R454" s="277"/>
      <c r="S454" s="277"/>
      <c r="T454" s="270"/>
      <c r="U454" s="278"/>
      <c r="V454" s="278"/>
      <c r="W454" s="410"/>
      <c r="X454" s="270"/>
      <c r="Y454" s="270"/>
      <c r="Z454" s="270"/>
    </row>
    <row r="455" customFormat="false" ht="12.75" hidden="false" customHeight="true" outlineLevel="0" collapsed="false">
      <c r="A455" s="270"/>
      <c r="B455" s="270"/>
      <c r="C455" s="270"/>
      <c r="D455" s="270"/>
      <c r="E455" s="270"/>
      <c r="F455" s="270"/>
      <c r="G455" s="270"/>
      <c r="H455" s="270"/>
      <c r="I455" s="270"/>
      <c r="J455" s="270"/>
      <c r="K455" s="270"/>
      <c r="L455" s="270"/>
      <c r="M455" s="270"/>
      <c r="N455" s="277"/>
      <c r="O455" s="277"/>
      <c r="P455" s="277"/>
      <c r="Q455" s="277"/>
      <c r="R455" s="277"/>
      <c r="S455" s="277"/>
      <c r="T455" s="270"/>
      <c r="U455" s="278"/>
      <c r="V455" s="278"/>
      <c r="W455" s="410"/>
      <c r="X455" s="270"/>
      <c r="Y455" s="270"/>
      <c r="Z455" s="270"/>
    </row>
    <row r="456" customFormat="false" ht="12.75" hidden="false" customHeight="true" outlineLevel="0" collapsed="false">
      <c r="A456" s="270"/>
      <c r="B456" s="270"/>
      <c r="C456" s="270"/>
      <c r="D456" s="270"/>
      <c r="E456" s="270"/>
      <c r="F456" s="270"/>
      <c r="G456" s="270"/>
      <c r="H456" s="270"/>
      <c r="I456" s="270"/>
      <c r="J456" s="270"/>
      <c r="K456" s="270"/>
      <c r="L456" s="270"/>
      <c r="M456" s="270"/>
      <c r="N456" s="277"/>
      <c r="O456" s="277"/>
      <c r="P456" s="277"/>
      <c r="Q456" s="277"/>
      <c r="R456" s="277"/>
      <c r="S456" s="277"/>
      <c r="T456" s="270"/>
      <c r="U456" s="278"/>
      <c r="V456" s="278"/>
      <c r="W456" s="410"/>
      <c r="X456" s="270"/>
      <c r="Y456" s="270"/>
      <c r="Z456" s="270"/>
    </row>
    <row r="457" customFormat="false" ht="12.75" hidden="false" customHeight="true" outlineLevel="0" collapsed="false">
      <c r="A457" s="270"/>
      <c r="B457" s="270"/>
      <c r="C457" s="270"/>
      <c r="D457" s="270"/>
      <c r="E457" s="270"/>
      <c r="F457" s="270"/>
      <c r="G457" s="270"/>
      <c r="H457" s="270"/>
      <c r="I457" s="270"/>
      <c r="J457" s="270"/>
      <c r="K457" s="270"/>
      <c r="L457" s="270"/>
      <c r="M457" s="270"/>
      <c r="N457" s="277"/>
      <c r="O457" s="277"/>
      <c r="P457" s="277"/>
      <c r="Q457" s="277"/>
      <c r="R457" s="277"/>
      <c r="S457" s="277"/>
      <c r="T457" s="270"/>
      <c r="U457" s="278"/>
      <c r="V457" s="278"/>
      <c r="W457" s="410"/>
      <c r="X457" s="270"/>
      <c r="Y457" s="270"/>
      <c r="Z457" s="270"/>
    </row>
    <row r="458" customFormat="false" ht="12.75" hidden="false" customHeight="true" outlineLevel="0" collapsed="false">
      <c r="A458" s="270"/>
      <c r="B458" s="270"/>
      <c r="C458" s="270"/>
      <c r="D458" s="270"/>
      <c r="E458" s="270"/>
      <c r="F458" s="270"/>
      <c r="G458" s="270"/>
      <c r="H458" s="270"/>
      <c r="I458" s="270"/>
      <c r="J458" s="270"/>
      <c r="K458" s="270"/>
      <c r="L458" s="270"/>
      <c r="M458" s="270"/>
      <c r="N458" s="277"/>
      <c r="O458" s="277"/>
      <c r="P458" s="277"/>
      <c r="Q458" s="277"/>
      <c r="R458" s="277"/>
      <c r="S458" s="277"/>
      <c r="T458" s="270"/>
      <c r="U458" s="278"/>
      <c r="V458" s="278"/>
      <c r="W458" s="410"/>
      <c r="X458" s="270"/>
      <c r="Y458" s="270"/>
      <c r="Z458" s="270"/>
    </row>
    <row r="459" customFormat="false" ht="12.75" hidden="false" customHeight="true" outlineLevel="0" collapsed="false">
      <c r="A459" s="270"/>
      <c r="B459" s="270"/>
      <c r="C459" s="270"/>
      <c r="D459" s="270"/>
      <c r="E459" s="270"/>
      <c r="F459" s="270"/>
      <c r="G459" s="270"/>
      <c r="H459" s="270"/>
      <c r="I459" s="270"/>
      <c r="J459" s="270"/>
      <c r="K459" s="270"/>
      <c r="L459" s="270"/>
      <c r="M459" s="270"/>
      <c r="N459" s="277"/>
      <c r="O459" s="277"/>
      <c r="P459" s="277"/>
      <c r="Q459" s="277"/>
      <c r="R459" s="277"/>
      <c r="S459" s="277"/>
      <c r="T459" s="270"/>
      <c r="U459" s="278"/>
      <c r="V459" s="278"/>
      <c r="W459" s="410"/>
      <c r="X459" s="270"/>
      <c r="Y459" s="270"/>
      <c r="Z459" s="270"/>
    </row>
    <row r="460" customFormat="false" ht="12.75" hidden="false" customHeight="true" outlineLevel="0" collapsed="false">
      <c r="A460" s="270"/>
      <c r="B460" s="270"/>
      <c r="C460" s="270"/>
      <c r="D460" s="270"/>
      <c r="E460" s="270"/>
      <c r="F460" s="270"/>
      <c r="G460" s="270"/>
      <c r="H460" s="270"/>
      <c r="I460" s="270"/>
      <c r="J460" s="270"/>
      <c r="K460" s="270"/>
      <c r="L460" s="270"/>
      <c r="M460" s="270"/>
      <c r="N460" s="277"/>
      <c r="O460" s="277"/>
      <c r="P460" s="277"/>
      <c r="Q460" s="277"/>
      <c r="R460" s="277"/>
      <c r="S460" s="277"/>
      <c r="T460" s="270"/>
      <c r="U460" s="278"/>
      <c r="V460" s="278"/>
      <c r="W460" s="410"/>
      <c r="X460" s="270"/>
      <c r="Y460" s="270"/>
      <c r="Z460" s="270"/>
    </row>
    <row r="461" customFormat="false" ht="12.75" hidden="false" customHeight="true" outlineLevel="0" collapsed="false">
      <c r="A461" s="270"/>
      <c r="B461" s="270"/>
      <c r="C461" s="270"/>
      <c r="D461" s="270"/>
      <c r="E461" s="270"/>
      <c r="F461" s="270"/>
      <c r="G461" s="270"/>
      <c r="H461" s="270"/>
      <c r="I461" s="270"/>
      <c r="J461" s="270"/>
      <c r="K461" s="270"/>
      <c r="L461" s="270"/>
      <c r="M461" s="270"/>
      <c r="N461" s="277"/>
      <c r="O461" s="277"/>
      <c r="P461" s="277"/>
      <c r="Q461" s="277"/>
      <c r="R461" s="277"/>
      <c r="S461" s="277"/>
      <c r="T461" s="270"/>
      <c r="U461" s="278"/>
      <c r="V461" s="278"/>
      <c r="W461" s="410"/>
      <c r="X461" s="270"/>
      <c r="Y461" s="270"/>
      <c r="Z461" s="270"/>
    </row>
    <row r="462" customFormat="false" ht="12.75" hidden="false" customHeight="true" outlineLevel="0" collapsed="false">
      <c r="A462" s="270"/>
      <c r="B462" s="270"/>
      <c r="C462" s="270"/>
      <c r="D462" s="270"/>
      <c r="E462" s="270"/>
      <c r="F462" s="270"/>
      <c r="G462" s="270"/>
      <c r="H462" s="270"/>
      <c r="I462" s="270"/>
      <c r="J462" s="270"/>
      <c r="K462" s="270"/>
      <c r="L462" s="270"/>
      <c r="M462" s="270"/>
      <c r="N462" s="277"/>
      <c r="O462" s="277"/>
      <c r="P462" s="277"/>
      <c r="Q462" s="277"/>
      <c r="R462" s="277"/>
      <c r="S462" s="277"/>
      <c r="T462" s="270"/>
      <c r="U462" s="278"/>
      <c r="V462" s="278"/>
      <c r="W462" s="410"/>
      <c r="X462" s="270"/>
      <c r="Y462" s="270"/>
      <c r="Z462" s="270"/>
    </row>
    <row r="463" customFormat="false" ht="12.75" hidden="false" customHeight="true" outlineLevel="0" collapsed="false">
      <c r="A463" s="270"/>
      <c r="B463" s="270"/>
      <c r="C463" s="270"/>
      <c r="D463" s="270"/>
      <c r="E463" s="270"/>
      <c r="F463" s="270"/>
      <c r="G463" s="270"/>
      <c r="H463" s="270"/>
      <c r="I463" s="270"/>
      <c r="J463" s="270"/>
      <c r="K463" s="270"/>
      <c r="L463" s="270"/>
      <c r="M463" s="270"/>
      <c r="N463" s="277"/>
      <c r="O463" s="277"/>
      <c r="P463" s="277"/>
      <c r="Q463" s="277"/>
      <c r="R463" s="277"/>
      <c r="S463" s="277"/>
      <c r="T463" s="270"/>
      <c r="U463" s="278"/>
      <c r="V463" s="278"/>
      <c r="W463" s="410"/>
      <c r="X463" s="270"/>
      <c r="Y463" s="270"/>
      <c r="Z463" s="270"/>
    </row>
    <row r="464" customFormat="false" ht="12.75" hidden="false" customHeight="true" outlineLevel="0" collapsed="false">
      <c r="A464" s="270"/>
      <c r="B464" s="270"/>
      <c r="C464" s="270"/>
      <c r="D464" s="270"/>
      <c r="E464" s="270"/>
      <c r="F464" s="270"/>
      <c r="G464" s="270"/>
      <c r="H464" s="270"/>
      <c r="I464" s="270"/>
      <c r="J464" s="270"/>
      <c r="K464" s="270"/>
      <c r="L464" s="270"/>
      <c r="M464" s="270"/>
      <c r="N464" s="277"/>
      <c r="O464" s="277"/>
      <c r="P464" s="277"/>
      <c r="Q464" s="277"/>
      <c r="R464" s="277"/>
      <c r="S464" s="277"/>
      <c r="T464" s="270"/>
      <c r="U464" s="278"/>
      <c r="V464" s="278"/>
      <c r="W464" s="410"/>
      <c r="X464" s="270"/>
      <c r="Y464" s="270"/>
      <c r="Z464" s="270"/>
    </row>
    <row r="465" customFormat="false" ht="12.75" hidden="false" customHeight="true" outlineLevel="0" collapsed="false">
      <c r="A465" s="270"/>
      <c r="B465" s="270"/>
      <c r="C465" s="270"/>
      <c r="D465" s="270"/>
      <c r="E465" s="270"/>
      <c r="F465" s="270"/>
      <c r="G465" s="270"/>
      <c r="H465" s="270"/>
      <c r="I465" s="270"/>
      <c r="J465" s="270"/>
      <c r="K465" s="270"/>
      <c r="L465" s="270"/>
      <c r="M465" s="270"/>
      <c r="N465" s="277"/>
      <c r="O465" s="277"/>
      <c r="P465" s="277"/>
      <c r="Q465" s="277"/>
      <c r="R465" s="277"/>
      <c r="S465" s="277"/>
      <c r="T465" s="270"/>
      <c r="U465" s="278"/>
      <c r="V465" s="278"/>
      <c r="W465" s="410"/>
      <c r="X465" s="270"/>
      <c r="Y465" s="270"/>
      <c r="Z465" s="270"/>
    </row>
    <row r="466" customFormat="false" ht="12.75" hidden="false" customHeight="true" outlineLevel="0" collapsed="false">
      <c r="A466" s="270"/>
      <c r="B466" s="270"/>
      <c r="C466" s="270"/>
      <c r="D466" s="270"/>
      <c r="E466" s="270"/>
      <c r="F466" s="270"/>
      <c r="G466" s="270"/>
      <c r="H466" s="270"/>
      <c r="I466" s="270"/>
      <c r="J466" s="270"/>
      <c r="K466" s="270"/>
      <c r="L466" s="270"/>
      <c r="M466" s="270"/>
      <c r="N466" s="277"/>
      <c r="O466" s="277"/>
      <c r="P466" s="277"/>
      <c r="Q466" s="277"/>
      <c r="R466" s="277"/>
      <c r="S466" s="277"/>
      <c r="T466" s="270"/>
      <c r="U466" s="278"/>
      <c r="V466" s="278"/>
      <c r="W466" s="410"/>
      <c r="X466" s="270"/>
      <c r="Y466" s="270"/>
      <c r="Z466" s="270"/>
    </row>
    <row r="467" customFormat="false" ht="12.75" hidden="false" customHeight="true" outlineLevel="0" collapsed="false">
      <c r="A467" s="270"/>
      <c r="B467" s="270"/>
      <c r="C467" s="270"/>
      <c r="D467" s="270"/>
      <c r="E467" s="270"/>
      <c r="F467" s="270"/>
      <c r="G467" s="270"/>
      <c r="H467" s="270"/>
      <c r="I467" s="270"/>
      <c r="J467" s="270"/>
      <c r="K467" s="270"/>
      <c r="L467" s="270"/>
      <c r="M467" s="270"/>
      <c r="N467" s="277"/>
      <c r="O467" s="277"/>
      <c r="P467" s="277"/>
      <c r="Q467" s="277"/>
      <c r="R467" s="277"/>
      <c r="S467" s="277"/>
      <c r="T467" s="270"/>
      <c r="U467" s="278"/>
      <c r="V467" s="278"/>
      <c r="W467" s="410"/>
      <c r="X467" s="270"/>
      <c r="Y467" s="270"/>
      <c r="Z467" s="270"/>
    </row>
    <row r="468" customFormat="false" ht="12.75" hidden="false" customHeight="true" outlineLevel="0" collapsed="false">
      <c r="A468" s="270"/>
      <c r="B468" s="270"/>
      <c r="C468" s="270"/>
      <c r="D468" s="270"/>
      <c r="E468" s="270"/>
      <c r="F468" s="270"/>
      <c r="G468" s="270"/>
      <c r="H468" s="270"/>
      <c r="I468" s="270"/>
      <c r="J468" s="270"/>
      <c r="K468" s="270"/>
      <c r="L468" s="270"/>
      <c r="M468" s="270"/>
      <c r="N468" s="277"/>
      <c r="O468" s="277"/>
      <c r="P468" s="277"/>
      <c r="Q468" s="277"/>
      <c r="R468" s="277"/>
      <c r="S468" s="277"/>
      <c r="T468" s="270"/>
      <c r="U468" s="278"/>
      <c r="V468" s="278"/>
      <c r="W468" s="410"/>
      <c r="X468" s="270"/>
      <c r="Y468" s="270"/>
      <c r="Z468" s="270"/>
    </row>
    <row r="469" customFormat="false" ht="12.75" hidden="false" customHeight="true" outlineLevel="0" collapsed="false">
      <c r="A469" s="270"/>
      <c r="B469" s="270"/>
      <c r="C469" s="270"/>
      <c r="D469" s="270"/>
      <c r="E469" s="270"/>
      <c r="F469" s="270"/>
      <c r="G469" s="270"/>
      <c r="H469" s="270"/>
      <c r="I469" s="270"/>
      <c r="J469" s="270"/>
      <c r="K469" s="270"/>
      <c r="L469" s="270"/>
      <c r="M469" s="270"/>
      <c r="N469" s="277"/>
      <c r="O469" s="277"/>
      <c r="P469" s="277"/>
      <c r="Q469" s="277"/>
      <c r="R469" s="277"/>
      <c r="S469" s="277"/>
      <c r="T469" s="270"/>
      <c r="U469" s="278"/>
      <c r="V469" s="278"/>
      <c r="W469" s="410"/>
      <c r="X469" s="270"/>
      <c r="Y469" s="270"/>
      <c r="Z469" s="270"/>
    </row>
    <row r="470" customFormat="false" ht="12.75" hidden="false" customHeight="true" outlineLevel="0" collapsed="false">
      <c r="A470" s="270"/>
      <c r="B470" s="270"/>
      <c r="C470" s="270"/>
      <c r="D470" s="270"/>
      <c r="E470" s="270"/>
      <c r="F470" s="270"/>
      <c r="G470" s="270"/>
      <c r="H470" s="270"/>
      <c r="I470" s="270"/>
      <c r="J470" s="270"/>
      <c r="K470" s="270"/>
      <c r="L470" s="270"/>
      <c r="M470" s="270"/>
      <c r="N470" s="277"/>
      <c r="O470" s="277"/>
      <c r="P470" s="277"/>
      <c r="Q470" s="277"/>
      <c r="R470" s="277"/>
      <c r="S470" s="277"/>
      <c r="T470" s="270"/>
      <c r="U470" s="278"/>
      <c r="V470" s="278"/>
      <c r="W470" s="410"/>
      <c r="X470" s="270"/>
      <c r="Y470" s="270"/>
      <c r="Z470" s="270"/>
    </row>
    <row r="471" customFormat="false" ht="12.75" hidden="false" customHeight="true" outlineLevel="0" collapsed="false">
      <c r="A471" s="270"/>
      <c r="B471" s="270"/>
      <c r="C471" s="270"/>
      <c r="D471" s="270"/>
      <c r="E471" s="270"/>
      <c r="F471" s="270"/>
      <c r="G471" s="270"/>
      <c r="H471" s="270"/>
      <c r="I471" s="270"/>
      <c r="J471" s="270"/>
      <c r="K471" s="270"/>
      <c r="L471" s="270"/>
      <c r="M471" s="270"/>
      <c r="N471" s="277"/>
      <c r="O471" s="277"/>
      <c r="P471" s="277"/>
      <c r="Q471" s="277"/>
      <c r="R471" s="277"/>
      <c r="S471" s="277"/>
      <c r="T471" s="270"/>
      <c r="U471" s="278"/>
      <c r="V471" s="278"/>
      <c r="W471" s="410"/>
      <c r="X471" s="270"/>
      <c r="Y471" s="270"/>
      <c r="Z471" s="270"/>
    </row>
    <row r="472" customFormat="false" ht="12.75" hidden="false" customHeight="true" outlineLevel="0" collapsed="false">
      <c r="A472" s="270"/>
      <c r="B472" s="270"/>
      <c r="C472" s="270"/>
      <c r="D472" s="270"/>
      <c r="E472" s="270"/>
      <c r="F472" s="270"/>
      <c r="G472" s="270"/>
      <c r="H472" s="270"/>
      <c r="I472" s="270"/>
      <c r="J472" s="270"/>
      <c r="K472" s="270"/>
      <c r="L472" s="270"/>
      <c r="M472" s="270"/>
      <c r="N472" s="277"/>
      <c r="O472" s="277"/>
      <c r="P472" s="277"/>
      <c r="Q472" s="277"/>
      <c r="R472" s="277"/>
      <c r="S472" s="277"/>
      <c r="T472" s="270"/>
      <c r="U472" s="278"/>
      <c r="V472" s="278"/>
      <c r="W472" s="410"/>
      <c r="X472" s="270"/>
      <c r="Y472" s="270"/>
      <c r="Z472" s="270"/>
    </row>
    <row r="473" customFormat="false" ht="12.75" hidden="false" customHeight="true" outlineLevel="0" collapsed="false">
      <c r="A473" s="270"/>
      <c r="B473" s="270"/>
      <c r="C473" s="270"/>
      <c r="D473" s="270"/>
      <c r="E473" s="270"/>
      <c r="F473" s="270"/>
      <c r="G473" s="270"/>
      <c r="H473" s="270"/>
      <c r="I473" s="270"/>
      <c r="J473" s="270"/>
      <c r="K473" s="270"/>
      <c r="L473" s="270"/>
      <c r="M473" s="270"/>
      <c r="N473" s="277"/>
      <c r="O473" s="277"/>
      <c r="P473" s="277"/>
      <c r="Q473" s="277"/>
      <c r="R473" s="277"/>
      <c r="S473" s="277"/>
      <c r="T473" s="270"/>
      <c r="U473" s="278"/>
      <c r="V473" s="278"/>
      <c r="W473" s="410"/>
      <c r="X473" s="270"/>
      <c r="Y473" s="270"/>
      <c r="Z473" s="270"/>
    </row>
    <row r="474" customFormat="false" ht="12.75" hidden="false" customHeight="true" outlineLevel="0" collapsed="false">
      <c r="A474" s="270"/>
      <c r="B474" s="270"/>
      <c r="C474" s="270"/>
      <c r="D474" s="270"/>
      <c r="E474" s="270"/>
      <c r="F474" s="270"/>
      <c r="G474" s="270"/>
      <c r="H474" s="270"/>
      <c r="I474" s="270"/>
      <c r="J474" s="270"/>
      <c r="K474" s="270"/>
      <c r="L474" s="270"/>
      <c r="M474" s="270"/>
      <c r="N474" s="277"/>
      <c r="O474" s="277"/>
      <c r="P474" s="277"/>
      <c r="Q474" s="277"/>
      <c r="R474" s="277"/>
      <c r="S474" s="277"/>
      <c r="T474" s="270"/>
      <c r="U474" s="278"/>
      <c r="V474" s="278"/>
      <c r="W474" s="410"/>
      <c r="X474" s="270"/>
      <c r="Y474" s="270"/>
      <c r="Z474" s="270"/>
    </row>
    <row r="475" customFormat="false" ht="12.75" hidden="false" customHeight="true" outlineLevel="0" collapsed="false">
      <c r="A475" s="270"/>
      <c r="B475" s="270"/>
      <c r="C475" s="270"/>
      <c r="D475" s="270"/>
      <c r="E475" s="270"/>
      <c r="F475" s="270"/>
      <c r="G475" s="270"/>
      <c r="H475" s="270"/>
      <c r="I475" s="270"/>
      <c r="J475" s="270"/>
      <c r="K475" s="270"/>
      <c r="L475" s="270"/>
      <c r="M475" s="270"/>
      <c r="N475" s="277"/>
      <c r="O475" s="277"/>
      <c r="P475" s="277"/>
      <c r="Q475" s="277"/>
      <c r="R475" s="277"/>
      <c r="S475" s="277"/>
      <c r="T475" s="270"/>
      <c r="U475" s="278"/>
      <c r="V475" s="278"/>
      <c r="W475" s="410"/>
      <c r="X475" s="270"/>
      <c r="Y475" s="270"/>
      <c r="Z475" s="270"/>
    </row>
    <row r="476" customFormat="false" ht="12.75" hidden="false" customHeight="true" outlineLevel="0" collapsed="false">
      <c r="A476" s="270"/>
      <c r="B476" s="270"/>
      <c r="C476" s="270"/>
      <c r="D476" s="270"/>
      <c r="E476" s="270"/>
      <c r="F476" s="270"/>
      <c r="G476" s="270"/>
      <c r="H476" s="270"/>
      <c r="I476" s="270"/>
      <c r="J476" s="270"/>
      <c r="K476" s="270"/>
      <c r="L476" s="270"/>
      <c r="M476" s="270"/>
      <c r="N476" s="277"/>
      <c r="O476" s="277"/>
      <c r="P476" s="277"/>
      <c r="Q476" s="277"/>
      <c r="R476" s="277"/>
      <c r="S476" s="277"/>
      <c r="T476" s="270"/>
      <c r="U476" s="278"/>
      <c r="V476" s="278"/>
      <c r="W476" s="410"/>
      <c r="X476" s="270"/>
      <c r="Y476" s="270"/>
      <c r="Z476" s="270"/>
    </row>
    <row r="477" customFormat="false" ht="12.75" hidden="false" customHeight="true" outlineLevel="0" collapsed="false">
      <c r="A477" s="270"/>
      <c r="B477" s="270"/>
      <c r="C477" s="270"/>
      <c r="D477" s="270"/>
      <c r="E477" s="270"/>
      <c r="F477" s="270"/>
      <c r="G477" s="270"/>
      <c r="H477" s="270"/>
      <c r="I477" s="270"/>
      <c r="J477" s="270"/>
      <c r="K477" s="270"/>
      <c r="L477" s="270"/>
      <c r="M477" s="270"/>
      <c r="N477" s="277"/>
      <c r="O477" s="277"/>
      <c r="P477" s="277"/>
      <c r="Q477" s="277"/>
      <c r="R477" s="277"/>
      <c r="S477" s="277"/>
      <c r="T477" s="270"/>
      <c r="U477" s="278"/>
      <c r="V477" s="278"/>
      <c r="W477" s="410"/>
      <c r="X477" s="270"/>
      <c r="Y477" s="270"/>
      <c r="Z477" s="270"/>
    </row>
    <row r="478" customFormat="false" ht="12.75" hidden="false" customHeight="true" outlineLevel="0" collapsed="false">
      <c r="A478" s="270"/>
      <c r="B478" s="270"/>
      <c r="C478" s="270"/>
      <c r="D478" s="270"/>
      <c r="E478" s="270"/>
      <c r="F478" s="270"/>
      <c r="G478" s="270"/>
      <c r="H478" s="270"/>
      <c r="I478" s="270"/>
      <c r="J478" s="270"/>
      <c r="K478" s="270"/>
      <c r="L478" s="270"/>
      <c r="M478" s="270"/>
      <c r="N478" s="277"/>
      <c r="O478" s="277"/>
      <c r="P478" s="277"/>
      <c r="Q478" s="277"/>
      <c r="R478" s="277"/>
      <c r="S478" s="277"/>
      <c r="T478" s="270"/>
      <c r="U478" s="278"/>
      <c r="V478" s="278"/>
      <c r="W478" s="410"/>
      <c r="X478" s="270"/>
      <c r="Y478" s="270"/>
      <c r="Z478" s="270"/>
    </row>
    <row r="479" customFormat="false" ht="12.75" hidden="false" customHeight="true" outlineLevel="0" collapsed="false">
      <c r="A479" s="270"/>
      <c r="B479" s="270"/>
      <c r="C479" s="270"/>
      <c r="D479" s="270"/>
      <c r="E479" s="270"/>
      <c r="F479" s="270"/>
      <c r="G479" s="270"/>
      <c r="H479" s="270"/>
      <c r="I479" s="270"/>
      <c r="J479" s="270"/>
      <c r="K479" s="270"/>
      <c r="L479" s="270"/>
      <c r="M479" s="270"/>
      <c r="N479" s="277"/>
      <c r="O479" s="277"/>
      <c r="P479" s="277"/>
      <c r="Q479" s="277"/>
      <c r="R479" s="277"/>
      <c r="S479" s="277"/>
      <c r="T479" s="270"/>
      <c r="U479" s="278"/>
      <c r="V479" s="278"/>
      <c r="W479" s="410"/>
      <c r="X479" s="270"/>
      <c r="Y479" s="270"/>
      <c r="Z479" s="270"/>
    </row>
    <row r="480" customFormat="false" ht="12.75" hidden="false" customHeight="true" outlineLevel="0" collapsed="false">
      <c r="A480" s="270"/>
      <c r="B480" s="270"/>
      <c r="C480" s="270"/>
      <c r="D480" s="270"/>
      <c r="E480" s="270"/>
      <c r="F480" s="270"/>
      <c r="G480" s="270"/>
      <c r="H480" s="270"/>
      <c r="I480" s="270"/>
      <c r="J480" s="270"/>
      <c r="K480" s="270"/>
      <c r="L480" s="270"/>
      <c r="M480" s="270"/>
      <c r="N480" s="277"/>
      <c r="O480" s="277"/>
      <c r="P480" s="277"/>
      <c r="Q480" s="277"/>
      <c r="R480" s="277"/>
      <c r="S480" s="277"/>
      <c r="T480" s="270"/>
      <c r="U480" s="278"/>
      <c r="V480" s="278"/>
      <c r="W480" s="410"/>
      <c r="X480" s="270"/>
      <c r="Y480" s="270"/>
      <c r="Z480" s="270"/>
    </row>
    <row r="481" customFormat="false" ht="12.75" hidden="false" customHeight="true" outlineLevel="0" collapsed="false">
      <c r="A481" s="270"/>
      <c r="B481" s="270"/>
      <c r="C481" s="270"/>
      <c r="D481" s="270"/>
      <c r="E481" s="270"/>
      <c r="F481" s="270"/>
      <c r="G481" s="270"/>
      <c r="H481" s="270"/>
      <c r="I481" s="270"/>
      <c r="J481" s="270"/>
      <c r="K481" s="270"/>
      <c r="L481" s="270"/>
      <c r="M481" s="270"/>
      <c r="N481" s="277"/>
      <c r="O481" s="277"/>
      <c r="P481" s="277"/>
      <c r="Q481" s="277"/>
      <c r="R481" s="277"/>
      <c r="S481" s="277"/>
      <c r="T481" s="270"/>
      <c r="U481" s="278"/>
      <c r="V481" s="278"/>
      <c r="W481" s="410"/>
      <c r="X481" s="270"/>
      <c r="Y481" s="270"/>
      <c r="Z481" s="270"/>
    </row>
    <row r="482" customFormat="false" ht="12.75" hidden="false" customHeight="true" outlineLevel="0" collapsed="false">
      <c r="A482" s="270"/>
      <c r="B482" s="270"/>
      <c r="C482" s="270"/>
      <c r="D482" s="270"/>
      <c r="E482" s="270"/>
      <c r="F482" s="270"/>
      <c r="G482" s="270"/>
      <c r="H482" s="270"/>
      <c r="I482" s="270"/>
      <c r="J482" s="270"/>
      <c r="K482" s="270"/>
      <c r="L482" s="270"/>
      <c r="M482" s="270"/>
      <c r="N482" s="277"/>
      <c r="O482" s="277"/>
      <c r="P482" s="277"/>
      <c r="Q482" s="277"/>
      <c r="R482" s="277"/>
      <c r="S482" s="277"/>
      <c r="T482" s="270"/>
      <c r="U482" s="278"/>
      <c r="V482" s="278"/>
      <c r="W482" s="410"/>
      <c r="X482" s="270"/>
      <c r="Y482" s="270"/>
      <c r="Z482" s="270"/>
    </row>
    <row r="483" customFormat="false" ht="12.75" hidden="false" customHeight="true" outlineLevel="0" collapsed="false">
      <c r="A483" s="270"/>
      <c r="B483" s="270"/>
      <c r="C483" s="270"/>
      <c r="D483" s="270"/>
      <c r="E483" s="270"/>
      <c r="F483" s="270"/>
      <c r="G483" s="270"/>
      <c r="H483" s="270"/>
      <c r="I483" s="270"/>
      <c r="J483" s="270"/>
      <c r="K483" s="270"/>
      <c r="L483" s="270"/>
      <c r="M483" s="270"/>
      <c r="N483" s="277"/>
      <c r="O483" s="277"/>
      <c r="P483" s="277"/>
      <c r="Q483" s="277"/>
      <c r="R483" s="277"/>
      <c r="S483" s="277"/>
      <c r="T483" s="270"/>
      <c r="U483" s="278"/>
      <c r="V483" s="278"/>
      <c r="W483" s="410"/>
      <c r="X483" s="270"/>
      <c r="Y483" s="270"/>
      <c r="Z483" s="270"/>
    </row>
    <row r="484" customFormat="false" ht="12.75" hidden="false" customHeight="true" outlineLevel="0" collapsed="false">
      <c r="A484" s="270"/>
      <c r="B484" s="270"/>
      <c r="C484" s="270"/>
      <c r="D484" s="270"/>
      <c r="E484" s="270"/>
      <c r="F484" s="270"/>
      <c r="G484" s="270"/>
      <c r="H484" s="270"/>
      <c r="I484" s="270"/>
      <c r="J484" s="270"/>
      <c r="K484" s="270"/>
      <c r="L484" s="270"/>
      <c r="M484" s="270"/>
      <c r="N484" s="277"/>
      <c r="O484" s="277"/>
      <c r="P484" s="277"/>
      <c r="Q484" s="277"/>
      <c r="R484" s="277"/>
      <c r="S484" s="277"/>
      <c r="T484" s="270"/>
      <c r="U484" s="278"/>
      <c r="V484" s="278"/>
      <c r="W484" s="410"/>
      <c r="X484" s="270"/>
      <c r="Y484" s="270"/>
      <c r="Z484" s="270"/>
    </row>
    <row r="485" customFormat="false" ht="12.75" hidden="false" customHeight="true" outlineLevel="0" collapsed="false">
      <c r="A485" s="270"/>
      <c r="B485" s="270"/>
      <c r="C485" s="270"/>
      <c r="D485" s="270"/>
      <c r="E485" s="270"/>
      <c r="F485" s="270"/>
      <c r="G485" s="270"/>
      <c r="H485" s="270"/>
      <c r="I485" s="270"/>
      <c r="J485" s="270"/>
      <c r="K485" s="270"/>
      <c r="L485" s="270"/>
      <c r="M485" s="270"/>
      <c r="N485" s="277"/>
      <c r="O485" s="277"/>
      <c r="P485" s="277"/>
      <c r="Q485" s="277"/>
      <c r="R485" s="277"/>
      <c r="S485" s="277"/>
      <c r="T485" s="270"/>
      <c r="U485" s="278"/>
      <c r="V485" s="278"/>
      <c r="W485" s="410"/>
      <c r="X485" s="270"/>
      <c r="Y485" s="270"/>
      <c r="Z485" s="270"/>
    </row>
    <row r="486" customFormat="false" ht="12.75" hidden="false" customHeight="true" outlineLevel="0" collapsed="false">
      <c r="A486" s="270"/>
      <c r="B486" s="270"/>
      <c r="C486" s="270"/>
      <c r="D486" s="270"/>
      <c r="E486" s="270"/>
      <c r="F486" s="270"/>
      <c r="G486" s="270"/>
      <c r="H486" s="270"/>
      <c r="I486" s="270"/>
      <c r="J486" s="270"/>
      <c r="K486" s="270"/>
      <c r="L486" s="270"/>
      <c r="M486" s="270"/>
      <c r="N486" s="277"/>
      <c r="O486" s="277"/>
      <c r="P486" s="277"/>
      <c r="Q486" s="277"/>
      <c r="R486" s="277"/>
      <c r="S486" s="277"/>
      <c r="T486" s="270"/>
      <c r="U486" s="278"/>
      <c r="V486" s="278"/>
      <c r="W486" s="410"/>
      <c r="X486" s="270"/>
      <c r="Y486" s="270"/>
      <c r="Z486" s="270"/>
    </row>
    <row r="487" customFormat="false" ht="12.75" hidden="false" customHeight="true" outlineLevel="0" collapsed="false">
      <c r="A487" s="270"/>
      <c r="B487" s="270"/>
      <c r="C487" s="270"/>
      <c r="D487" s="270"/>
      <c r="E487" s="270"/>
      <c r="F487" s="270"/>
      <c r="G487" s="270"/>
      <c r="H487" s="270"/>
      <c r="I487" s="270"/>
      <c r="J487" s="270"/>
      <c r="K487" s="270"/>
      <c r="L487" s="270"/>
      <c r="M487" s="270"/>
      <c r="N487" s="277"/>
      <c r="O487" s="277"/>
      <c r="P487" s="277"/>
      <c r="Q487" s="277"/>
      <c r="R487" s="277"/>
      <c r="S487" s="277"/>
      <c r="T487" s="270"/>
      <c r="U487" s="278"/>
      <c r="V487" s="278"/>
      <c r="W487" s="410"/>
      <c r="X487" s="270"/>
      <c r="Y487" s="270"/>
      <c r="Z487" s="270"/>
    </row>
    <row r="488" customFormat="false" ht="12.75" hidden="false" customHeight="true" outlineLevel="0" collapsed="false">
      <c r="A488" s="270"/>
      <c r="B488" s="270"/>
      <c r="C488" s="270"/>
      <c r="D488" s="270"/>
      <c r="E488" s="270"/>
      <c r="F488" s="270"/>
      <c r="G488" s="270"/>
      <c r="H488" s="270"/>
      <c r="I488" s="270"/>
      <c r="J488" s="270"/>
      <c r="K488" s="270"/>
      <c r="L488" s="270"/>
      <c r="M488" s="270"/>
      <c r="N488" s="277"/>
      <c r="O488" s="277"/>
      <c r="P488" s="277"/>
      <c r="Q488" s="277"/>
      <c r="R488" s="277"/>
      <c r="S488" s="277"/>
      <c r="T488" s="270"/>
      <c r="U488" s="278"/>
      <c r="V488" s="278"/>
      <c r="W488" s="410"/>
      <c r="X488" s="270"/>
      <c r="Y488" s="270"/>
      <c r="Z488" s="270"/>
    </row>
    <row r="489" customFormat="false" ht="12.75" hidden="false" customHeight="true" outlineLevel="0" collapsed="false">
      <c r="A489" s="270"/>
      <c r="B489" s="270"/>
      <c r="C489" s="270"/>
      <c r="D489" s="270"/>
      <c r="E489" s="270"/>
      <c r="F489" s="270"/>
      <c r="G489" s="270"/>
      <c r="H489" s="270"/>
      <c r="I489" s="270"/>
      <c r="J489" s="270"/>
      <c r="K489" s="270"/>
      <c r="L489" s="270"/>
      <c r="M489" s="270"/>
      <c r="N489" s="277"/>
      <c r="O489" s="277"/>
      <c r="P489" s="277"/>
      <c r="Q489" s="277"/>
      <c r="R489" s="277"/>
      <c r="S489" s="277"/>
      <c r="T489" s="270"/>
      <c r="U489" s="278"/>
      <c r="V489" s="278"/>
      <c r="W489" s="410"/>
      <c r="X489" s="270"/>
      <c r="Y489" s="270"/>
      <c r="Z489" s="270"/>
    </row>
    <row r="490" customFormat="false" ht="12.75" hidden="false" customHeight="true" outlineLevel="0" collapsed="false">
      <c r="A490" s="270"/>
      <c r="B490" s="270"/>
      <c r="C490" s="270"/>
      <c r="D490" s="270"/>
      <c r="E490" s="270"/>
      <c r="F490" s="270"/>
      <c r="G490" s="270"/>
      <c r="H490" s="270"/>
      <c r="I490" s="270"/>
      <c r="J490" s="270"/>
      <c r="K490" s="270"/>
      <c r="L490" s="270"/>
      <c r="M490" s="270"/>
      <c r="N490" s="277"/>
      <c r="O490" s="277"/>
      <c r="P490" s="277"/>
      <c r="Q490" s="277"/>
      <c r="R490" s="277"/>
      <c r="S490" s="277"/>
      <c r="T490" s="270"/>
      <c r="U490" s="278"/>
      <c r="V490" s="278"/>
      <c r="W490" s="410"/>
      <c r="X490" s="270"/>
      <c r="Y490" s="270"/>
      <c r="Z490" s="270"/>
    </row>
    <row r="491" customFormat="false" ht="12.75" hidden="false" customHeight="true" outlineLevel="0" collapsed="false">
      <c r="A491" s="270"/>
      <c r="B491" s="270"/>
      <c r="C491" s="270"/>
      <c r="D491" s="270"/>
      <c r="E491" s="270"/>
      <c r="F491" s="270"/>
      <c r="G491" s="270"/>
      <c r="H491" s="270"/>
      <c r="I491" s="270"/>
      <c r="J491" s="270"/>
      <c r="K491" s="270"/>
      <c r="L491" s="270"/>
      <c r="M491" s="270"/>
      <c r="N491" s="277"/>
      <c r="O491" s="277"/>
      <c r="P491" s="277"/>
      <c r="Q491" s="277"/>
      <c r="R491" s="277"/>
      <c r="S491" s="277"/>
      <c r="T491" s="270"/>
      <c r="U491" s="278"/>
      <c r="V491" s="278"/>
      <c r="W491" s="410"/>
      <c r="X491" s="270"/>
      <c r="Y491" s="270"/>
      <c r="Z491" s="270"/>
    </row>
    <row r="492" customFormat="false" ht="12.75" hidden="false" customHeight="true" outlineLevel="0" collapsed="false">
      <c r="A492" s="270"/>
      <c r="B492" s="270"/>
      <c r="C492" s="270"/>
      <c r="D492" s="270"/>
      <c r="E492" s="270"/>
      <c r="F492" s="270"/>
      <c r="G492" s="270"/>
      <c r="H492" s="270"/>
      <c r="I492" s="270"/>
      <c r="J492" s="270"/>
      <c r="K492" s="270"/>
      <c r="L492" s="270"/>
      <c r="M492" s="270"/>
      <c r="N492" s="277"/>
      <c r="O492" s="277"/>
      <c r="P492" s="277"/>
      <c r="Q492" s="277"/>
      <c r="R492" s="277"/>
      <c r="S492" s="277"/>
      <c r="T492" s="270"/>
      <c r="U492" s="278"/>
      <c r="V492" s="278"/>
      <c r="W492" s="410"/>
      <c r="X492" s="270"/>
      <c r="Y492" s="270"/>
      <c r="Z492" s="270"/>
    </row>
    <row r="493" customFormat="false" ht="12.75" hidden="false" customHeight="true" outlineLevel="0" collapsed="false">
      <c r="A493" s="270"/>
      <c r="B493" s="270"/>
      <c r="C493" s="270"/>
      <c r="D493" s="270"/>
      <c r="E493" s="270"/>
      <c r="F493" s="270"/>
      <c r="G493" s="270"/>
      <c r="H493" s="270"/>
      <c r="I493" s="270"/>
      <c r="J493" s="270"/>
      <c r="K493" s="270"/>
      <c r="L493" s="270"/>
      <c r="M493" s="270"/>
      <c r="N493" s="277"/>
      <c r="O493" s="277"/>
      <c r="P493" s="277"/>
      <c r="Q493" s="277"/>
      <c r="R493" s="277"/>
      <c r="S493" s="277"/>
      <c r="T493" s="270"/>
      <c r="U493" s="278"/>
      <c r="V493" s="278"/>
      <c r="W493" s="410"/>
      <c r="X493" s="270"/>
      <c r="Y493" s="270"/>
      <c r="Z493" s="270"/>
    </row>
    <row r="494" customFormat="false" ht="12.75" hidden="false" customHeight="true" outlineLevel="0" collapsed="false">
      <c r="A494" s="270"/>
      <c r="B494" s="270"/>
      <c r="C494" s="270"/>
      <c r="D494" s="270"/>
      <c r="E494" s="270"/>
      <c r="F494" s="270"/>
      <c r="G494" s="270"/>
      <c r="H494" s="270"/>
      <c r="I494" s="270"/>
      <c r="J494" s="270"/>
      <c r="K494" s="270"/>
      <c r="L494" s="270"/>
      <c r="M494" s="270"/>
      <c r="N494" s="277"/>
      <c r="O494" s="277"/>
      <c r="P494" s="277"/>
      <c r="Q494" s="277"/>
      <c r="R494" s="277"/>
      <c r="S494" s="277"/>
      <c r="T494" s="270"/>
      <c r="U494" s="278"/>
      <c r="V494" s="278"/>
      <c r="W494" s="410"/>
      <c r="X494" s="270"/>
      <c r="Y494" s="270"/>
      <c r="Z494" s="270"/>
    </row>
    <row r="495" customFormat="false" ht="12.75" hidden="false" customHeight="true" outlineLevel="0" collapsed="false">
      <c r="A495" s="270"/>
      <c r="B495" s="270"/>
      <c r="C495" s="270"/>
      <c r="D495" s="270"/>
      <c r="E495" s="270"/>
      <c r="F495" s="270"/>
      <c r="G495" s="270"/>
      <c r="H495" s="270"/>
      <c r="I495" s="270"/>
      <c r="J495" s="270"/>
      <c r="K495" s="270"/>
      <c r="L495" s="270"/>
      <c r="M495" s="270"/>
      <c r="N495" s="277"/>
      <c r="O495" s="277"/>
      <c r="P495" s="277"/>
      <c r="Q495" s="277"/>
      <c r="R495" s="277"/>
      <c r="S495" s="277"/>
      <c r="T495" s="270"/>
      <c r="U495" s="278"/>
      <c r="V495" s="278"/>
      <c r="W495" s="410"/>
      <c r="X495" s="270"/>
      <c r="Y495" s="270"/>
      <c r="Z495" s="270"/>
    </row>
    <row r="496" customFormat="false" ht="12.75" hidden="false" customHeight="true" outlineLevel="0" collapsed="false">
      <c r="A496" s="270"/>
      <c r="B496" s="270"/>
      <c r="C496" s="270"/>
      <c r="D496" s="270"/>
      <c r="E496" s="270"/>
      <c r="F496" s="270"/>
      <c r="G496" s="270"/>
      <c r="H496" s="270"/>
      <c r="I496" s="270"/>
      <c r="J496" s="270"/>
      <c r="K496" s="270"/>
      <c r="L496" s="270"/>
      <c r="M496" s="270"/>
      <c r="N496" s="277"/>
      <c r="O496" s="277"/>
      <c r="P496" s="277"/>
      <c r="Q496" s="277"/>
      <c r="R496" s="277"/>
      <c r="S496" s="277"/>
      <c r="T496" s="270"/>
      <c r="U496" s="278"/>
      <c r="V496" s="278"/>
      <c r="W496" s="410"/>
      <c r="X496" s="270"/>
      <c r="Y496" s="270"/>
      <c r="Z496" s="270"/>
    </row>
    <row r="497" customFormat="false" ht="12.75" hidden="false" customHeight="true" outlineLevel="0" collapsed="false">
      <c r="A497" s="270"/>
      <c r="B497" s="270"/>
      <c r="C497" s="270"/>
      <c r="D497" s="270"/>
      <c r="E497" s="270"/>
      <c r="F497" s="270"/>
      <c r="G497" s="270"/>
      <c r="H497" s="270"/>
      <c r="I497" s="270"/>
      <c r="J497" s="270"/>
      <c r="K497" s="270"/>
      <c r="L497" s="270"/>
      <c r="M497" s="270"/>
      <c r="N497" s="277"/>
      <c r="O497" s="277"/>
      <c r="P497" s="277"/>
      <c r="Q497" s="277"/>
      <c r="R497" s="277"/>
      <c r="S497" s="277"/>
      <c r="T497" s="270"/>
      <c r="U497" s="278"/>
      <c r="V497" s="278"/>
      <c r="W497" s="410"/>
      <c r="X497" s="270"/>
      <c r="Y497" s="270"/>
      <c r="Z497" s="270"/>
    </row>
    <row r="498" customFormat="false" ht="12.75" hidden="false" customHeight="true" outlineLevel="0" collapsed="false">
      <c r="A498" s="270"/>
      <c r="B498" s="270"/>
      <c r="C498" s="270"/>
      <c r="D498" s="270"/>
      <c r="E498" s="270"/>
      <c r="F498" s="270"/>
      <c r="G498" s="270"/>
      <c r="H498" s="270"/>
      <c r="I498" s="270"/>
      <c r="J498" s="270"/>
      <c r="K498" s="270"/>
      <c r="L498" s="270"/>
      <c r="M498" s="270"/>
      <c r="N498" s="277"/>
      <c r="O498" s="277"/>
      <c r="P498" s="277"/>
      <c r="Q498" s="277"/>
      <c r="R498" s="277"/>
      <c r="S498" s="277"/>
      <c r="T498" s="270"/>
      <c r="U498" s="278"/>
      <c r="V498" s="278"/>
      <c r="W498" s="410"/>
      <c r="X498" s="270"/>
      <c r="Y498" s="270"/>
      <c r="Z498" s="270"/>
    </row>
    <row r="499" customFormat="false" ht="12.75" hidden="false" customHeight="true" outlineLevel="0" collapsed="false">
      <c r="A499" s="270"/>
      <c r="B499" s="270"/>
      <c r="C499" s="270"/>
      <c r="D499" s="270"/>
      <c r="E499" s="270"/>
      <c r="F499" s="270"/>
      <c r="G499" s="270"/>
      <c r="H499" s="270"/>
      <c r="I499" s="270"/>
      <c r="J499" s="270"/>
      <c r="K499" s="270"/>
      <c r="L499" s="270"/>
      <c r="M499" s="270"/>
      <c r="N499" s="277"/>
      <c r="O499" s="277"/>
      <c r="P499" s="277"/>
      <c r="Q499" s="277"/>
      <c r="R499" s="277"/>
      <c r="S499" s="277"/>
      <c r="T499" s="270"/>
      <c r="U499" s="278"/>
      <c r="V499" s="278"/>
      <c r="W499" s="410"/>
      <c r="X499" s="270"/>
      <c r="Y499" s="270"/>
      <c r="Z499" s="270"/>
    </row>
    <row r="500" customFormat="false" ht="12.75" hidden="false" customHeight="true" outlineLevel="0" collapsed="false">
      <c r="A500" s="270"/>
      <c r="B500" s="270"/>
      <c r="C500" s="270"/>
      <c r="D500" s="270"/>
      <c r="E500" s="270"/>
      <c r="F500" s="270"/>
      <c r="G500" s="270"/>
      <c r="H500" s="270"/>
      <c r="I500" s="270"/>
      <c r="J500" s="270"/>
      <c r="K500" s="270"/>
      <c r="L500" s="270"/>
      <c r="M500" s="270"/>
      <c r="N500" s="277"/>
      <c r="O500" s="277"/>
      <c r="P500" s="277"/>
      <c r="Q500" s="277"/>
      <c r="R500" s="277"/>
      <c r="S500" s="277"/>
      <c r="T500" s="270"/>
      <c r="U500" s="278"/>
      <c r="V500" s="278"/>
      <c r="W500" s="410"/>
      <c r="X500" s="270"/>
      <c r="Y500" s="270"/>
      <c r="Z500" s="270"/>
    </row>
    <row r="501" customFormat="false" ht="12.75" hidden="false" customHeight="true" outlineLevel="0" collapsed="false">
      <c r="A501" s="270"/>
      <c r="B501" s="270"/>
      <c r="C501" s="270"/>
      <c r="D501" s="270"/>
      <c r="E501" s="270"/>
      <c r="F501" s="270"/>
      <c r="G501" s="270"/>
      <c r="H501" s="270"/>
      <c r="I501" s="270"/>
      <c r="J501" s="270"/>
      <c r="K501" s="270"/>
      <c r="L501" s="270"/>
      <c r="M501" s="270"/>
      <c r="N501" s="277"/>
      <c r="O501" s="277"/>
      <c r="P501" s="277"/>
      <c r="Q501" s="277"/>
      <c r="R501" s="277"/>
      <c r="S501" s="277"/>
      <c r="T501" s="270"/>
      <c r="U501" s="278"/>
      <c r="V501" s="278"/>
      <c r="W501" s="410"/>
      <c r="X501" s="270"/>
      <c r="Y501" s="270"/>
      <c r="Z501" s="270"/>
    </row>
    <row r="502" customFormat="false" ht="12.75" hidden="false" customHeight="true" outlineLevel="0" collapsed="false">
      <c r="A502" s="270"/>
      <c r="B502" s="270"/>
      <c r="C502" s="270"/>
      <c r="D502" s="270"/>
      <c r="E502" s="270"/>
      <c r="F502" s="270"/>
      <c r="G502" s="270"/>
      <c r="H502" s="270"/>
      <c r="I502" s="270"/>
      <c r="J502" s="270"/>
      <c r="K502" s="270"/>
      <c r="L502" s="270"/>
      <c r="M502" s="270"/>
      <c r="N502" s="277"/>
      <c r="O502" s="277"/>
      <c r="P502" s="277"/>
      <c r="Q502" s="277"/>
      <c r="R502" s="277"/>
      <c r="S502" s="277"/>
      <c r="T502" s="270"/>
      <c r="U502" s="278"/>
      <c r="V502" s="278"/>
      <c r="W502" s="410"/>
      <c r="X502" s="270"/>
      <c r="Y502" s="270"/>
      <c r="Z502" s="270"/>
    </row>
    <row r="503" customFormat="false" ht="12.75" hidden="false" customHeight="true" outlineLevel="0" collapsed="false">
      <c r="A503" s="270"/>
      <c r="B503" s="270"/>
      <c r="C503" s="270"/>
      <c r="D503" s="270"/>
      <c r="E503" s="270"/>
      <c r="F503" s="270"/>
      <c r="G503" s="270"/>
      <c r="H503" s="270"/>
      <c r="I503" s="270"/>
      <c r="J503" s="270"/>
      <c r="K503" s="270"/>
      <c r="L503" s="270"/>
      <c r="M503" s="270"/>
      <c r="N503" s="277"/>
      <c r="O503" s="277"/>
      <c r="P503" s="277"/>
      <c r="Q503" s="277"/>
      <c r="R503" s="277"/>
      <c r="S503" s="277"/>
      <c r="T503" s="270"/>
      <c r="U503" s="278"/>
      <c r="V503" s="278"/>
      <c r="W503" s="410"/>
      <c r="X503" s="270"/>
      <c r="Y503" s="270"/>
      <c r="Z503" s="270"/>
    </row>
    <row r="504" customFormat="false" ht="12.75" hidden="false" customHeight="true" outlineLevel="0" collapsed="false">
      <c r="A504" s="270"/>
      <c r="B504" s="270"/>
      <c r="C504" s="270"/>
      <c r="D504" s="270"/>
      <c r="E504" s="270"/>
      <c r="F504" s="270"/>
      <c r="G504" s="270"/>
      <c r="H504" s="270"/>
      <c r="I504" s="270"/>
      <c r="J504" s="270"/>
      <c r="K504" s="270"/>
      <c r="L504" s="270"/>
      <c r="M504" s="270"/>
      <c r="N504" s="277"/>
      <c r="O504" s="277"/>
      <c r="P504" s="277"/>
      <c r="Q504" s="277"/>
      <c r="R504" s="277"/>
      <c r="S504" s="277"/>
      <c r="T504" s="270"/>
      <c r="U504" s="278"/>
      <c r="V504" s="278"/>
      <c r="W504" s="410"/>
      <c r="X504" s="270"/>
      <c r="Y504" s="270"/>
      <c r="Z504" s="270"/>
    </row>
    <row r="505" customFormat="false" ht="12.75" hidden="false" customHeight="true" outlineLevel="0" collapsed="false">
      <c r="A505" s="270"/>
      <c r="B505" s="270"/>
      <c r="C505" s="270"/>
      <c r="D505" s="270"/>
      <c r="E505" s="270"/>
      <c r="F505" s="270"/>
      <c r="G505" s="270"/>
      <c r="H505" s="270"/>
      <c r="I505" s="270"/>
      <c r="J505" s="270"/>
      <c r="K505" s="270"/>
      <c r="L505" s="270"/>
      <c r="M505" s="270"/>
      <c r="N505" s="277"/>
      <c r="O505" s="277"/>
      <c r="P505" s="277"/>
      <c r="Q505" s="277"/>
      <c r="R505" s="277"/>
      <c r="S505" s="277"/>
      <c r="T505" s="270"/>
      <c r="U505" s="278"/>
      <c r="V505" s="278"/>
      <c r="W505" s="410"/>
      <c r="X505" s="270"/>
      <c r="Y505" s="270"/>
      <c r="Z505" s="270"/>
    </row>
    <row r="506" customFormat="false" ht="12.75" hidden="false" customHeight="true" outlineLevel="0" collapsed="false">
      <c r="A506" s="270"/>
      <c r="B506" s="270"/>
      <c r="C506" s="270"/>
      <c r="D506" s="270"/>
      <c r="E506" s="270"/>
      <c r="F506" s="270"/>
      <c r="G506" s="270"/>
      <c r="H506" s="270"/>
      <c r="I506" s="270"/>
      <c r="J506" s="270"/>
      <c r="K506" s="270"/>
      <c r="L506" s="270"/>
      <c r="M506" s="270"/>
      <c r="N506" s="277"/>
      <c r="O506" s="277"/>
      <c r="P506" s="277"/>
      <c r="Q506" s="277"/>
      <c r="R506" s="277"/>
      <c r="S506" s="277"/>
      <c r="T506" s="270"/>
      <c r="U506" s="278"/>
      <c r="V506" s="278"/>
      <c r="W506" s="410"/>
      <c r="X506" s="270"/>
      <c r="Y506" s="270"/>
      <c r="Z506" s="270"/>
    </row>
    <row r="507" customFormat="false" ht="12.75" hidden="false" customHeight="true" outlineLevel="0" collapsed="false">
      <c r="A507" s="270"/>
      <c r="B507" s="270"/>
      <c r="C507" s="270"/>
      <c r="D507" s="270"/>
      <c r="E507" s="270"/>
      <c r="F507" s="270"/>
      <c r="G507" s="270"/>
      <c r="H507" s="270"/>
      <c r="I507" s="270"/>
      <c r="J507" s="270"/>
      <c r="K507" s="270"/>
      <c r="L507" s="270"/>
      <c r="M507" s="270"/>
      <c r="N507" s="277"/>
      <c r="O507" s="277"/>
      <c r="P507" s="277"/>
      <c r="Q507" s="277"/>
      <c r="R507" s="277"/>
      <c r="S507" s="277"/>
      <c r="T507" s="270"/>
      <c r="U507" s="278"/>
      <c r="V507" s="278"/>
      <c r="W507" s="410"/>
      <c r="X507" s="270"/>
      <c r="Y507" s="270"/>
      <c r="Z507" s="270"/>
    </row>
    <row r="508" customFormat="false" ht="12.75" hidden="false" customHeight="true" outlineLevel="0" collapsed="false">
      <c r="A508" s="270"/>
      <c r="B508" s="270"/>
      <c r="C508" s="270"/>
      <c r="D508" s="270"/>
      <c r="E508" s="270"/>
      <c r="F508" s="270"/>
      <c r="G508" s="270"/>
      <c r="H508" s="270"/>
      <c r="I508" s="270"/>
      <c r="J508" s="270"/>
      <c r="K508" s="270"/>
      <c r="L508" s="270"/>
      <c r="M508" s="270"/>
      <c r="N508" s="277"/>
      <c r="O508" s="277"/>
      <c r="P508" s="277"/>
      <c r="Q508" s="277"/>
      <c r="R508" s="277"/>
      <c r="S508" s="277"/>
      <c r="T508" s="270"/>
      <c r="U508" s="278"/>
      <c r="V508" s="278"/>
      <c r="W508" s="410"/>
      <c r="X508" s="270"/>
      <c r="Y508" s="270"/>
      <c r="Z508" s="270"/>
    </row>
    <row r="509" customFormat="false" ht="12.75" hidden="false" customHeight="true" outlineLevel="0" collapsed="false">
      <c r="A509" s="270"/>
      <c r="B509" s="270"/>
      <c r="C509" s="270"/>
      <c r="D509" s="270"/>
      <c r="E509" s="270"/>
      <c r="F509" s="270"/>
      <c r="G509" s="270"/>
      <c r="H509" s="270"/>
      <c r="I509" s="270"/>
      <c r="J509" s="270"/>
      <c r="K509" s="270"/>
      <c r="L509" s="270"/>
      <c r="M509" s="270"/>
      <c r="N509" s="277"/>
      <c r="O509" s="277"/>
      <c r="P509" s="277"/>
      <c r="Q509" s="277"/>
      <c r="R509" s="277"/>
      <c r="S509" s="277"/>
      <c r="T509" s="270"/>
      <c r="U509" s="278"/>
      <c r="V509" s="278"/>
      <c r="W509" s="410"/>
      <c r="X509" s="270"/>
      <c r="Y509" s="270"/>
      <c r="Z509" s="270"/>
    </row>
    <row r="510" customFormat="false" ht="12.75" hidden="false" customHeight="true" outlineLevel="0" collapsed="false">
      <c r="A510" s="270"/>
      <c r="B510" s="270"/>
      <c r="C510" s="270"/>
      <c r="D510" s="270"/>
      <c r="E510" s="270"/>
      <c r="F510" s="270"/>
      <c r="G510" s="270"/>
      <c r="H510" s="270"/>
      <c r="I510" s="270"/>
      <c r="J510" s="270"/>
      <c r="K510" s="270"/>
      <c r="L510" s="270"/>
      <c r="M510" s="270"/>
      <c r="N510" s="277"/>
      <c r="O510" s="277"/>
      <c r="P510" s="277"/>
      <c r="Q510" s="277"/>
      <c r="R510" s="277"/>
      <c r="S510" s="277"/>
      <c r="T510" s="270"/>
      <c r="U510" s="278"/>
      <c r="V510" s="278"/>
      <c r="W510" s="410"/>
      <c r="X510" s="270"/>
      <c r="Y510" s="270"/>
      <c r="Z510" s="270"/>
    </row>
    <row r="511" customFormat="false" ht="12.75" hidden="false" customHeight="true" outlineLevel="0" collapsed="false">
      <c r="A511" s="270"/>
      <c r="B511" s="270"/>
      <c r="C511" s="270"/>
      <c r="D511" s="270"/>
      <c r="E511" s="270"/>
      <c r="F511" s="270"/>
      <c r="G511" s="270"/>
      <c r="H511" s="270"/>
      <c r="I511" s="270"/>
      <c r="J511" s="270"/>
      <c r="K511" s="270"/>
      <c r="L511" s="270"/>
      <c r="M511" s="270"/>
      <c r="N511" s="277"/>
      <c r="O511" s="277"/>
      <c r="P511" s="277"/>
      <c r="Q511" s="277"/>
      <c r="R511" s="277"/>
      <c r="S511" s="277"/>
      <c r="T511" s="270"/>
      <c r="U511" s="278"/>
      <c r="V511" s="278"/>
      <c r="W511" s="410"/>
      <c r="X511" s="270"/>
      <c r="Y511" s="270"/>
      <c r="Z511" s="270"/>
    </row>
    <row r="512" customFormat="false" ht="12.75" hidden="false" customHeight="true" outlineLevel="0" collapsed="false">
      <c r="A512" s="270"/>
      <c r="B512" s="270"/>
      <c r="C512" s="270"/>
      <c r="D512" s="270"/>
      <c r="E512" s="270"/>
      <c r="F512" s="270"/>
      <c r="G512" s="270"/>
      <c r="H512" s="270"/>
      <c r="I512" s="270"/>
      <c r="J512" s="270"/>
      <c r="K512" s="270"/>
      <c r="L512" s="270"/>
      <c r="M512" s="270"/>
      <c r="N512" s="277"/>
      <c r="O512" s="277"/>
      <c r="P512" s="277"/>
      <c r="Q512" s="277"/>
      <c r="R512" s="277"/>
      <c r="S512" s="277"/>
      <c r="T512" s="270"/>
      <c r="U512" s="278"/>
      <c r="V512" s="278"/>
      <c r="W512" s="410"/>
      <c r="X512" s="270"/>
      <c r="Y512" s="270"/>
      <c r="Z512" s="270"/>
    </row>
    <row r="513" customFormat="false" ht="12.75" hidden="false" customHeight="true" outlineLevel="0" collapsed="false">
      <c r="A513" s="270"/>
      <c r="B513" s="270"/>
      <c r="C513" s="270"/>
      <c r="D513" s="270"/>
      <c r="E513" s="270"/>
      <c r="F513" s="270"/>
      <c r="G513" s="270"/>
      <c r="H513" s="270"/>
      <c r="I513" s="270"/>
      <c r="J513" s="270"/>
      <c r="K513" s="270"/>
      <c r="L513" s="270"/>
      <c r="M513" s="270"/>
      <c r="N513" s="277"/>
      <c r="O513" s="277"/>
      <c r="P513" s="277"/>
      <c r="Q513" s="277"/>
      <c r="R513" s="277"/>
      <c r="S513" s="277"/>
      <c r="T513" s="270"/>
      <c r="U513" s="278"/>
      <c r="V513" s="278"/>
      <c r="W513" s="410"/>
      <c r="X513" s="270"/>
      <c r="Y513" s="270"/>
      <c r="Z513" s="270"/>
    </row>
    <row r="514" customFormat="false" ht="12.75" hidden="false" customHeight="true" outlineLevel="0" collapsed="false">
      <c r="A514" s="270"/>
      <c r="B514" s="270"/>
      <c r="C514" s="270"/>
      <c r="D514" s="270"/>
      <c r="E514" s="270"/>
      <c r="F514" s="270"/>
      <c r="G514" s="270"/>
      <c r="H514" s="270"/>
      <c r="I514" s="270"/>
      <c r="J514" s="270"/>
      <c r="K514" s="270"/>
      <c r="L514" s="270"/>
      <c r="M514" s="270"/>
      <c r="N514" s="277"/>
      <c r="O514" s="277"/>
      <c r="P514" s="277"/>
      <c r="Q514" s="277"/>
      <c r="R514" s="277"/>
      <c r="S514" s="277"/>
      <c r="T514" s="270"/>
      <c r="U514" s="278"/>
      <c r="V514" s="278"/>
      <c r="W514" s="410"/>
      <c r="X514" s="270"/>
      <c r="Y514" s="270"/>
      <c r="Z514" s="270"/>
    </row>
    <row r="515" customFormat="false" ht="12.75" hidden="false" customHeight="true" outlineLevel="0" collapsed="false">
      <c r="A515" s="270"/>
      <c r="B515" s="270"/>
      <c r="C515" s="270"/>
      <c r="D515" s="270"/>
      <c r="E515" s="270"/>
      <c r="F515" s="270"/>
      <c r="G515" s="270"/>
      <c r="H515" s="270"/>
      <c r="I515" s="270"/>
      <c r="J515" s="270"/>
      <c r="K515" s="270"/>
      <c r="L515" s="270"/>
      <c r="M515" s="270"/>
      <c r="N515" s="277"/>
      <c r="O515" s="277"/>
      <c r="P515" s="277"/>
      <c r="Q515" s="277"/>
      <c r="R515" s="277"/>
      <c r="S515" s="277"/>
      <c r="T515" s="270"/>
      <c r="U515" s="278"/>
      <c r="V515" s="278"/>
      <c r="W515" s="410"/>
      <c r="X515" s="270"/>
      <c r="Y515" s="270"/>
      <c r="Z515" s="270"/>
    </row>
    <row r="516" customFormat="false" ht="12.75" hidden="false" customHeight="true" outlineLevel="0" collapsed="false">
      <c r="A516" s="270"/>
      <c r="B516" s="270"/>
      <c r="C516" s="270"/>
      <c r="D516" s="270"/>
      <c r="E516" s="270"/>
      <c r="F516" s="270"/>
      <c r="G516" s="270"/>
      <c r="H516" s="270"/>
      <c r="I516" s="270"/>
      <c r="J516" s="270"/>
      <c r="K516" s="270"/>
      <c r="L516" s="270"/>
      <c r="M516" s="270"/>
      <c r="N516" s="277"/>
      <c r="O516" s="277"/>
      <c r="P516" s="277"/>
      <c r="Q516" s="277"/>
      <c r="R516" s="277"/>
      <c r="S516" s="277"/>
      <c r="T516" s="270"/>
      <c r="U516" s="278"/>
      <c r="V516" s="278"/>
      <c r="W516" s="410"/>
      <c r="X516" s="270"/>
      <c r="Y516" s="270"/>
      <c r="Z516" s="270"/>
    </row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3:Z305"/>
  <mergeCells count="6">
    <mergeCell ref="N3:O3"/>
    <mergeCell ref="P3:Q3"/>
    <mergeCell ref="R3:S3"/>
    <mergeCell ref="K43:L43"/>
    <mergeCell ref="K96:L96"/>
    <mergeCell ref="K145:L145"/>
  </mergeCells>
  <conditionalFormatting sqref="C274:X274">
    <cfRule type="expression" priority="2" aboveAverage="0" equalAverage="0" bottom="0" percent="0" rank="0" text="" dxfId="34">
      <formula>LEN(TRIM(C274))&gt;0</formula>
    </cfRule>
  </conditionalFormatting>
  <conditionalFormatting sqref="Z4">
    <cfRule type="cellIs" priority="3" operator="equal" aboveAverage="0" equalAverage="0" bottom="0" percent="0" rank="0" text="" dxfId="22">
      <formula>"＝"</formula>
    </cfRule>
  </conditionalFormatting>
  <conditionalFormatting sqref="Z4">
    <cfRule type="cellIs" priority="4" operator="equal" aboveAverage="0" equalAverage="0" bottom="0" percent="0" rank="0" text="" dxfId="23">
      <formula>G4</formula>
    </cfRule>
  </conditionalFormatting>
  <conditionalFormatting sqref="Z5">
    <cfRule type="expression" priority="5" aboveAverage="0" equalAverage="0" bottom="0" percent="0" rank="0" text="" dxfId="23">
      <formula>G5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2022-04-09T00:21:52Z</dcterms:created>
  <dc:creator>Tomomi</dc:creator>
  <dc:description/>
  <dc:language>en-US</dc:language>
  <cp:lastModifiedBy/>
  <dcterms:modified xsi:type="dcterms:W3CDTF">2025-09-16T23:38:46Z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